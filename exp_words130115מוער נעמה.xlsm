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C:\Users\Roni\Copy\University\sagol\Thesis\Experiment\letter_position\"/>
    </mc:Choice>
  </mc:AlternateContent>
  <bookViews>
    <workbookView xWindow="4920" yWindow="0" windowWidth="10440" windowHeight="5640"/>
  </bookViews>
  <sheets>
    <sheet name="z2-z3" sheetId="1" r:id="rId1"/>
    <sheet name="Adaptation" sheetId="2" r:id="rId2"/>
    <sheet name="Sheet1" sheetId="5" state="hidden" r:id="rId3"/>
    <sheet name="localizer" sheetId="3" r:id="rId4"/>
    <sheet name="catch" sheetId="4" r:id="rId5"/>
  </sheets>
  <calcPr calcId="152511" iterateDelta="1E-4"/>
</workbook>
</file>

<file path=xl/calcChain.xml><?xml version="1.0" encoding="utf-8"?>
<calcChain xmlns="http://schemas.openxmlformats.org/spreadsheetml/2006/main">
  <c r="O167" i="1" l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C146" i="1"/>
  <c r="D146" i="1"/>
  <c r="I146" i="1"/>
  <c r="J146" i="1"/>
  <c r="K146" i="1"/>
  <c r="C158" i="1"/>
  <c r="D158" i="1"/>
  <c r="I158" i="1"/>
  <c r="J158" i="1"/>
  <c r="K158" i="1"/>
  <c r="C6" i="1"/>
  <c r="D6" i="1"/>
  <c r="I6" i="1"/>
  <c r="J6" i="1"/>
  <c r="K6" i="1"/>
  <c r="C66" i="1"/>
  <c r="D66" i="1"/>
  <c r="I66" i="1"/>
  <c r="J66" i="1"/>
  <c r="K66" i="1"/>
  <c r="C44" i="1"/>
  <c r="D44" i="1"/>
  <c r="I44" i="1"/>
  <c r="J44" i="1"/>
  <c r="K44" i="1"/>
  <c r="C54" i="1"/>
  <c r="D54" i="1"/>
  <c r="I54" i="1"/>
  <c r="J54" i="1"/>
  <c r="K54" i="1"/>
  <c r="C71" i="1"/>
  <c r="D71" i="1"/>
  <c r="I71" i="1"/>
  <c r="J71" i="1"/>
  <c r="K71" i="1"/>
  <c r="C153" i="1"/>
  <c r="D153" i="1"/>
  <c r="I153" i="1"/>
  <c r="J153" i="1"/>
  <c r="K153" i="1"/>
  <c r="C30" i="1"/>
  <c r="D30" i="1"/>
  <c r="I30" i="1"/>
  <c r="J30" i="1"/>
  <c r="K30" i="1"/>
  <c r="C17" i="1"/>
  <c r="D17" i="1"/>
  <c r="I17" i="1"/>
  <c r="J17" i="1"/>
  <c r="K17" i="1"/>
  <c r="C26" i="1"/>
  <c r="D26" i="1"/>
  <c r="I26" i="1"/>
  <c r="J26" i="1"/>
  <c r="K26" i="1"/>
  <c r="C18" i="1"/>
  <c r="D18" i="1"/>
  <c r="I18" i="1"/>
  <c r="J18" i="1"/>
  <c r="K18" i="1"/>
  <c r="C102" i="1"/>
  <c r="D102" i="1"/>
  <c r="I102" i="1"/>
  <c r="J102" i="1"/>
  <c r="K102" i="1"/>
  <c r="C162" i="1"/>
  <c r="D162" i="1"/>
  <c r="I162" i="1"/>
  <c r="J162" i="1"/>
  <c r="K162" i="1"/>
  <c r="C1" i="1"/>
  <c r="D1" i="1"/>
  <c r="I1" i="1"/>
  <c r="J1" i="1"/>
  <c r="K1" i="1"/>
  <c r="C76" i="1"/>
  <c r="D76" i="1"/>
  <c r="I76" i="1"/>
  <c r="J76" i="1"/>
  <c r="K76" i="1"/>
  <c r="C7" i="1"/>
  <c r="D7" i="1"/>
  <c r="I7" i="1"/>
  <c r="J7" i="1"/>
  <c r="K7" i="1"/>
  <c r="C20" i="1"/>
  <c r="D20" i="1"/>
  <c r="I20" i="1"/>
  <c r="J20" i="1"/>
  <c r="K20" i="1"/>
  <c r="C116" i="1"/>
  <c r="D116" i="1"/>
  <c r="I116" i="1"/>
  <c r="J116" i="1"/>
  <c r="K116" i="1"/>
  <c r="C142" i="1"/>
  <c r="D142" i="1"/>
  <c r="I142" i="1"/>
  <c r="J142" i="1"/>
  <c r="K142" i="1"/>
  <c r="C70" i="1"/>
  <c r="D70" i="1"/>
  <c r="I70" i="1"/>
  <c r="J70" i="1"/>
  <c r="K70" i="1"/>
  <c r="C98" i="1"/>
  <c r="D98" i="1"/>
  <c r="I98" i="1"/>
  <c r="J98" i="1"/>
  <c r="K98" i="1"/>
  <c r="C135" i="1"/>
  <c r="D135" i="1"/>
  <c r="I135" i="1"/>
  <c r="J135" i="1"/>
  <c r="K135" i="1"/>
  <c r="C137" i="1"/>
  <c r="D137" i="1"/>
  <c r="I137" i="1"/>
  <c r="J137" i="1"/>
  <c r="K137" i="1"/>
  <c r="C16" i="1"/>
  <c r="D16" i="1"/>
  <c r="I16" i="1"/>
  <c r="J16" i="1"/>
  <c r="K16" i="1"/>
  <c r="C27" i="1"/>
  <c r="D27" i="1"/>
  <c r="I27" i="1"/>
  <c r="J27" i="1"/>
  <c r="K27" i="1"/>
  <c r="C132" i="1"/>
  <c r="D132" i="1"/>
  <c r="I132" i="1"/>
  <c r="J132" i="1"/>
  <c r="K132" i="1"/>
  <c r="C34" i="1"/>
  <c r="D34" i="1"/>
  <c r="I34" i="1"/>
  <c r="J34" i="1"/>
  <c r="K34" i="1"/>
  <c r="C35" i="1"/>
  <c r="D35" i="1"/>
  <c r="I35" i="1"/>
  <c r="J35" i="1"/>
  <c r="K35" i="1"/>
  <c r="C159" i="1"/>
  <c r="D159" i="1"/>
  <c r="I159" i="1"/>
  <c r="J159" i="1"/>
  <c r="K159" i="1"/>
  <c r="C139" i="1"/>
  <c r="D139" i="1"/>
  <c r="I139" i="1"/>
  <c r="J139" i="1"/>
  <c r="K139" i="1"/>
  <c r="C11" i="1"/>
  <c r="D11" i="1"/>
  <c r="I11" i="1"/>
  <c r="J11" i="1"/>
  <c r="K11" i="1"/>
  <c r="C57" i="1"/>
  <c r="D57" i="1"/>
  <c r="I57" i="1"/>
  <c r="J57" i="1"/>
  <c r="K57" i="1"/>
  <c r="C67" i="1"/>
  <c r="D67" i="1"/>
  <c r="I67" i="1"/>
  <c r="J67" i="1"/>
  <c r="K67" i="1"/>
  <c r="C134" i="1"/>
  <c r="D134" i="1"/>
  <c r="I134" i="1"/>
  <c r="J134" i="1"/>
  <c r="K134" i="1"/>
  <c r="C29" i="1"/>
  <c r="D29" i="1"/>
  <c r="I29" i="1"/>
  <c r="J29" i="1"/>
  <c r="K29" i="1"/>
  <c r="C32" i="1"/>
  <c r="D32" i="1"/>
  <c r="I32" i="1"/>
  <c r="J32" i="1"/>
  <c r="K32" i="1"/>
  <c r="C46" i="1"/>
  <c r="D46" i="1"/>
  <c r="I46" i="1"/>
  <c r="J46" i="1"/>
  <c r="K46" i="1"/>
  <c r="C22" i="1"/>
  <c r="D22" i="1"/>
  <c r="I22" i="1"/>
  <c r="J22" i="1"/>
  <c r="K22" i="1"/>
  <c r="C150" i="1"/>
  <c r="D150" i="1"/>
  <c r="I150" i="1"/>
  <c r="J150" i="1"/>
  <c r="K150" i="1"/>
  <c r="C148" i="1"/>
  <c r="D148" i="1"/>
  <c r="I148" i="1"/>
  <c r="J148" i="1"/>
  <c r="K148" i="1"/>
  <c r="C19" i="1"/>
  <c r="D19" i="1"/>
  <c r="I19" i="1"/>
  <c r="J19" i="1"/>
  <c r="K19" i="1"/>
  <c r="C160" i="1"/>
  <c r="D160" i="1"/>
  <c r="I160" i="1"/>
  <c r="J160" i="1"/>
  <c r="K160" i="1"/>
  <c r="C118" i="1"/>
  <c r="D118" i="1"/>
  <c r="I118" i="1"/>
  <c r="J118" i="1"/>
  <c r="K118" i="1"/>
  <c r="C114" i="1"/>
  <c r="D114" i="1"/>
  <c r="I114" i="1"/>
  <c r="J114" i="1"/>
  <c r="K114" i="1"/>
  <c r="C79" i="1"/>
  <c r="D79" i="1"/>
  <c r="I79" i="1"/>
  <c r="J79" i="1"/>
  <c r="K79" i="1"/>
  <c r="C65" i="1"/>
  <c r="D65" i="1"/>
  <c r="I65" i="1"/>
  <c r="J65" i="1"/>
  <c r="K65" i="1"/>
  <c r="C87" i="1"/>
  <c r="D87" i="1"/>
  <c r="I87" i="1"/>
  <c r="J87" i="1"/>
  <c r="K87" i="1"/>
  <c r="C129" i="1"/>
  <c r="D129" i="1"/>
  <c r="I129" i="1"/>
  <c r="J129" i="1"/>
  <c r="K129" i="1"/>
  <c r="C73" i="1"/>
  <c r="D73" i="1"/>
  <c r="I73" i="1"/>
  <c r="J73" i="1"/>
  <c r="K73" i="1"/>
  <c r="C110" i="1"/>
  <c r="D110" i="1"/>
  <c r="I110" i="1"/>
  <c r="J110" i="1"/>
  <c r="K110" i="1"/>
  <c r="C117" i="1"/>
  <c r="D117" i="1"/>
  <c r="I117" i="1"/>
  <c r="J117" i="1"/>
  <c r="K117" i="1"/>
  <c r="C84" i="1"/>
  <c r="D84" i="1"/>
  <c r="I84" i="1"/>
  <c r="J84" i="1"/>
  <c r="K84" i="1"/>
  <c r="C56" i="1"/>
  <c r="D56" i="1"/>
  <c r="I56" i="1"/>
  <c r="J56" i="1"/>
  <c r="K56" i="1"/>
  <c r="C166" i="1"/>
  <c r="D166" i="1"/>
  <c r="I166" i="1"/>
  <c r="J166" i="1"/>
  <c r="K166" i="1"/>
  <c r="C78" i="1"/>
  <c r="D78" i="1"/>
  <c r="I78" i="1"/>
  <c r="J78" i="1"/>
  <c r="K78" i="1"/>
  <c r="C83" i="1"/>
  <c r="D83" i="1"/>
  <c r="I83" i="1"/>
  <c r="J83" i="1"/>
  <c r="K83" i="1"/>
  <c r="C141" i="1"/>
  <c r="D141" i="1"/>
  <c r="I141" i="1"/>
  <c r="J141" i="1"/>
  <c r="K141" i="1"/>
  <c r="C106" i="1"/>
  <c r="D106" i="1"/>
  <c r="I106" i="1"/>
  <c r="J106" i="1"/>
  <c r="K106" i="1"/>
  <c r="C68" i="1"/>
  <c r="D68" i="1"/>
  <c r="I68" i="1"/>
  <c r="J68" i="1"/>
  <c r="K68" i="1"/>
  <c r="C99" i="1"/>
  <c r="D99" i="1"/>
  <c r="I99" i="1"/>
  <c r="J99" i="1"/>
  <c r="K99" i="1"/>
  <c r="C111" i="1"/>
  <c r="D111" i="1"/>
  <c r="I111" i="1"/>
  <c r="J111" i="1"/>
  <c r="K111" i="1"/>
  <c r="C62" i="1"/>
  <c r="D62" i="1"/>
  <c r="I62" i="1"/>
  <c r="J62" i="1"/>
  <c r="K62" i="1"/>
  <c r="C43" i="1"/>
  <c r="D43" i="1"/>
  <c r="I43" i="1"/>
  <c r="J43" i="1"/>
  <c r="K43" i="1"/>
  <c r="C161" i="1"/>
  <c r="D161" i="1"/>
  <c r="I161" i="1"/>
  <c r="J161" i="1"/>
  <c r="K161" i="1"/>
  <c r="C154" i="1"/>
  <c r="D154" i="1"/>
  <c r="I154" i="1"/>
  <c r="J154" i="1"/>
  <c r="K154" i="1"/>
  <c r="C131" i="1"/>
  <c r="D131" i="1"/>
  <c r="I131" i="1"/>
  <c r="J131" i="1"/>
  <c r="K131" i="1"/>
  <c r="C24" i="1"/>
  <c r="D24" i="1"/>
  <c r="I24" i="1"/>
  <c r="J24" i="1"/>
  <c r="K24" i="1"/>
  <c r="C82" i="1"/>
  <c r="D82" i="1"/>
  <c r="I82" i="1"/>
  <c r="J82" i="1"/>
  <c r="K82" i="1"/>
  <c r="C140" i="1"/>
  <c r="D140" i="1"/>
  <c r="I140" i="1"/>
  <c r="J140" i="1"/>
  <c r="K140" i="1"/>
  <c r="C47" i="1"/>
  <c r="D47" i="1"/>
  <c r="I47" i="1"/>
  <c r="J47" i="1"/>
  <c r="K47" i="1"/>
  <c r="C51" i="1"/>
  <c r="D51" i="1"/>
  <c r="I51" i="1"/>
  <c r="J51" i="1"/>
  <c r="K51" i="1"/>
  <c r="C13" i="1"/>
  <c r="D13" i="1"/>
  <c r="I13" i="1"/>
  <c r="J13" i="1"/>
  <c r="K13" i="1"/>
  <c r="C143" i="1"/>
  <c r="D143" i="1"/>
  <c r="I143" i="1"/>
  <c r="J143" i="1"/>
  <c r="K143" i="1"/>
  <c r="C8" i="1"/>
  <c r="D8" i="1"/>
  <c r="I8" i="1"/>
  <c r="J8" i="1"/>
  <c r="K8" i="1"/>
  <c r="C81" i="1"/>
  <c r="D81" i="1"/>
  <c r="I81" i="1"/>
  <c r="J81" i="1"/>
  <c r="K81" i="1"/>
  <c r="C28" i="1"/>
  <c r="D28" i="1"/>
  <c r="I28" i="1"/>
  <c r="J28" i="1"/>
  <c r="K28" i="1"/>
  <c r="C128" i="1"/>
  <c r="D128" i="1"/>
  <c r="I128" i="1"/>
  <c r="J128" i="1"/>
  <c r="K128" i="1"/>
  <c r="C50" i="1"/>
  <c r="D50" i="1"/>
  <c r="I50" i="1"/>
  <c r="J50" i="1"/>
  <c r="K50" i="1"/>
  <c r="C108" i="1"/>
  <c r="D108" i="1"/>
  <c r="I108" i="1"/>
  <c r="J108" i="1"/>
  <c r="K108" i="1"/>
  <c r="C97" i="1"/>
  <c r="D97" i="1"/>
  <c r="I97" i="1"/>
  <c r="J97" i="1"/>
  <c r="K97" i="1"/>
  <c r="C41" i="1"/>
  <c r="D41" i="1"/>
  <c r="I41" i="1"/>
  <c r="J41" i="1"/>
  <c r="K41" i="1"/>
  <c r="C37" i="1"/>
  <c r="D37" i="1"/>
  <c r="I37" i="1"/>
  <c r="J37" i="1"/>
  <c r="K37" i="1"/>
  <c r="C53" i="1"/>
  <c r="D53" i="1"/>
  <c r="I53" i="1"/>
  <c r="J53" i="1"/>
  <c r="K53" i="1"/>
  <c r="C4" i="1"/>
  <c r="D4" i="1"/>
  <c r="I4" i="1"/>
  <c r="J4" i="1"/>
  <c r="K4" i="1"/>
  <c r="C165" i="1"/>
  <c r="D165" i="1"/>
  <c r="I165" i="1"/>
  <c r="J165" i="1"/>
  <c r="K165" i="1"/>
  <c r="C113" i="1"/>
  <c r="D113" i="1"/>
  <c r="I113" i="1"/>
  <c r="J113" i="1"/>
  <c r="K113" i="1"/>
  <c r="C136" i="1"/>
  <c r="D136" i="1"/>
  <c r="I136" i="1"/>
  <c r="J136" i="1"/>
  <c r="K136" i="1"/>
  <c r="C127" i="1"/>
  <c r="D127" i="1"/>
  <c r="I127" i="1"/>
  <c r="J127" i="1"/>
  <c r="K127" i="1"/>
  <c r="C61" i="1"/>
  <c r="D61" i="1"/>
  <c r="I61" i="1"/>
  <c r="J61" i="1"/>
  <c r="K61" i="1"/>
  <c r="C39" i="1"/>
  <c r="D39" i="1"/>
  <c r="I39" i="1"/>
  <c r="J39" i="1"/>
  <c r="K39" i="1"/>
  <c r="C125" i="1"/>
  <c r="D125" i="1"/>
  <c r="I125" i="1"/>
  <c r="J125" i="1"/>
  <c r="K125" i="1"/>
  <c r="C63" i="1"/>
  <c r="D63" i="1"/>
  <c r="I63" i="1"/>
  <c r="J63" i="1"/>
  <c r="K63" i="1"/>
  <c r="C95" i="1"/>
  <c r="D95" i="1"/>
  <c r="I95" i="1"/>
  <c r="J95" i="1"/>
  <c r="K95" i="1"/>
  <c r="C45" i="1"/>
  <c r="D45" i="1"/>
  <c r="I45" i="1"/>
  <c r="J45" i="1"/>
  <c r="K45" i="1"/>
  <c r="C91" i="1"/>
  <c r="D91" i="1"/>
  <c r="I91" i="1"/>
  <c r="J91" i="1"/>
  <c r="K91" i="1"/>
  <c r="C130" i="1"/>
  <c r="D130" i="1"/>
  <c r="I130" i="1"/>
  <c r="J130" i="1"/>
  <c r="K130" i="1"/>
  <c r="C90" i="1"/>
  <c r="D90" i="1"/>
  <c r="I90" i="1"/>
  <c r="J90" i="1"/>
  <c r="K90" i="1"/>
  <c r="C2" i="1"/>
  <c r="D2" i="1"/>
  <c r="I2" i="1"/>
  <c r="J2" i="1"/>
  <c r="K2" i="1"/>
  <c r="C94" i="1"/>
  <c r="D94" i="1"/>
  <c r="I94" i="1"/>
  <c r="J94" i="1"/>
  <c r="K94" i="1"/>
  <c r="C36" i="1"/>
  <c r="D36" i="1"/>
  <c r="I36" i="1"/>
  <c r="J36" i="1"/>
  <c r="K36" i="1"/>
  <c r="C152" i="1"/>
  <c r="D152" i="1"/>
  <c r="I152" i="1"/>
  <c r="J152" i="1"/>
  <c r="K152" i="1"/>
  <c r="C101" i="1"/>
  <c r="D101" i="1"/>
  <c r="I101" i="1"/>
  <c r="J101" i="1"/>
  <c r="K101" i="1"/>
  <c r="C9" i="1"/>
  <c r="D9" i="1"/>
  <c r="I9" i="1"/>
  <c r="J9" i="1"/>
  <c r="K9" i="1"/>
  <c r="C119" i="1"/>
  <c r="D119" i="1"/>
  <c r="I119" i="1"/>
  <c r="J119" i="1"/>
  <c r="K119" i="1"/>
  <c r="C103" i="1"/>
  <c r="D103" i="1"/>
  <c r="I103" i="1"/>
  <c r="J103" i="1"/>
  <c r="K103" i="1"/>
  <c r="C96" i="1"/>
  <c r="D96" i="1"/>
  <c r="I96" i="1"/>
  <c r="J96" i="1"/>
  <c r="K96" i="1"/>
  <c r="C163" i="1"/>
  <c r="D163" i="1"/>
  <c r="I163" i="1"/>
  <c r="J163" i="1"/>
  <c r="K163" i="1"/>
  <c r="C31" i="1"/>
  <c r="D31" i="1"/>
  <c r="I31" i="1"/>
  <c r="J31" i="1"/>
  <c r="K31" i="1"/>
  <c r="C155" i="1"/>
  <c r="D155" i="1"/>
  <c r="I155" i="1"/>
  <c r="J155" i="1"/>
  <c r="K155" i="1"/>
  <c r="C133" i="1"/>
  <c r="D133" i="1"/>
  <c r="I133" i="1"/>
  <c r="J133" i="1"/>
  <c r="K133" i="1"/>
  <c r="C25" i="1"/>
  <c r="D25" i="1"/>
  <c r="I25" i="1"/>
  <c r="J25" i="1"/>
  <c r="K25" i="1"/>
  <c r="C23" i="1"/>
  <c r="D23" i="1"/>
  <c r="I23" i="1"/>
  <c r="J23" i="1"/>
  <c r="K23" i="1"/>
  <c r="C48" i="1"/>
  <c r="D48" i="1"/>
  <c r="I48" i="1"/>
  <c r="J48" i="1"/>
  <c r="K48" i="1"/>
  <c r="C12" i="1"/>
  <c r="D12" i="1"/>
  <c r="I12" i="1"/>
  <c r="J12" i="1"/>
  <c r="K12" i="1"/>
  <c r="C75" i="1"/>
  <c r="D75" i="1"/>
  <c r="I75" i="1"/>
  <c r="J75" i="1"/>
  <c r="K75" i="1"/>
  <c r="C49" i="1"/>
  <c r="D49" i="1"/>
  <c r="I49" i="1"/>
  <c r="J49" i="1"/>
  <c r="K49" i="1"/>
  <c r="C112" i="1"/>
  <c r="D112" i="1"/>
  <c r="I112" i="1"/>
  <c r="J112" i="1"/>
  <c r="K112" i="1"/>
  <c r="C92" i="1"/>
  <c r="D92" i="1"/>
  <c r="I92" i="1"/>
  <c r="J92" i="1"/>
  <c r="K92" i="1"/>
  <c r="C10" i="1"/>
  <c r="D10" i="1"/>
  <c r="I10" i="1"/>
  <c r="J10" i="1"/>
  <c r="K10" i="1"/>
  <c r="C59" i="1"/>
  <c r="D59" i="1"/>
  <c r="I59" i="1"/>
  <c r="J59" i="1"/>
  <c r="K59" i="1"/>
  <c r="C100" i="1"/>
  <c r="D100" i="1"/>
  <c r="I100" i="1"/>
  <c r="J100" i="1"/>
  <c r="K100" i="1"/>
  <c r="C69" i="1"/>
  <c r="D69" i="1"/>
  <c r="I69" i="1"/>
  <c r="J69" i="1"/>
  <c r="K69" i="1"/>
  <c r="C14" i="1"/>
  <c r="D14" i="1"/>
  <c r="I14" i="1"/>
  <c r="J14" i="1"/>
  <c r="K14" i="1"/>
  <c r="C123" i="1"/>
  <c r="D123" i="1"/>
  <c r="I123" i="1"/>
  <c r="J123" i="1"/>
  <c r="K123" i="1"/>
  <c r="C120" i="1"/>
  <c r="D120" i="1"/>
  <c r="I120" i="1"/>
  <c r="J120" i="1"/>
  <c r="K120" i="1"/>
  <c r="C89" i="1"/>
  <c r="D89" i="1"/>
  <c r="I89" i="1"/>
  <c r="J89" i="1"/>
  <c r="K89" i="1"/>
  <c r="C42" i="1"/>
  <c r="D42" i="1"/>
  <c r="I42" i="1"/>
  <c r="J42" i="1"/>
  <c r="K42" i="1"/>
  <c r="C86" i="1"/>
  <c r="D86" i="1"/>
  <c r="I86" i="1"/>
  <c r="J86" i="1"/>
  <c r="K86" i="1"/>
  <c r="C144" i="1"/>
  <c r="D144" i="1"/>
  <c r="I144" i="1"/>
  <c r="J144" i="1"/>
  <c r="K144" i="1"/>
  <c r="C88" i="1"/>
  <c r="D88" i="1"/>
  <c r="I88" i="1"/>
  <c r="J88" i="1"/>
  <c r="K88" i="1"/>
  <c r="C149" i="1"/>
  <c r="D149" i="1"/>
  <c r="I149" i="1"/>
  <c r="J149" i="1"/>
  <c r="K149" i="1"/>
  <c r="C64" i="1"/>
  <c r="D64" i="1"/>
  <c r="I64" i="1"/>
  <c r="J64" i="1"/>
  <c r="K64" i="1"/>
  <c r="C21" i="1"/>
  <c r="D21" i="1"/>
  <c r="I21" i="1"/>
  <c r="J21" i="1"/>
  <c r="K21" i="1"/>
  <c r="C3" i="1"/>
  <c r="D3" i="1"/>
  <c r="I3" i="1"/>
  <c r="J3" i="1"/>
  <c r="K3" i="1"/>
  <c r="C15" i="1"/>
  <c r="D15" i="1"/>
  <c r="I15" i="1"/>
  <c r="J15" i="1"/>
  <c r="K15" i="1"/>
  <c r="C77" i="1"/>
  <c r="D77" i="1"/>
  <c r="I77" i="1"/>
  <c r="J77" i="1"/>
  <c r="K77" i="1"/>
  <c r="C138" i="1"/>
  <c r="D138" i="1"/>
  <c r="I138" i="1"/>
  <c r="J138" i="1"/>
  <c r="K138" i="1"/>
  <c r="C93" i="1"/>
  <c r="D93" i="1"/>
  <c r="I93" i="1"/>
  <c r="J93" i="1"/>
  <c r="K93" i="1"/>
  <c r="C72" i="1"/>
  <c r="D72" i="1"/>
  <c r="I72" i="1"/>
  <c r="J72" i="1"/>
  <c r="K72" i="1"/>
  <c r="C80" i="1"/>
  <c r="D80" i="1"/>
  <c r="I80" i="1"/>
  <c r="J80" i="1"/>
  <c r="K80" i="1"/>
  <c r="C157" i="1"/>
  <c r="D157" i="1"/>
  <c r="I157" i="1"/>
  <c r="J157" i="1"/>
  <c r="K157" i="1"/>
  <c r="C38" i="1"/>
  <c r="D38" i="1"/>
  <c r="I38" i="1"/>
  <c r="J38" i="1"/>
  <c r="K38" i="1"/>
  <c r="C151" i="1"/>
  <c r="D151" i="1"/>
  <c r="I151" i="1"/>
  <c r="J151" i="1"/>
  <c r="K151" i="1"/>
  <c r="C109" i="1"/>
  <c r="D109" i="1"/>
  <c r="I109" i="1"/>
  <c r="J109" i="1"/>
  <c r="K109" i="1"/>
  <c r="C74" i="1"/>
  <c r="D74" i="1"/>
  <c r="I74" i="1"/>
  <c r="J74" i="1"/>
  <c r="K74" i="1"/>
  <c r="C147" i="1"/>
  <c r="D147" i="1"/>
  <c r="I147" i="1"/>
  <c r="J147" i="1"/>
  <c r="K147" i="1"/>
  <c r="C167" i="1"/>
  <c r="D167" i="1"/>
  <c r="I167" i="1"/>
  <c r="J167" i="1"/>
  <c r="K167" i="1"/>
  <c r="C168" i="1"/>
  <c r="D168" i="1"/>
  <c r="I168" i="1"/>
  <c r="L168" i="1" s="1"/>
  <c r="J168" i="1"/>
  <c r="K168" i="1"/>
  <c r="C169" i="1"/>
  <c r="D169" i="1"/>
  <c r="I169" i="1"/>
  <c r="J169" i="1"/>
  <c r="K169" i="1"/>
  <c r="C170" i="1"/>
  <c r="D170" i="1"/>
  <c r="I170" i="1"/>
  <c r="L170" i="1" s="1"/>
  <c r="J170" i="1"/>
  <c r="K170" i="1"/>
  <c r="C171" i="1"/>
  <c r="D171" i="1"/>
  <c r="I171" i="1"/>
  <c r="J171" i="1"/>
  <c r="K171" i="1"/>
  <c r="C172" i="1"/>
  <c r="D172" i="1"/>
  <c r="I172" i="1"/>
  <c r="J172" i="1"/>
  <c r="K172" i="1"/>
  <c r="C173" i="1"/>
  <c r="D173" i="1"/>
  <c r="I173" i="1"/>
  <c r="J173" i="1"/>
  <c r="K173" i="1"/>
  <c r="C174" i="1"/>
  <c r="D174" i="1"/>
  <c r="I174" i="1"/>
  <c r="J174" i="1"/>
  <c r="K174" i="1"/>
  <c r="C175" i="1"/>
  <c r="D175" i="1"/>
  <c r="I175" i="1"/>
  <c r="J175" i="1"/>
  <c r="K175" i="1"/>
  <c r="C176" i="1"/>
  <c r="D176" i="1"/>
  <c r="I176" i="1"/>
  <c r="J176" i="1"/>
  <c r="K176" i="1"/>
  <c r="C177" i="1"/>
  <c r="D177" i="1"/>
  <c r="I177" i="1"/>
  <c r="J177" i="1"/>
  <c r="K177" i="1"/>
  <c r="C178" i="1"/>
  <c r="D178" i="1"/>
  <c r="I178" i="1"/>
  <c r="J178" i="1"/>
  <c r="K178" i="1"/>
  <c r="C179" i="1"/>
  <c r="D179" i="1"/>
  <c r="I179" i="1"/>
  <c r="J179" i="1"/>
  <c r="K179" i="1"/>
  <c r="C180" i="1"/>
  <c r="D180" i="1"/>
  <c r="I180" i="1"/>
  <c r="J180" i="1"/>
  <c r="K180" i="1"/>
  <c r="C181" i="1"/>
  <c r="D181" i="1"/>
  <c r="I181" i="1"/>
  <c r="J181" i="1"/>
  <c r="K181" i="1"/>
  <c r="C182" i="1"/>
  <c r="D182" i="1"/>
  <c r="I182" i="1"/>
  <c r="J182" i="1"/>
  <c r="K182" i="1"/>
  <c r="C183" i="1"/>
  <c r="D183" i="1"/>
  <c r="I183" i="1"/>
  <c r="J183" i="1"/>
  <c r="K183" i="1"/>
  <c r="C184" i="1"/>
  <c r="D184" i="1"/>
  <c r="I184" i="1"/>
  <c r="J184" i="1"/>
  <c r="K184" i="1"/>
  <c r="C185" i="1"/>
  <c r="D185" i="1"/>
  <c r="I185" i="1"/>
  <c r="J185" i="1"/>
  <c r="K185" i="1"/>
  <c r="C186" i="1"/>
  <c r="D186" i="1"/>
  <c r="I186" i="1"/>
  <c r="J186" i="1"/>
  <c r="K186" i="1"/>
  <c r="C187" i="1"/>
  <c r="D187" i="1"/>
  <c r="I187" i="1"/>
  <c r="J187" i="1"/>
  <c r="K187" i="1"/>
  <c r="C188" i="1"/>
  <c r="D188" i="1"/>
  <c r="I188" i="1"/>
  <c r="J188" i="1"/>
  <c r="K188" i="1"/>
  <c r="C189" i="1"/>
  <c r="D189" i="1"/>
  <c r="I189" i="1"/>
  <c r="L189" i="1" s="1"/>
  <c r="J189" i="1"/>
  <c r="K189" i="1"/>
  <c r="C190" i="1"/>
  <c r="D190" i="1"/>
  <c r="I190" i="1"/>
  <c r="J190" i="1"/>
  <c r="K190" i="1"/>
  <c r="C191" i="1"/>
  <c r="D191" i="1"/>
  <c r="I191" i="1"/>
  <c r="J191" i="1"/>
  <c r="K191" i="1"/>
  <c r="C192" i="1"/>
  <c r="D192" i="1"/>
  <c r="I192" i="1"/>
  <c r="J192" i="1"/>
  <c r="K192" i="1"/>
  <c r="C193" i="1"/>
  <c r="D193" i="1"/>
  <c r="I193" i="1"/>
  <c r="J193" i="1"/>
  <c r="K193" i="1"/>
  <c r="C194" i="1"/>
  <c r="D194" i="1"/>
  <c r="I194" i="1"/>
  <c r="J194" i="1"/>
  <c r="K194" i="1"/>
  <c r="C195" i="1"/>
  <c r="D195" i="1"/>
  <c r="I195" i="1"/>
  <c r="J195" i="1"/>
  <c r="K195" i="1"/>
  <c r="C196" i="1"/>
  <c r="D196" i="1"/>
  <c r="I196" i="1"/>
  <c r="J196" i="1"/>
  <c r="K196" i="1"/>
  <c r="C197" i="1"/>
  <c r="D197" i="1"/>
  <c r="I197" i="1"/>
  <c r="L197" i="1" s="1"/>
  <c r="J197" i="1"/>
  <c r="K197" i="1"/>
  <c r="C198" i="1"/>
  <c r="D198" i="1"/>
  <c r="I198" i="1"/>
  <c r="J198" i="1"/>
  <c r="K198" i="1"/>
  <c r="C199" i="1"/>
  <c r="D199" i="1"/>
  <c r="I199" i="1"/>
  <c r="J199" i="1"/>
  <c r="K199" i="1"/>
  <c r="C200" i="1"/>
  <c r="D200" i="1"/>
  <c r="I200" i="1"/>
  <c r="L200" i="1" s="1"/>
  <c r="J200" i="1"/>
  <c r="K200" i="1"/>
  <c r="C201" i="1"/>
  <c r="D201" i="1"/>
  <c r="I201" i="1"/>
  <c r="J201" i="1"/>
  <c r="K201" i="1"/>
  <c r="C202" i="1"/>
  <c r="D202" i="1"/>
  <c r="I202" i="1"/>
  <c r="J202" i="1"/>
  <c r="K202" i="1"/>
  <c r="C203" i="1"/>
  <c r="D203" i="1"/>
  <c r="I203" i="1"/>
  <c r="J203" i="1"/>
  <c r="K203" i="1"/>
  <c r="C204" i="1"/>
  <c r="D204" i="1"/>
  <c r="I204" i="1"/>
  <c r="J204" i="1"/>
  <c r="K204" i="1"/>
  <c r="C205" i="1"/>
  <c r="D205" i="1"/>
  <c r="I205" i="1"/>
  <c r="L205" i="1" s="1"/>
  <c r="J205" i="1"/>
  <c r="K205" i="1"/>
  <c r="C206" i="1"/>
  <c r="D206" i="1"/>
  <c r="I206" i="1"/>
  <c r="J206" i="1"/>
  <c r="K206" i="1"/>
  <c r="C207" i="1"/>
  <c r="D207" i="1"/>
  <c r="I207" i="1"/>
  <c r="J207" i="1"/>
  <c r="K207" i="1"/>
  <c r="C208" i="1"/>
  <c r="D208" i="1"/>
  <c r="I208" i="1"/>
  <c r="L208" i="1" s="1"/>
  <c r="J208" i="1"/>
  <c r="K208" i="1"/>
  <c r="C209" i="1"/>
  <c r="D209" i="1"/>
  <c r="I209" i="1"/>
  <c r="L209" i="1" s="1"/>
  <c r="J209" i="1"/>
  <c r="K209" i="1"/>
  <c r="C210" i="1"/>
  <c r="D210" i="1"/>
  <c r="I210" i="1"/>
  <c r="J210" i="1"/>
  <c r="K210" i="1"/>
  <c r="C211" i="1"/>
  <c r="D211" i="1"/>
  <c r="I211" i="1"/>
  <c r="J211" i="1"/>
  <c r="K211" i="1"/>
  <c r="C212" i="1"/>
  <c r="D212" i="1"/>
  <c r="I212" i="1"/>
  <c r="L212" i="1" s="1"/>
  <c r="J212" i="1"/>
  <c r="K212" i="1"/>
  <c r="C213" i="1"/>
  <c r="D213" i="1"/>
  <c r="I213" i="1"/>
  <c r="J213" i="1"/>
  <c r="K213" i="1"/>
  <c r="C214" i="1"/>
  <c r="D214" i="1"/>
  <c r="I214" i="1"/>
  <c r="J214" i="1"/>
  <c r="K214" i="1"/>
  <c r="C215" i="1"/>
  <c r="D215" i="1"/>
  <c r="I215" i="1"/>
  <c r="J215" i="1"/>
  <c r="K215" i="1"/>
  <c r="C216" i="1"/>
  <c r="D216" i="1"/>
  <c r="I216" i="1"/>
  <c r="J216" i="1"/>
  <c r="K216" i="1"/>
  <c r="C217" i="1"/>
  <c r="D217" i="1"/>
  <c r="I217" i="1"/>
  <c r="J217" i="1"/>
  <c r="K217" i="1"/>
  <c r="C218" i="1"/>
  <c r="D218" i="1"/>
  <c r="I218" i="1"/>
  <c r="J218" i="1"/>
  <c r="K218" i="1"/>
  <c r="C219" i="1"/>
  <c r="D219" i="1"/>
  <c r="I219" i="1"/>
  <c r="J219" i="1"/>
  <c r="K219" i="1"/>
  <c r="C220" i="1"/>
  <c r="D220" i="1"/>
  <c r="I220" i="1"/>
  <c r="L220" i="1" s="1"/>
  <c r="J220" i="1"/>
  <c r="K220" i="1"/>
  <c r="C221" i="1"/>
  <c r="D221" i="1"/>
  <c r="I221" i="1"/>
  <c r="J221" i="1"/>
  <c r="K221" i="1"/>
  <c r="C222" i="1"/>
  <c r="D222" i="1"/>
  <c r="I222" i="1"/>
  <c r="J222" i="1"/>
  <c r="K222" i="1"/>
  <c r="C223" i="1"/>
  <c r="D223" i="1"/>
  <c r="I223" i="1"/>
  <c r="J223" i="1"/>
  <c r="K223" i="1"/>
  <c r="C224" i="1"/>
  <c r="D224" i="1"/>
  <c r="I224" i="1"/>
  <c r="L224" i="1" s="1"/>
  <c r="J224" i="1"/>
  <c r="K224" i="1"/>
  <c r="C225" i="1"/>
  <c r="D225" i="1"/>
  <c r="I225" i="1"/>
  <c r="J225" i="1"/>
  <c r="K225" i="1"/>
  <c r="C226" i="1"/>
  <c r="D226" i="1"/>
  <c r="I226" i="1"/>
  <c r="J226" i="1"/>
  <c r="K226" i="1"/>
  <c r="C227" i="1"/>
  <c r="D227" i="1"/>
  <c r="I227" i="1"/>
  <c r="J227" i="1"/>
  <c r="K227" i="1"/>
  <c r="C228" i="1"/>
  <c r="D228" i="1"/>
  <c r="I228" i="1"/>
  <c r="J228" i="1"/>
  <c r="K228" i="1"/>
  <c r="C229" i="1"/>
  <c r="D229" i="1"/>
  <c r="I229" i="1"/>
  <c r="J229" i="1"/>
  <c r="K229" i="1"/>
  <c r="C230" i="1"/>
  <c r="D230" i="1"/>
  <c r="I230" i="1"/>
  <c r="L230" i="1" s="1"/>
  <c r="J230" i="1"/>
  <c r="K230" i="1"/>
  <c r="C231" i="1"/>
  <c r="D231" i="1"/>
  <c r="I231" i="1"/>
  <c r="J231" i="1"/>
  <c r="K231" i="1"/>
  <c r="C232" i="1"/>
  <c r="D232" i="1"/>
  <c r="I232" i="1"/>
  <c r="J232" i="1"/>
  <c r="K232" i="1"/>
  <c r="C233" i="1"/>
  <c r="D233" i="1"/>
  <c r="I233" i="1"/>
  <c r="J233" i="1"/>
  <c r="K233" i="1"/>
  <c r="C234" i="1"/>
  <c r="D234" i="1"/>
  <c r="I234" i="1"/>
  <c r="L234" i="1" s="1"/>
  <c r="J234" i="1"/>
  <c r="K234" i="1"/>
  <c r="C235" i="1"/>
  <c r="D235" i="1"/>
  <c r="I235" i="1"/>
  <c r="J235" i="1"/>
  <c r="K235" i="1"/>
  <c r="C236" i="1"/>
  <c r="D236" i="1"/>
  <c r="I236" i="1"/>
  <c r="J236" i="1"/>
  <c r="K236" i="1"/>
  <c r="C237" i="1"/>
  <c r="D237" i="1"/>
  <c r="I237" i="1"/>
  <c r="J237" i="1"/>
  <c r="K237" i="1"/>
  <c r="C238" i="1"/>
  <c r="D238" i="1"/>
  <c r="I238" i="1"/>
  <c r="L238" i="1" s="1"/>
  <c r="J238" i="1"/>
  <c r="K238" i="1"/>
  <c r="C239" i="1"/>
  <c r="D239" i="1"/>
  <c r="I239" i="1"/>
  <c r="J239" i="1"/>
  <c r="K239" i="1"/>
  <c r="C240" i="1"/>
  <c r="D240" i="1"/>
  <c r="I240" i="1"/>
  <c r="J240" i="1"/>
  <c r="K240" i="1"/>
  <c r="C241" i="1"/>
  <c r="D241" i="1"/>
  <c r="I241" i="1"/>
  <c r="J241" i="1"/>
  <c r="K241" i="1"/>
  <c r="C242" i="1"/>
  <c r="D242" i="1"/>
  <c r="I242" i="1"/>
  <c r="L242" i="1" s="1"/>
  <c r="J242" i="1"/>
  <c r="K242" i="1"/>
  <c r="C243" i="1"/>
  <c r="D243" i="1"/>
  <c r="I243" i="1"/>
  <c r="J243" i="1"/>
  <c r="K243" i="1"/>
  <c r="C244" i="1"/>
  <c r="D244" i="1"/>
  <c r="I244" i="1"/>
  <c r="J244" i="1"/>
  <c r="K244" i="1"/>
  <c r="C245" i="1"/>
  <c r="D245" i="1"/>
  <c r="I245" i="1"/>
  <c r="L245" i="1" s="1"/>
  <c r="J245" i="1"/>
  <c r="K245" i="1"/>
  <c r="C246" i="1"/>
  <c r="D246" i="1"/>
  <c r="I246" i="1"/>
  <c r="J246" i="1"/>
  <c r="K246" i="1"/>
  <c r="C247" i="1"/>
  <c r="D247" i="1"/>
  <c r="I247" i="1"/>
  <c r="J247" i="1"/>
  <c r="K247" i="1"/>
  <c r="C248" i="1"/>
  <c r="D248" i="1"/>
  <c r="I248" i="1"/>
  <c r="J248" i="1"/>
  <c r="K248" i="1"/>
  <c r="C249" i="1"/>
  <c r="D249" i="1"/>
  <c r="I249" i="1"/>
  <c r="L249" i="1" s="1"/>
  <c r="J249" i="1"/>
  <c r="K249" i="1"/>
  <c r="C250" i="1"/>
  <c r="D250" i="1"/>
  <c r="I250" i="1"/>
  <c r="J250" i="1"/>
  <c r="K250" i="1"/>
  <c r="C251" i="1"/>
  <c r="D251" i="1"/>
  <c r="I251" i="1"/>
  <c r="J251" i="1"/>
  <c r="K251" i="1"/>
  <c r="C252" i="1"/>
  <c r="D252" i="1"/>
  <c r="I252" i="1"/>
  <c r="J252" i="1"/>
  <c r="K252" i="1"/>
  <c r="C253" i="1"/>
  <c r="D253" i="1"/>
  <c r="I253" i="1"/>
  <c r="L253" i="1" s="1"/>
  <c r="J253" i="1"/>
  <c r="K253" i="1"/>
  <c r="C254" i="1"/>
  <c r="D254" i="1"/>
  <c r="I254" i="1"/>
  <c r="J254" i="1"/>
  <c r="K254" i="1"/>
  <c r="C255" i="1"/>
  <c r="D255" i="1"/>
  <c r="I255" i="1"/>
  <c r="J255" i="1"/>
  <c r="K255" i="1"/>
  <c r="C256" i="1"/>
  <c r="D256" i="1"/>
  <c r="I256" i="1"/>
  <c r="J256" i="1"/>
  <c r="K256" i="1"/>
  <c r="C257" i="1"/>
  <c r="D257" i="1"/>
  <c r="I257" i="1"/>
  <c r="L257" i="1" s="1"/>
  <c r="J257" i="1"/>
  <c r="K257" i="1"/>
  <c r="C258" i="1"/>
  <c r="D258" i="1"/>
  <c r="I258" i="1"/>
  <c r="J258" i="1"/>
  <c r="K258" i="1"/>
  <c r="C259" i="1"/>
  <c r="D259" i="1"/>
  <c r="I259" i="1"/>
  <c r="J259" i="1"/>
  <c r="K259" i="1"/>
  <c r="C260" i="1"/>
  <c r="D260" i="1"/>
  <c r="I260" i="1"/>
  <c r="J260" i="1"/>
  <c r="K260" i="1"/>
  <c r="C261" i="1"/>
  <c r="D261" i="1"/>
  <c r="I261" i="1"/>
  <c r="L261" i="1" s="1"/>
  <c r="J261" i="1"/>
  <c r="K261" i="1"/>
  <c r="C262" i="1"/>
  <c r="D262" i="1"/>
  <c r="I262" i="1"/>
  <c r="J262" i="1"/>
  <c r="K262" i="1"/>
  <c r="C263" i="1"/>
  <c r="D263" i="1"/>
  <c r="I263" i="1"/>
  <c r="J263" i="1"/>
  <c r="K263" i="1"/>
  <c r="C264" i="1"/>
  <c r="D264" i="1"/>
  <c r="I264" i="1"/>
  <c r="J264" i="1"/>
  <c r="K264" i="1"/>
  <c r="C265" i="1"/>
  <c r="D265" i="1"/>
  <c r="I265" i="1"/>
  <c r="J265" i="1"/>
  <c r="K265" i="1"/>
  <c r="C266" i="1"/>
  <c r="D266" i="1"/>
  <c r="I266" i="1"/>
  <c r="J266" i="1"/>
  <c r="K266" i="1"/>
  <c r="C267" i="1"/>
  <c r="D267" i="1"/>
  <c r="I267" i="1"/>
  <c r="J267" i="1"/>
  <c r="K267" i="1"/>
  <c r="C268" i="1"/>
  <c r="D268" i="1"/>
  <c r="I268" i="1"/>
  <c r="J268" i="1"/>
  <c r="K268" i="1"/>
  <c r="C269" i="1"/>
  <c r="D269" i="1"/>
  <c r="I269" i="1"/>
  <c r="J269" i="1"/>
  <c r="K269" i="1"/>
  <c r="C270" i="1"/>
  <c r="D270" i="1"/>
  <c r="I270" i="1"/>
  <c r="J270" i="1"/>
  <c r="K270" i="1"/>
  <c r="C271" i="1"/>
  <c r="D271" i="1"/>
  <c r="I271" i="1"/>
  <c r="J271" i="1"/>
  <c r="K271" i="1"/>
  <c r="C272" i="1"/>
  <c r="D272" i="1"/>
  <c r="I272" i="1"/>
  <c r="L272" i="1" s="1"/>
  <c r="J272" i="1"/>
  <c r="K272" i="1"/>
  <c r="C273" i="1"/>
  <c r="D273" i="1"/>
  <c r="I273" i="1"/>
  <c r="L273" i="1" s="1"/>
  <c r="J273" i="1"/>
  <c r="K273" i="1"/>
  <c r="C274" i="1"/>
  <c r="D274" i="1"/>
  <c r="I274" i="1"/>
  <c r="J274" i="1"/>
  <c r="K274" i="1"/>
  <c r="C275" i="1"/>
  <c r="D275" i="1"/>
  <c r="I275" i="1"/>
  <c r="J275" i="1"/>
  <c r="K275" i="1"/>
  <c r="C276" i="1"/>
  <c r="D276" i="1"/>
  <c r="I276" i="1"/>
  <c r="J276" i="1"/>
  <c r="K276" i="1"/>
  <c r="C277" i="1"/>
  <c r="D277" i="1"/>
  <c r="I277" i="1"/>
  <c r="J277" i="1"/>
  <c r="K277" i="1"/>
  <c r="C278" i="1"/>
  <c r="D278" i="1"/>
  <c r="I278" i="1"/>
  <c r="J278" i="1"/>
  <c r="K278" i="1"/>
  <c r="C279" i="1"/>
  <c r="D279" i="1"/>
  <c r="I279" i="1"/>
  <c r="J279" i="1"/>
  <c r="K279" i="1"/>
  <c r="C280" i="1"/>
  <c r="D280" i="1"/>
  <c r="I280" i="1"/>
  <c r="L280" i="1" s="1"/>
  <c r="J280" i="1"/>
  <c r="K280" i="1"/>
  <c r="C281" i="1"/>
  <c r="D281" i="1"/>
  <c r="I281" i="1"/>
  <c r="J281" i="1"/>
  <c r="K281" i="1"/>
  <c r="C282" i="1"/>
  <c r="D282" i="1"/>
  <c r="I282" i="1"/>
  <c r="J282" i="1"/>
  <c r="K282" i="1"/>
  <c r="C283" i="1"/>
  <c r="D283" i="1"/>
  <c r="I283" i="1"/>
  <c r="J283" i="1"/>
  <c r="K283" i="1"/>
  <c r="C284" i="1"/>
  <c r="D284" i="1"/>
  <c r="I284" i="1"/>
  <c r="J284" i="1"/>
  <c r="K284" i="1"/>
  <c r="C285" i="1"/>
  <c r="D285" i="1"/>
  <c r="I285" i="1"/>
  <c r="J285" i="1"/>
  <c r="K285" i="1"/>
  <c r="C286" i="1"/>
  <c r="D286" i="1"/>
  <c r="I286" i="1"/>
  <c r="J286" i="1"/>
  <c r="K286" i="1"/>
  <c r="C287" i="1"/>
  <c r="D287" i="1"/>
  <c r="I287" i="1"/>
  <c r="J287" i="1"/>
  <c r="K287" i="1"/>
  <c r="C288" i="1"/>
  <c r="D288" i="1"/>
  <c r="I288" i="1"/>
  <c r="J288" i="1"/>
  <c r="K288" i="1"/>
  <c r="C289" i="1"/>
  <c r="D289" i="1"/>
  <c r="I289" i="1"/>
  <c r="J289" i="1"/>
  <c r="K289" i="1"/>
  <c r="C290" i="1"/>
  <c r="D290" i="1"/>
  <c r="I290" i="1"/>
  <c r="J290" i="1"/>
  <c r="K290" i="1"/>
  <c r="C291" i="1"/>
  <c r="D291" i="1"/>
  <c r="I291" i="1"/>
  <c r="J291" i="1"/>
  <c r="K291" i="1"/>
  <c r="C292" i="1"/>
  <c r="D292" i="1"/>
  <c r="I292" i="1"/>
  <c r="J292" i="1"/>
  <c r="K292" i="1"/>
  <c r="C293" i="1"/>
  <c r="D293" i="1"/>
  <c r="I293" i="1"/>
  <c r="J293" i="1"/>
  <c r="K293" i="1"/>
  <c r="C294" i="1"/>
  <c r="D294" i="1"/>
  <c r="I294" i="1"/>
  <c r="L294" i="1" s="1"/>
  <c r="J294" i="1"/>
  <c r="K294" i="1"/>
  <c r="C295" i="1"/>
  <c r="D295" i="1"/>
  <c r="I295" i="1"/>
  <c r="J295" i="1"/>
  <c r="K295" i="1"/>
  <c r="C296" i="1"/>
  <c r="D296" i="1"/>
  <c r="I296" i="1"/>
  <c r="J296" i="1"/>
  <c r="K296" i="1"/>
  <c r="C297" i="1"/>
  <c r="D297" i="1"/>
  <c r="I297" i="1"/>
  <c r="J297" i="1"/>
  <c r="K297" i="1"/>
  <c r="C298" i="1"/>
  <c r="D298" i="1"/>
  <c r="I298" i="1"/>
  <c r="J298" i="1"/>
  <c r="K298" i="1"/>
  <c r="C299" i="1"/>
  <c r="D299" i="1"/>
  <c r="I299" i="1"/>
  <c r="J299" i="1"/>
  <c r="K299" i="1"/>
  <c r="C300" i="1"/>
  <c r="D300" i="1"/>
  <c r="I300" i="1"/>
  <c r="J300" i="1"/>
  <c r="K300" i="1"/>
  <c r="C301" i="1"/>
  <c r="D301" i="1"/>
  <c r="I301" i="1"/>
  <c r="L301" i="1" s="1"/>
  <c r="J301" i="1"/>
  <c r="K301" i="1"/>
  <c r="C302" i="1"/>
  <c r="D302" i="1"/>
  <c r="I302" i="1"/>
  <c r="J302" i="1"/>
  <c r="K302" i="1"/>
  <c r="C303" i="1"/>
  <c r="D303" i="1"/>
  <c r="I303" i="1"/>
  <c r="J303" i="1"/>
  <c r="K303" i="1"/>
  <c r="C304" i="1"/>
  <c r="D304" i="1"/>
  <c r="I304" i="1"/>
  <c r="J304" i="1"/>
  <c r="K304" i="1"/>
  <c r="C305" i="1"/>
  <c r="D305" i="1"/>
  <c r="I305" i="1"/>
  <c r="J305" i="1"/>
  <c r="K305" i="1"/>
  <c r="C306" i="1"/>
  <c r="D306" i="1"/>
  <c r="I306" i="1"/>
  <c r="J306" i="1"/>
  <c r="K306" i="1"/>
  <c r="C307" i="1"/>
  <c r="D307" i="1"/>
  <c r="I307" i="1"/>
  <c r="L307" i="1" s="1"/>
  <c r="J307" i="1"/>
  <c r="K307" i="1"/>
  <c r="C308" i="1"/>
  <c r="D308" i="1"/>
  <c r="I308" i="1"/>
  <c r="L308" i="1" s="1"/>
  <c r="J308" i="1"/>
  <c r="K308" i="1"/>
  <c r="C309" i="1"/>
  <c r="D309" i="1"/>
  <c r="I309" i="1"/>
  <c r="J309" i="1"/>
  <c r="K309" i="1"/>
  <c r="C310" i="1"/>
  <c r="D310" i="1"/>
  <c r="I310" i="1"/>
  <c r="J310" i="1"/>
  <c r="K310" i="1"/>
  <c r="C311" i="1"/>
  <c r="D311" i="1"/>
  <c r="I311" i="1"/>
  <c r="J311" i="1"/>
  <c r="K311" i="1"/>
  <c r="C312" i="1"/>
  <c r="D312" i="1"/>
  <c r="I312" i="1"/>
  <c r="L312" i="1" s="1"/>
  <c r="J312" i="1"/>
  <c r="K312" i="1"/>
  <c r="C313" i="1"/>
  <c r="D313" i="1"/>
  <c r="I313" i="1"/>
  <c r="J313" i="1"/>
  <c r="K313" i="1"/>
  <c r="C314" i="1"/>
  <c r="D314" i="1"/>
  <c r="I314" i="1"/>
  <c r="J314" i="1"/>
  <c r="K314" i="1"/>
  <c r="C315" i="1"/>
  <c r="D315" i="1"/>
  <c r="I315" i="1"/>
  <c r="J315" i="1"/>
  <c r="K315" i="1"/>
  <c r="C316" i="1"/>
  <c r="D316" i="1"/>
  <c r="I316" i="1"/>
  <c r="L316" i="1" s="1"/>
  <c r="J316" i="1"/>
  <c r="K316" i="1"/>
  <c r="C317" i="1"/>
  <c r="D317" i="1"/>
  <c r="I317" i="1"/>
  <c r="J317" i="1"/>
  <c r="K317" i="1"/>
  <c r="C318" i="1"/>
  <c r="D318" i="1"/>
  <c r="I318" i="1"/>
  <c r="J318" i="1"/>
  <c r="K318" i="1"/>
  <c r="C319" i="1"/>
  <c r="D319" i="1"/>
  <c r="I319" i="1"/>
  <c r="J319" i="1"/>
  <c r="K319" i="1"/>
  <c r="C320" i="1"/>
  <c r="D320" i="1"/>
  <c r="I320" i="1"/>
  <c r="J320" i="1"/>
  <c r="K320" i="1"/>
  <c r="C321" i="1"/>
  <c r="D321" i="1"/>
  <c r="I321" i="1"/>
  <c r="J321" i="1"/>
  <c r="K321" i="1"/>
  <c r="C322" i="1"/>
  <c r="D322" i="1"/>
  <c r="I322" i="1"/>
  <c r="J322" i="1"/>
  <c r="K322" i="1"/>
  <c r="C323" i="1"/>
  <c r="D323" i="1"/>
  <c r="I323" i="1"/>
  <c r="J323" i="1"/>
  <c r="K323" i="1"/>
  <c r="C324" i="1"/>
  <c r="D324" i="1"/>
  <c r="I324" i="1"/>
  <c r="J324" i="1"/>
  <c r="K324" i="1"/>
  <c r="C325" i="1"/>
  <c r="D325" i="1"/>
  <c r="I325" i="1"/>
  <c r="J325" i="1"/>
  <c r="K325" i="1"/>
  <c r="C326" i="1"/>
  <c r="D326" i="1"/>
  <c r="I326" i="1"/>
  <c r="J326" i="1"/>
  <c r="K326" i="1"/>
  <c r="C327" i="1"/>
  <c r="D327" i="1"/>
  <c r="I327" i="1"/>
  <c r="J327" i="1"/>
  <c r="K327" i="1"/>
  <c r="C328" i="1"/>
  <c r="D328" i="1"/>
  <c r="I328" i="1"/>
  <c r="J328" i="1"/>
  <c r="K328" i="1"/>
  <c r="C329" i="1"/>
  <c r="D329" i="1"/>
  <c r="I329" i="1"/>
  <c r="J329" i="1"/>
  <c r="K329" i="1"/>
  <c r="C330" i="1"/>
  <c r="D330" i="1"/>
  <c r="I330" i="1"/>
  <c r="J330" i="1"/>
  <c r="K330" i="1"/>
  <c r="C331" i="1"/>
  <c r="D331" i="1"/>
  <c r="I331" i="1"/>
  <c r="J331" i="1"/>
  <c r="K331" i="1"/>
  <c r="C332" i="1"/>
  <c r="D332" i="1"/>
  <c r="I332" i="1"/>
  <c r="J332" i="1"/>
  <c r="K332" i="1"/>
  <c r="C333" i="1"/>
  <c r="D333" i="1"/>
  <c r="I333" i="1"/>
  <c r="J333" i="1"/>
  <c r="K333" i="1"/>
  <c r="C334" i="1"/>
  <c r="D334" i="1"/>
  <c r="I334" i="1"/>
  <c r="J334" i="1"/>
  <c r="K334" i="1"/>
  <c r="C335" i="1"/>
  <c r="D335" i="1"/>
  <c r="I335" i="1"/>
  <c r="J335" i="1"/>
  <c r="K335" i="1"/>
  <c r="C336" i="1"/>
  <c r="D336" i="1"/>
  <c r="I336" i="1"/>
  <c r="L336" i="1" s="1"/>
  <c r="J336" i="1"/>
  <c r="K336" i="1"/>
  <c r="C337" i="1"/>
  <c r="D337" i="1"/>
  <c r="I337" i="1"/>
  <c r="J337" i="1"/>
  <c r="K337" i="1"/>
  <c r="C338" i="1"/>
  <c r="D338" i="1"/>
  <c r="I338" i="1"/>
  <c r="J338" i="1"/>
  <c r="K338" i="1"/>
  <c r="C339" i="1"/>
  <c r="D339" i="1"/>
  <c r="I339" i="1"/>
  <c r="J339" i="1"/>
  <c r="K339" i="1"/>
  <c r="C340" i="1"/>
  <c r="D340" i="1"/>
  <c r="I340" i="1"/>
  <c r="J340" i="1"/>
  <c r="K340" i="1"/>
  <c r="C341" i="1"/>
  <c r="D341" i="1"/>
  <c r="I341" i="1"/>
  <c r="J341" i="1"/>
  <c r="K341" i="1"/>
  <c r="C342" i="1"/>
  <c r="D342" i="1"/>
  <c r="I342" i="1"/>
  <c r="J342" i="1"/>
  <c r="K342" i="1"/>
  <c r="C343" i="1"/>
  <c r="D343" i="1"/>
  <c r="I343" i="1"/>
  <c r="J343" i="1"/>
  <c r="K343" i="1"/>
  <c r="C344" i="1"/>
  <c r="D344" i="1"/>
  <c r="I344" i="1"/>
  <c r="L344" i="1" s="1"/>
  <c r="J344" i="1"/>
  <c r="K344" i="1"/>
  <c r="C345" i="1"/>
  <c r="D345" i="1"/>
  <c r="I345" i="1"/>
  <c r="J345" i="1"/>
  <c r="K345" i="1"/>
  <c r="C346" i="1"/>
  <c r="D346" i="1"/>
  <c r="I346" i="1"/>
  <c r="J346" i="1"/>
  <c r="K346" i="1"/>
  <c r="C347" i="1"/>
  <c r="D347" i="1"/>
  <c r="I347" i="1"/>
  <c r="J347" i="1"/>
  <c r="K347" i="1"/>
  <c r="C348" i="1"/>
  <c r="D348" i="1"/>
  <c r="I348" i="1"/>
  <c r="L348" i="1" s="1"/>
  <c r="J348" i="1"/>
  <c r="K348" i="1"/>
  <c r="C349" i="1"/>
  <c r="D349" i="1"/>
  <c r="I349" i="1"/>
  <c r="J349" i="1"/>
  <c r="K349" i="1"/>
  <c r="C350" i="1"/>
  <c r="D350" i="1"/>
  <c r="I350" i="1"/>
  <c r="J350" i="1"/>
  <c r="K350" i="1"/>
  <c r="C351" i="1"/>
  <c r="D351" i="1"/>
  <c r="I351" i="1"/>
  <c r="J351" i="1"/>
  <c r="K351" i="1"/>
  <c r="C352" i="1"/>
  <c r="D352" i="1"/>
  <c r="I352" i="1"/>
  <c r="J352" i="1"/>
  <c r="K352" i="1"/>
  <c r="C353" i="1"/>
  <c r="D353" i="1"/>
  <c r="I353" i="1"/>
  <c r="J353" i="1"/>
  <c r="K353" i="1"/>
  <c r="C354" i="1"/>
  <c r="D354" i="1"/>
  <c r="I354" i="1"/>
  <c r="J354" i="1"/>
  <c r="K354" i="1"/>
  <c r="C355" i="1"/>
  <c r="D355" i="1"/>
  <c r="I355" i="1"/>
  <c r="J355" i="1"/>
  <c r="K355" i="1"/>
  <c r="C356" i="1"/>
  <c r="D356" i="1"/>
  <c r="I356" i="1"/>
  <c r="J356" i="1"/>
  <c r="K356" i="1"/>
  <c r="C357" i="1"/>
  <c r="D357" i="1"/>
  <c r="I357" i="1"/>
  <c r="J357" i="1"/>
  <c r="K357" i="1"/>
  <c r="C358" i="1"/>
  <c r="D358" i="1"/>
  <c r="I358" i="1"/>
  <c r="J358" i="1"/>
  <c r="K358" i="1"/>
  <c r="C359" i="1"/>
  <c r="D359" i="1"/>
  <c r="I359" i="1"/>
  <c r="J359" i="1"/>
  <c r="K359" i="1"/>
  <c r="C360" i="1"/>
  <c r="D360" i="1"/>
  <c r="I360" i="1"/>
  <c r="L360" i="1" s="1"/>
  <c r="J360" i="1"/>
  <c r="K360" i="1"/>
  <c r="C361" i="1"/>
  <c r="D361" i="1"/>
  <c r="I361" i="1"/>
  <c r="J361" i="1"/>
  <c r="K361" i="1"/>
  <c r="C362" i="1"/>
  <c r="D362" i="1"/>
  <c r="I362" i="1"/>
  <c r="J362" i="1"/>
  <c r="K362" i="1"/>
  <c r="C363" i="1"/>
  <c r="D363" i="1"/>
  <c r="I363" i="1"/>
  <c r="J363" i="1"/>
  <c r="K363" i="1"/>
  <c r="C364" i="1"/>
  <c r="D364" i="1"/>
  <c r="I364" i="1"/>
  <c r="J364" i="1"/>
  <c r="K364" i="1"/>
  <c r="C365" i="1"/>
  <c r="D365" i="1"/>
  <c r="I365" i="1"/>
  <c r="J365" i="1"/>
  <c r="K365" i="1"/>
  <c r="C366" i="1"/>
  <c r="D366" i="1"/>
  <c r="I366" i="1"/>
  <c r="J366" i="1"/>
  <c r="K366" i="1"/>
  <c r="C367" i="1"/>
  <c r="D367" i="1"/>
  <c r="I367" i="1"/>
  <c r="J367" i="1"/>
  <c r="K367" i="1"/>
  <c r="C368" i="1"/>
  <c r="D368" i="1"/>
  <c r="I368" i="1"/>
  <c r="J368" i="1"/>
  <c r="K368" i="1"/>
  <c r="C369" i="1"/>
  <c r="D369" i="1"/>
  <c r="I369" i="1"/>
  <c r="J369" i="1"/>
  <c r="K369" i="1"/>
  <c r="C370" i="1"/>
  <c r="D370" i="1"/>
  <c r="I370" i="1"/>
  <c r="J370" i="1"/>
  <c r="K370" i="1"/>
  <c r="C371" i="1"/>
  <c r="D371" i="1"/>
  <c r="I371" i="1"/>
  <c r="J371" i="1"/>
  <c r="K371" i="1"/>
  <c r="C372" i="1"/>
  <c r="D372" i="1"/>
  <c r="I372" i="1"/>
  <c r="J372" i="1"/>
  <c r="K372" i="1"/>
  <c r="C373" i="1"/>
  <c r="D373" i="1"/>
  <c r="I373" i="1"/>
  <c r="J373" i="1"/>
  <c r="K373" i="1"/>
  <c r="C374" i="1"/>
  <c r="D374" i="1"/>
  <c r="I374" i="1"/>
  <c r="J374" i="1"/>
  <c r="K374" i="1"/>
  <c r="C375" i="1"/>
  <c r="D375" i="1"/>
  <c r="I375" i="1"/>
  <c r="J375" i="1"/>
  <c r="K375" i="1"/>
  <c r="C376" i="1"/>
  <c r="D376" i="1"/>
  <c r="I376" i="1"/>
  <c r="L376" i="1" s="1"/>
  <c r="J376" i="1"/>
  <c r="K376" i="1"/>
  <c r="C377" i="1"/>
  <c r="D377" i="1"/>
  <c r="I377" i="1"/>
  <c r="J377" i="1"/>
  <c r="K377" i="1"/>
  <c r="C378" i="1"/>
  <c r="D378" i="1"/>
  <c r="I378" i="1"/>
  <c r="J378" i="1"/>
  <c r="K378" i="1"/>
  <c r="C379" i="1"/>
  <c r="D379" i="1"/>
  <c r="I379" i="1"/>
  <c r="J379" i="1"/>
  <c r="K379" i="1"/>
  <c r="C380" i="1"/>
  <c r="D380" i="1"/>
  <c r="I380" i="1"/>
  <c r="J380" i="1"/>
  <c r="K380" i="1"/>
  <c r="C381" i="1"/>
  <c r="D381" i="1"/>
  <c r="I381" i="1"/>
  <c r="J381" i="1"/>
  <c r="K381" i="1"/>
  <c r="C382" i="1"/>
  <c r="D382" i="1"/>
  <c r="I382" i="1"/>
  <c r="J382" i="1"/>
  <c r="K382" i="1"/>
  <c r="C383" i="1"/>
  <c r="D383" i="1"/>
  <c r="I383" i="1"/>
  <c r="J383" i="1"/>
  <c r="K383" i="1"/>
  <c r="C384" i="1"/>
  <c r="D384" i="1"/>
  <c r="I384" i="1"/>
  <c r="J384" i="1"/>
  <c r="K384" i="1"/>
  <c r="C385" i="1"/>
  <c r="D385" i="1"/>
  <c r="I385" i="1"/>
  <c r="J385" i="1"/>
  <c r="K385" i="1"/>
  <c r="C386" i="1"/>
  <c r="D386" i="1"/>
  <c r="I386" i="1"/>
  <c r="J386" i="1"/>
  <c r="K386" i="1"/>
  <c r="C387" i="1"/>
  <c r="D387" i="1"/>
  <c r="I387" i="1"/>
  <c r="J387" i="1"/>
  <c r="K387" i="1"/>
  <c r="C388" i="1"/>
  <c r="D388" i="1"/>
  <c r="I388" i="1"/>
  <c r="J388" i="1"/>
  <c r="K388" i="1"/>
  <c r="C389" i="1"/>
  <c r="D389" i="1"/>
  <c r="I389" i="1"/>
  <c r="J389" i="1"/>
  <c r="K389" i="1"/>
  <c r="C390" i="1"/>
  <c r="D390" i="1"/>
  <c r="I390" i="1"/>
  <c r="J390" i="1"/>
  <c r="K390" i="1"/>
  <c r="C391" i="1"/>
  <c r="D391" i="1"/>
  <c r="I391" i="1"/>
  <c r="J391" i="1"/>
  <c r="K391" i="1"/>
  <c r="C392" i="1"/>
  <c r="D392" i="1"/>
  <c r="I392" i="1"/>
  <c r="J392" i="1"/>
  <c r="K392" i="1"/>
  <c r="C393" i="1"/>
  <c r="D393" i="1"/>
  <c r="I393" i="1"/>
  <c r="J393" i="1"/>
  <c r="K393" i="1"/>
  <c r="C394" i="1"/>
  <c r="D394" i="1"/>
  <c r="I394" i="1"/>
  <c r="J394" i="1"/>
  <c r="K394" i="1"/>
  <c r="C395" i="1"/>
  <c r="D395" i="1"/>
  <c r="I395" i="1"/>
  <c r="J395" i="1"/>
  <c r="K395" i="1"/>
  <c r="C396" i="1"/>
  <c r="D396" i="1"/>
  <c r="I396" i="1"/>
  <c r="L396" i="1" s="1"/>
  <c r="J396" i="1"/>
  <c r="K396" i="1"/>
  <c r="C397" i="1"/>
  <c r="D397" i="1"/>
  <c r="I397" i="1"/>
  <c r="J397" i="1"/>
  <c r="K397" i="1"/>
  <c r="C398" i="1"/>
  <c r="D398" i="1"/>
  <c r="I398" i="1"/>
  <c r="J398" i="1"/>
  <c r="K398" i="1"/>
  <c r="C399" i="1"/>
  <c r="D399" i="1"/>
  <c r="I399" i="1"/>
  <c r="J399" i="1"/>
  <c r="K399" i="1"/>
  <c r="C400" i="1"/>
  <c r="D400" i="1"/>
  <c r="I400" i="1"/>
  <c r="J400" i="1"/>
  <c r="K400" i="1"/>
  <c r="C401" i="1"/>
  <c r="D401" i="1"/>
  <c r="I401" i="1"/>
  <c r="J401" i="1"/>
  <c r="K401" i="1"/>
  <c r="C402" i="1"/>
  <c r="D402" i="1"/>
  <c r="I402" i="1"/>
  <c r="J402" i="1"/>
  <c r="K402" i="1"/>
  <c r="C403" i="1"/>
  <c r="D403" i="1"/>
  <c r="I403" i="1"/>
  <c r="J403" i="1"/>
  <c r="K403" i="1"/>
  <c r="C404" i="1"/>
  <c r="D404" i="1"/>
  <c r="I404" i="1"/>
  <c r="J404" i="1"/>
  <c r="K404" i="1"/>
  <c r="C405" i="1"/>
  <c r="D405" i="1"/>
  <c r="I405" i="1"/>
  <c r="J405" i="1"/>
  <c r="K405" i="1"/>
  <c r="C406" i="1"/>
  <c r="D406" i="1"/>
  <c r="I406" i="1"/>
  <c r="J406" i="1"/>
  <c r="K406" i="1"/>
  <c r="C407" i="1"/>
  <c r="D407" i="1"/>
  <c r="I407" i="1"/>
  <c r="J407" i="1"/>
  <c r="K407" i="1"/>
  <c r="C408" i="1"/>
  <c r="D408" i="1"/>
  <c r="I408" i="1"/>
  <c r="L408" i="1" s="1"/>
  <c r="J408" i="1"/>
  <c r="K408" i="1"/>
  <c r="C409" i="1"/>
  <c r="D409" i="1"/>
  <c r="I409" i="1"/>
  <c r="J409" i="1"/>
  <c r="K409" i="1"/>
  <c r="C410" i="1"/>
  <c r="D410" i="1"/>
  <c r="I410" i="1"/>
  <c r="J410" i="1"/>
  <c r="K410" i="1"/>
  <c r="C411" i="1"/>
  <c r="D411" i="1"/>
  <c r="I411" i="1"/>
  <c r="J411" i="1"/>
  <c r="K411" i="1"/>
  <c r="C412" i="1"/>
  <c r="D412" i="1"/>
  <c r="I412" i="1"/>
  <c r="L412" i="1" s="1"/>
  <c r="J412" i="1"/>
  <c r="K412" i="1"/>
  <c r="C413" i="1"/>
  <c r="D413" i="1"/>
  <c r="I413" i="1"/>
  <c r="J413" i="1"/>
  <c r="K413" i="1"/>
  <c r="C414" i="1"/>
  <c r="D414" i="1"/>
  <c r="I414" i="1"/>
  <c r="J414" i="1"/>
  <c r="K414" i="1"/>
  <c r="C415" i="1"/>
  <c r="D415" i="1"/>
  <c r="I415" i="1"/>
  <c r="J415" i="1"/>
  <c r="K415" i="1"/>
  <c r="C416" i="1"/>
  <c r="D416" i="1"/>
  <c r="I416" i="1"/>
  <c r="J416" i="1"/>
  <c r="K416" i="1"/>
  <c r="C417" i="1"/>
  <c r="D417" i="1"/>
  <c r="I417" i="1"/>
  <c r="J417" i="1"/>
  <c r="K417" i="1"/>
  <c r="C418" i="1"/>
  <c r="D418" i="1"/>
  <c r="I418" i="1"/>
  <c r="J418" i="1"/>
  <c r="K418" i="1"/>
  <c r="C419" i="1"/>
  <c r="D419" i="1"/>
  <c r="I419" i="1"/>
  <c r="J419" i="1"/>
  <c r="K419" i="1"/>
  <c r="C420" i="1"/>
  <c r="D420" i="1"/>
  <c r="I420" i="1"/>
  <c r="J420" i="1"/>
  <c r="K420" i="1"/>
  <c r="C421" i="1"/>
  <c r="D421" i="1"/>
  <c r="I421" i="1"/>
  <c r="J421" i="1"/>
  <c r="K421" i="1"/>
  <c r="C422" i="1"/>
  <c r="D422" i="1"/>
  <c r="I422" i="1"/>
  <c r="J422" i="1"/>
  <c r="K422" i="1"/>
  <c r="C423" i="1"/>
  <c r="D423" i="1"/>
  <c r="I423" i="1"/>
  <c r="J423" i="1"/>
  <c r="K423" i="1"/>
  <c r="C424" i="1"/>
  <c r="D424" i="1"/>
  <c r="I424" i="1"/>
  <c r="L424" i="1" s="1"/>
  <c r="J424" i="1"/>
  <c r="K424" i="1"/>
  <c r="C425" i="1"/>
  <c r="D425" i="1"/>
  <c r="I425" i="1"/>
  <c r="J425" i="1"/>
  <c r="K425" i="1"/>
  <c r="C426" i="1"/>
  <c r="D426" i="1"/>
  <c r="I426" i="1"/>
  <c r="J426" i="1"/>
  <c r="K426" i="1"/>
  <c r="C427" i="1"/>
  <c r="D427" i="1"/>
  <c r="I427" i="1"/>
  <c r="J427" i="1"/>
  <c r="K427" i="1"/>
  <c r="C428" i="1"/>
  <c r="D428" i="1"/>
  <c r="I428" i="1"/>
  <c r="J428" i="1"/>
  <c r="K428" i="1"/>
  <c r="C429" i="1"/>
  <c r="D429" i="1"/>
  <c r="I429" i="1"/>
  <c r="J429" i="1"/>
  <c r="K429" i="1"/>
  <c r="C430" i="1"/>
  <c r="D430" i="1"/>
  <c r="I430" i="1"/>
  <c r="J430" i="1"/>
  <c r="K430" i="1"/>
  <c r="C431" i="1"/>
  <c r="D431" i="1"/>
  <c r="I431" i="1"/>
  <c r="J431" i="1"/>
  <c r="K431" i="1"/>
  <c r="C432" i="1"/>
  <c r="D432" i="1"/>
  <c r="I432" i="1"/>
  <c r="J432" i="1"/>
  <c r="K432" i="1"/>
  <c r="C433" i="1"/>
  <c r="D433" i="1"/>
  <c r="I433" i="1"/>
  <c r="J433" i="1"/>
  <c r="K433" i="1"/>
  <c r="C434" i="1"/>
  <c r="D434" i="1"/>
  <c r="I434" i="1"/>
  <c r="J434" i="1"/>
  <c r="K434" i="1"/>
  <c r="C435" i="1"/>
  <c r="D435" i="1"/>
  <c r="I435" i="1"/>
  <c r="J435" i="1"/>
  <c r="K435" i="1"/>
  <c r="C436" i="1"/>
  <c r="D436" i="1"/>
  <c r="I436" i="1"/>
  <c r="J436" i="1"/>
  <c r="K436" i="1"/>
  <c r="C437" i="1"/>
  <c r="D437" i="1"/>
  <c r="I437" i="1"/>
  <c r="J437" i="1"/>
  <c r="K437" i="1"/>
  <c r="C438" i="1"/>
  <c r="D438" i="1"/>
  <c r="I438" i="1"/>
  <c r="J438" i="1"/>
  <c r="K438" i="1"/>
  <c r="C439" i="1"/>
  <c r="D439" i="1"/>
  <c r="I439" i="1"/>
  <c r="J439" i="1"/>
  <c r="K439" i="1"/>
  <c r="C440" i="1"/>
  <c r="D440" i="1"/>
  <c r="I440" i="1"/>
  <c r="L440" i="1" s="1"/>
  <c r="J440" i="1"/>
  <c r="K440" i="1"/>
  <c r="C441" i="1"/>
  <c r="D441" i="1"/>
  <c r="I441" i="1"/>
  <c r="J441" i="1"/>
  <c r="K441" i="1"/>
  <c r="C442" i="1"/>
  <c r="D442" i="1"/>
  <c r="I442" i="1"/>
  <c r="J442" i="1"/>
  <c r="K442" i="1"/>
  <c r="C443" i="1"/>
  <c r="D443" i="1"/>
  <c r="I443" i="1"/>
  <c r="J443" i="1"/>
  <c r="K443" i="1"/>
  <c r="C444" i="1"/>
  <c r="D444" i="1"/>
  <c r="I444" i="1"/>
  <c r="L444" i="1" s="1"/>
  <c r="J444" i="1"/>
  <c r="K444" i="1"/>
  <c r="C445" i="1"/>
  <c r="D445" i="1"/>
  <c r="I445" i="1"/>
  <c r="J445" i="1"/>
  <c r="K445" i="1"/>
  <c r="C446" i="1"/>
  <c r="D446" i="1"/>
  <c r="I446" i="1"/>
  <c r="J446" i="1"/>
  <c r="K446" i="1"/>
  <c r="C447" i="1"/>
  <c r="D447" i="1"/>
  <c r="I447" i="1"/>
  <c r="J447" i="1"/>
  <c r="K447" i="1"/>
  <c r="C448" i="1"/>
  <c r="D448" i="1"/>
  <c r="I448" i="1"/>
  <c r="J448" i="1"/>
  <c r="K448" i="1"/>
  <c r="C449" i="1"/>
  <c r="D449" i="1"/>
  <c r="I449" i="1"/>
  <c r="J449" i="1"/>
  <c r="K449" i="1"/>
  <c r="C450" i="1"/>
  <c r="D450" i="1"/>
  <c r="I450" i="1"/>
  <c r="J450" i="1"/>
  <c r="K450" i="1"/>
  <c r="C451" i="1"/>
  <c r="D451" i="1"/>
  <c r="I451" i="1"/>
  <c r="J451" i="1"/>
  <c r="K451" i="1"/>
  <c r="C452" i="1"/>
  <c r="D452" i="1"/>
  <c r="I452" i="1"/>
  <c r="J452" i="1"/>
  <c r="K452" i="1"/>
  <c r="C453" i="1"/>
  <c r="D453" i="1"/>
  <c r="I453" i="1"/>
  <c r="J453" i="1"/>
  <c r="K453" i="1"/>
  <c r="C454" i="1"/>
  <c r="D454" i="1"/>
  <c r="I454" i="1"/>
  <c r="J454" i="1"/>
  <c r="K454" i="1"/>
  <c r="C455" i="1"/>
  <c r="D455" i="1"/>
  <c r="I455" i="1"/>
  <c r="J455" i="1"/>
  <c r="K455" i="1"/>
  <c r="C456" i="1"/>
  <c r="D456" i="1"/>
  <c r="I456" i="1"/>
  <c r="J456" i="1"/>
  <c r="K456" i="1"/>
  <c r="C457" i="1"/>
  <c r="D457" i="1"/>
  <c r="I457" i="1"/>
  <c r="J457" i="1"/>
  <c r="K457" i="1"/>
  <c r="C458" i="1"/>
  <c r="D458" i="1"/>
  <c r="I458" i="1"/>
  <c r="J458" i="1"/>
  <c r="K458" i="1"/>
  <c r="C459" i="1"/>
  <c r="D459" i="1"/>
  <c r="I459" i="1"/>
  <c r="J459" i="1"/>
  <c r="K459" i="1"/>
  <c r="C460" i="1"/>
  <c r="D460" i="1"/>
  <c r="I460" i="1"/>
  <c r="J460" i="1"/>
  <c r="K460" i="1"/>
  <c r="C461" i="1"/>
  <c r="D461" i="1"/>
  <c r="I461" i="1"/>
  <c r="J461" i="1"/>
  <c r="K461" i="1"/>
  <c r="C462" i="1"/>
  <c r="D462" i="1"/>
  <c r="I462" i="1"/>
  <c r="J462" i="1"/>
  <c r="K462" i="1"/>
  <c r="C463" i="1"/>
  <c r="D463" i="1"/>
  <c r="I463" i="1"/>
  <c r="J463" i="1"/>
  <c r="K463" i="1"/>
  <c r="C464" i="1"/>
  <c r="D464" i="1"/>
  <c r="I464" i="1"/>
  <c r="J464" i="1"/>
  <c r="K464" i="1"/>
  <c r="C465" i="1"/>
  <c r="D465" i="1"/>
  <c r="I465" i="1"/>
  <c r="J465" i="1"/>
  <c r="K465" i="1"/>
  <c r="C466" i="1"/>
  <c r="D466" i="1"/>
  <c r="I466" i="1"/>
  <c r="J466" i="1"/>
  <c r="K466" i="1"/>
  <c r="C467" i="1"/>
  <c r="D467" i="1"/>
  <c r="I467" i="1"/>
  <c r="J467" i="1"/>
  <c r="K467" i="1"/>
  <c r="C468" i="1"/>
  <c r="D468" i="1"/>
  <c r="I468" i="1"/>
  <c r="J468" i="1"/>
  <c r="K468" i="1"/>
  <c r="C469" i="1"/>
  <c r="D469" i="1"/>
  <c r="I469" i="1"/>
  <c r="J469" i="1"/>
  <c r="K469" i="1"/>
  <c r="C470" i="1"/>
  <c r="D470" i="1"/>
  <c r="I470" i="1"/>
  <c r="J470" i="1"/>
  <c r="K470" i="1"/>
  <c r="C471" i="1"/>
  <c r="D471" i="1"/>
  <c r="I471" i="1"/>
  <c r="J471" i="1"/>
  <c r="K471" i="1"/>
  <c r="C472" i="1"/>
  <c r="D472" i="1"/>
  <c r="I472" i="1"/>
  <c r="L472" i="1" s="1"/>
  <c r="J472" i="1"/>
  <c r="K472" i="1"/>
  <c r="C473" i="1"/>
  <c r="D473" i="1"/>
  <c r="I473" i="1"/>
  <c r="J473" i="1"/>
  <c r="K473" i="1"/>
  <c r="C474" i="1"/>
  <c r="D474" i="1"/>
  <c r="I474" i="1"/>
  <c r="J474" i="1"/>
  <c r="K474" i="1"/>
  <c r="C475" i="1"/>
  <c r="D475" i="1"/>
  <c r="I475" i="1"/>
  <c r="J475" i="1"/>
  <c r="K475" i="1"/>
  <c r="C476" i="1"/>
  <c r="D476" i="1"/>
  <c r="I476" i="1"/>
  <c r="L476" i="1" s="1"/>
  <c r="J476" i="1"/>
  <c r="K476" i="1"/>
  <c r="C477" i="1"/>
  <c r="D477" i="1"/>
  <c r="I477" i="1"/>
  <c r="J477" i="1"/>
  <c r="K477" i="1"/>
  <c r="C478" i="1"/>
  <c r="D478" i="1"/>
  <c r="I478" i="1"/>
  <c r="J478" i="1"/>
  <c r="K478" i="1"/>
  <c r="C479" i="1"/>
  <c r="D479" i="1"/>
  <c r="I479" i="1"/>
  <c r="J479" i="1"/>
  <c r="K479" i="1"/>
  <c r="C480" i="1"/>
  <c r="D480" i="1"/>
  <c r="I480" i="1"/>
  <c r="J480" i="1"/>
  <c r="K480" i="1"/>
  <c r="C481" i="1"/>
  <c r="D481" i="1"/>
  <c r="I481" i="1"/>
  <c r="J481" i="1"/>
  <c r="K481" i="1"/>
  <c r="C482" i="1"/>
  <c r="D482" i="1"/>
  <c r="I482" i="1"/>
  <c r="J482" i="1"/>
  <c r="K482" i="1"/>
  <c r="C483" i="1"/>
  <c r="D483" i="1"/>
  <c r="I483" i="1"/>
  <c r="J483" i="1"/>
  <c r="K483" i="1"/>
  <c r="C484" i="1"/>
  <c r="D484" i="1"/>
  <c r="I484" i="1"/>
  <c r="J484" i="1"/>
  <c r="K484" i="1"/>
  <c r="C485" i="1"/>
  <c r="D485" i="1"/>
  <c r="I485" i="1"/>
  <c r="J485" i="1"/>
  <c r="K485" i="1"/>
  <c r="C486" i="1"/>
  <c r="D486" i="1"/>
  <c r="I486" i="1"/>
  <c r="J486" i="1"/>
  <c r="K486" i="1"/>
  <c r="C487" i="1"/>
  <c r="D487" i="1"/>
  <c r="I487" i="1"/>
  <c r="J487" i="1"/>
  <c r="K487" i="1"/>
  <c r="C488" i="1"/>
  <c r="D488" i="1"/>
  <c r="I488" i="1"/>
  <c r="J488" i="1"/>
  <c r="K488" i="1"/>
  <c r="C489" i="1"/>
  <c r="D489" i="1"/>
  <c r="I489" i="1"/>
  <c r="J489" i="1"/>
  <c r="K489" i="1"/>
  <c r="C490" i="1"/>
  <c r="D490" i="1"/>
  <c r="I490" i="1"/>
  <c r="J490" i="1"/>
  <c r="K490" i="1"/>
  <c r="C491" i="1"/>
  <c r="D491" i="1"/>
  <c r="I491" i="1"/>
  <c r="J491" i="1"/>
  <c r="K491" i="1"/>
  <c r="C492" i="1"/>
  <c r="D492" i="1"/>
  <c r="I492" i="1"/>
  <c r="J492" i="1"/>
  <c r="K492" i="1"/>
  <c r="C493" i="1"/>
  <c r="D493" i="1"/>
  <c r="I493" i="1"/>
  <c r="J493" i="1"/>
  <c r="K493" i="1"/>
  <c r="C494" i="1"/>
  <c r="D494" i="1"/>
  <c r="I494" i="1"/>
  <c r="J494" i="1"/>
  <c r="K494" i="1"/>
  <c r="C495" i="1"/>
  <c r="D495" i="1"/>
  <c r="I495" i="1"/>
  <c r="J495" i="1"/>
  <c r="K495" i="1"/>
  <c r="C496" i="1"/>
  <c r="D496" i="1"/>
  <c r="I496" i="1"/>
  <c r="J496" i="1"/>
  <c r="K496" i="1"/>
  <c r="C497" i="1"/>
  <c r="D497" i="1"/>
  <c r="I497" i="1"/>
  <c r="J497" i="1"/>
  <c r="K497" i="1"/>
  <c r="C498" i="1"/>
  <c r="D498" i="1"/>
  <c r="I498" i="1"/>
  <c r="J498" i="1"/>
  <c r="K498" i="1"/>
  <c r="C499" i="1"/>
  <c r="D499" i="1"/>
  <c r="I499" i="1"/>
  <c r="J499" i="1"/>
  <c r="K499" i="1"/>
  <c r="C500" i="1"/>
  <c r="D500" i="1"/>
  <c r="I500" i="1"/>
  <c r="L500" i="1" s="1"/>
  <c r="J500" i="1"/>
  <c r="K500" i="1"/>
  <c r="C501" i="1"/>
  <c r="D501" i="1"/>
  <c r="I501" i="1"/>
  <c r="J501" i="1"/>
  <c r="K501" i="1"/>
  <c r="C502" i="1"/>
  <c r="D502" i="1"/>
  <c r="I502" i="1"/>
  <c r="J502" i="1"/>
  <c r="K502" i="1"/>
  <c r="C503" i="1"/>
  <c r="D503" i="1"/>
  <c r="I503" i="1"/>
  <c r="J503" i="1"/>
  <c r="K503" i="1"/>
  <c r="C504" i="1"/>
  <c r="D504" i="1"/>
  <c r="I504" i="1"/>
  <c r="L504" i="1" s="1"/>
  <c r="J504" i="1"/>
  <c r="K504" i="1"/>
  <c r="C505" i="1"/>
  <c r="D505" i="1"/>
  <c r="I505" i="1"/>
  <c r="J505" i="1"/>
  <c r="K505" i="1"/>
  <c r="C506" i="1"/>
  <c r="D506" i="1"/>
  <c r="I506" i="1"/>
  <c r="J506" i="1"/>
  <c r="K506" i="1"/>
  <c r="C507" i="1"/>
  <c r="D507" i="1"/>
  <c r="I507" i="1"/>
  <c r="J507" i="1"/>
  <c r="K507" i="1"/>
  <c r="C508" i="1"/>
  <c r="D508" i="1"/>
  <c r="I508" i="1"/>
  <c r="L508" i="1" s="1"/>
  <c r="J508" i="1"/>
  <c r="K508" i="1"/>
  <c r="C509" i="1"/>
  <c r="D509" i="1"/>
  <c r="I509" i="1"/>
  <c r="J509" i="1"/>
  <c r="K509" i="1"/>
  <c r="C510" i="1"/>
  <c r="D510" i="1"/>
  <c r="I510" i="1"/>
  <c r="J510" i="1"/>
  <c r="K510" i="1"/>
  <c r="C511" i="1"/>
  <c r="D511" i="1"/>
  <c r="I511" i="1"/>
  <c r="J511" i="1"/>
  <c r="K511" i="1"/>
  <c r="C512" i="1"/>
  <c r="D512" i="1"/>
  <c r="I512" i="1"/>
  <c r="J512" i="1"/>
  <c r="K512" i="1"/>
  <c r="C513" i="1"/>
  <c r="D513" i="1"/>
  <c r="I513" i="1"/>
  <c r="J513" i="1"/>
  <c r="K513" i="1"/>
  <c r="C514" i="1"/>
  <c r="D514" i="1"/>
  <c r="I514" i="1"/>
  <c r="J514" i="1"/>
  <c r="K514" i="1"/>
  <c r="C515" i="1"/>
  <c r="D515" i="1"/>
  <c r="I515" i="1"/>
  <c r="J515" i="1"/>
  <c r="K515" i="1"/>
  <c r="C516" i="1"/>
  <c r="D516" i="1"/>
  <c r="I516" i="1"/>
  <c r="J516" i="1"/>
  <c r="K516" i="1"/>
  <c r="C517" i="1"/>
  <c r="D517" i="1"/>
  <c r="I517" i="1"/>
  <c r="J517" i="1"/>
  <c r="K517" i="1"/>
  <c r="C518" i="1"/>
  <c r="D518" i="1"/>
  <c r="I518" i="1"/>
  <c r="J518" i="1"/>
  <c r="K518" i="1"/>
  <c r="C519" i="1"/>
  <c r="D519" i="1"/>
  <c r="I519" i="1"/>
  <c r="J519" i="1"/>
  <c r="K519" i="1"/>
  <c r="C520" i="1"/>
  <c r="D520" i="1"/>
  <c r="I520" i="1"/>
  <c r="J520" i="1"/>
  <c r="K520" i="1"/>
  <c r="C521" i="1"/>
  <c r="D521" i="1"/>
  <c r="I521" i="1"/>
  <c r="J521" i="1"/>
  <c r="K521" i="1"/>
  <c r="C522" i="1"/>
  <c r="D522" i="1"/>
  <c r="I522" i="1"/>
  <c r="J522" i="1"/>
  <c r="K522" i="1"/>
  <c r="C523" i="1"/>
  <c r="D523" i="1"/>
  <c r="I523" i="1"/>
  <c r="J523" i="1"/>
  <c r="K523" i="1"/>
  <c r="C524" i="1"/>
  <c r="D524" i="1"/>
  <c r="I524" i="1"/>
  <c r="L524" i="1" s="1"/>
  <c r="J524" i="1"/>
  <c r="K524" i="1"/>
  <c r="C525" i="1"/>
  <c r="D525" i="1"/>
  <c r="I525" i="1"/>
  <c r="J525" i="1"/>
  <c r="K525" i="1"/>
  <c r="C526" i="1"/>
  <c r="D526" i="1"/>
  <c r="I526" i="1"/>
  <c r="J526" i="1"/>
  <c r="K526" i="1"/>
  <c r="C527" i="1"/>
  <c r="D527" i="1"/>
  <c r="I527" i="1"/>
  <c r="J527" i="1"/>
  <c r="K527" i="1"/>
  <c r="C528" i="1"/>
  <c r="D528" i="1"/>
  <c r="I528" i="1"/>
  <c r="J528" i="1"/>
  <c r="K528" i="1"/>
  <c r="C529" i="1"/>
  <c r="D529" i="1"/>
  <c r="I529" i="1"/>
  <c r="J529" i="1"/>
  <c r="K529" i="1"/>
  <c r="C530" i="1"/>
  <c r="D530" i="1"/>
  <c r="I530" i="1"/>
  <c r="J530" i="1"/>
  <c r="K530" i="1"/>
  <c r="C531" i="1"/>
  <c r="D531" i="1"/>
  <c r="I531" i="1"/>
  <c r="J531" i="1"/>
  <c r="K531" i="1"/>
  <c r="C532" i="1"/>
  <c r="D532" i="1"/>
  <c r="I532" i="1"/>
  <c r="J532" i="1"/>
  <c r="K532" i="1"/>
  <c r="C533" i="1"/>
  <c r="D533" i="1"/>
  <c r="I533" i="1"/>
  <c r="J533" i="1"/>
  <c r="K533" i="1"/>
  <c r="C534" i="1"/>
  <c r="D534" i="1"/>
  <c r="I534" i="1"/>
  <c r="J534" i="1"/>
  <c r="K534" i="1"/>
  <c r="C535" i="1"/>
  <c r="D535" i="1"/>
  <c r="I535" i="1"/>
  <c r="J535" i="1"/>
  <c r="K535" i="1"/>
  <c r="C536" i="1"/>
  <c r="D536" i="1"/>
  <c r="I536" i="1"/>
  <c r="J536" i="1"/>
  <c r="K536" i="1"/>
  <c r="C537" i="1"/>
  <c r="D537" i="1"/>
  <c r="I537" i="1"/>
  <c r="J537" i="1"/>
  <c r="K537" i="1"/>
  <c r="C538" i="1"/>
  <c r="D538" i="1"/>
  <c r="I538" i="1"/>
  <c r="J538" i="1"/>
  <c r="K538" i="1"/>
  <c r="C539" i="1"/>
  <c r="D539" i="1"/>
  <c r="I539" i="1"/>
  <c r="J539" i="1"/>
  <c r="K539" i="1"/>
  <c r="C540" i="1"/>
  <c r="D540" i="1"/>
  <c r="I540" i="1"/>
  <c r="L540" i="1" s="1"/>
  <c r="J540" i="1"/>
  <c r="K540" i="1"/>
  <c r="C541" i="1"/>
  <c r="D541" i="1"/>
  <c r="I541" i="1"/>
  <c r="J541" i="1"/>
  <c r="K541" i="1"/>
  <c r="C542" i="1"/>
  <c r="D542" i="1"/>
  <c r="I542" i="1"/>
  <c r="J542" i="1"/>
  <c r="K542" i="1"/>
  <c r="C543" i="1"/>
  <c r="D543" i="1"/>
  <c r="I543" i="1"/>
  <c r="J543" i="1"/>
  <c r="K543" i="1"/>
  <c r="C544" i="1"/>
  <c r="D544" i="1"/>
  <c r="I544" i="1"/>
  <c r="J544" i="1"/>
  <c r="K544" i="1"/>
  <c r="C545" i="1"/>
  <c r="D545" i="1"/>
  <c r="I545" i="1"/>
  <c r="J545" i="1"/>
  <c r="K545" i="1"/>
  <c r="C546" i="1"/>
  <c r="D546" i="1"/>
  <c r="I546" i="1"/>
  <c r="J546" i="1"/>
  <c r="K546" i="1"/>
  <c r="C547" i="1"/>
  <c r="D547" i="1"/>
  <c r="I547" i="1"/>
  <c r="J547" i="1"/>
  <c r="K547" i="1"/>
  <c r="C548" i="1"/>
  <c r="D548" i="1"/>
  <c r="I548" i="1"/>
  <c r="J548" i="1"/>
  <c r="K548" i="1"/>
  <c r="C549" i="1"/>
  <c r="D549" i="1"/>
  <c r="I549" i="1"/>
  <c r="J549" i="1"/>
  <c r="K549" i="1"/>
  <c r="C550" i="1"/>
  <c r="D550" i="1"/>
  <c r="I550" i="1"/>
  <c r="J550" i="1"/>
  <c r="K550" i="1"/>
  <c r="C551" i="1"/>
  <c r="D551" i="1"/>
  <c r="I551" i="1"/>
  <c r="J551" i="1"/>
  <c r="K551" i="1"/>
  <c r="C552" i="1"/>
  <c r="D552" i="1"/>
  <c r="I552" i="1"/>
  <c r="J552" i="1"/>
  <c r="K552" i="1"/>
  <c r="C553" i="1"/>
  <c r="D553" i="1"/>
  <c r="I553" i="1"/>
  <c r="J553" i="1"/>
  <c r="K553" i="1"/>
  <c r="C554" i="1"/>
  <c r="D554" i="1"/>
  <c r="I554" i="1"/>
  <c r="J554" i="1"/>
  <c r="K554" i="1"/>
  <c r="C555" i="1"/>
  <c r="D555" i="1"/>
  <c r="I555" i="1"/>
  <c r="J555" i="1"/>
  <c r="K555" i="1"/>
  <c r="C556" i="1"/>
  <c r="D556" i="1"/>
  <c r="I556" i="1"/>
  <c r="L556" i="1" s="1"/>
  <c r="J556" i="1"/>
  <c r="K556" i="1"/>
  <c r="C557" i="1"/>
  <c r="D557" i="1"/>
  <c r="I557" i="1"/>
  <c r="J557" i="1"/>
  <c r="K557" i="1"/>
  <c r="C558" i="1"/>
  <c r="D558" i="1"/>
  <c r="I558" i="1"/>
  <c r="J558" i="1"/>
  <c r="K558" i="1"/>
  <c r="C559" i="1"/>
  <c r="D559" i="1"/>
  <c r="I559" i="1"/>
  <c r="J559" i="1"/>
  <c r="K559" i="1"/>
  <c r="C560" i="1"/>
  <c r="D560" i="1"/>
  <c r="I560" i="1"/>
  <c r="J560" i="1"/>
  <c r="K560" i="1"/>
  <c r="C561" i="1"/>
  <c r="D561" i="1"/>
  <c r="I561" i="1"/>
  <c r="J561" i="1"/>
  <c r="K561" i="1"/>
  <c r="C562" i="1"/>
  <c r="D562" i="1"/>
  <c r="I562" i="1"/>
  <c r="J562" i="1"/>
  <c r="K562" i="1"/>
  <c r="C563" i="1"/>
  <c r="D563" i="1"/>
  <c r="I563" i="1"/>
  <c r="J563" i="1"/>
  <c r="K563" i="1"/>
  <c r="C564" i="1"/>
  <c r="D564" i="1"/>
  <c r="I564" i="1"/>
  <c r="J564" i="1"/>
  <c r="K564" i="1"/>
  <c r="C565" i="1"/>
  <c r="D565" i="1"/>
  <c r="I565" i="1"/>
  <c r="J565" i="1"/>
  <c r="K565" i="1"/>
  <c r="E36" i="1" l="1"/>
  <c r="H178" i="1"/>
  <c r="E176" i="1"/>
  <c r="E29" i="1"/>
  <c r="G423" i="1"/>
  <c r="H176" i="1"/>
  <c r="H170" i="1"/>
  <c r="E112" i="1"/>
  <c r="E152" i="1"/>
  <c r="G317" i="1"/>
  <c r="E183" i="1"/>
  <c r="E146" i="1"/>
  <c r="G353" i="1"/>
  <c r="G345" i="1"/>
  <c r="F335" i="1"/>
  <c r="F268" i="1"/>
  <c r="G178" i="1"/>
  <c r="G170" i="1"/>
  <c r="G349" i="1"/>
  <c r="G206" i="1"/>
  <c r="G176" i="1"/>
  <c r="G421" i="1"/>
  <c r="G337" i="1"/>
  <c r="F303" i="1"/>
  <c r="F292" i="1"/>
  <c r="H564" i="1"/>
  <c r="H560" i="1"/>
  <c r="H548" i="1"/>
  <c r="H544" i="1"/>
  <c r="H528" i="1"/>
  <c r="H460" i="1"/>
  <c r="H368" i="1"/>
  <c r="H364" i="1"/>
  <c r="E362" i="1"/>
  <c r="G343" i="1"/>
  <c r="F298" i="1"/>
  <c r="E274" i="1"/>
  <c r="H272" i="1"/>
  <c r="E270" i="1"/>
  <c r="E266" i="1"/>
  <c r="G210" i="1"/>
  <c r="G205" i="1"/>
  <c r="G198" i="1"/>
  <c r="F196" i="1"/>
  <c r="L178" i="1"/>
  <c r="L176" i="1"/>
  <c r="G541" i="1"/>
  <c r="F419" i="1"/>
  <c r="F415" i="1"/>
  <c r="E482" i="1"/>
  <c r="E462" i="1"/>
  <c r="E260" i="1"/>
  <c r="H238" i="1"/>
  <c r="G545" i="1"/>
  <c r="L544" i="1"/>
  <c r="G543" i="1"/>
  <c r="H273" i="1"/>
  <c r="H265" i="1"/>
  <c r="E263" i="1"/>
  <c r="G245" i="1"/>
  <c r="E239" i="1"/>
  <c r="G461" i="1"/>
  <c r="L460" i="1"/>
  <c r="G447" i="1"/>
  <c r="G401" i="1"/>
  <c r="G397" i="1"/>
  <c r="F387" i="1"/>
  <c r="G385" i="1"/>
  <c r="F383" i="1"/>
  <c r="F265" i="1"/>
  <c r="H246" i="1"/>
  <c r="G230" i="1"/>
  <c r="G226" i="1"/>
  <c r="G221" i="1"/>
  <c r="H181" i="1"/>
  <c r="E125" i="1"/>
  <c r="E113" i="1"/>
  <c r="E56" i="1"/>
  <c r="E506" i="1"/>
  <c r="H468" i="1"/>
  <c r="E466" i="1"/>
  <c r="H464" i="1"/>
  <c r="H436" i="1"/>
  <c r="E434" i="1"/>
  <c r="H432" i="1"/>
  <c r="E422" i="1"/>
  <c r="H396" i="1"/>
  <c r="E394" i="1"/>
  <c r="E386" i="1"/>
  <c r="E378" i="1"/>
  <c r="H360" i="1"/>
  <c r="E358" i="1"/>
  <c r="H220" i="1"/>
  <c r="E192" i="1"/>
  <c r="E184" i="1"/>
  <c r="E38" i="1"/>
  <c r="E166" i="1"/>
  <c r="E67" i="1"/>
  <c r="H508" i="1"/>
  <c r="H500" i="1"/>
  <c r="E490" i="1"/>
  <c r="G519" i="1"/>
  <c r="G515" i="1"/>
  <c r="G511" i="1"/>
  <c r="G481" i="1"/>
  <c r="G477" i="1"/>
  <c r="G433" i="1"/>
  <c r="G407" i="1"/>
  <c r="G383" i="1"/>
  <c r="G262" i="1"/>
  <c r="F225" i="1"/>
  <c r="F221" i="1"/>
  <c r="G557" i="1"/>
  <c r="G529" i="1"/>
  <c r="L528" i="1"/>
  <c r="G527" i="1"/>
  <c r="F494" i="1"/>
  <c r="G425" i="1"/>
  <c r="G377" i="1"/>
  <c r="G369" i="1"/>
  <c r="L368" i="1"/>
  <c r="G367" i="1"/>
  <c r="G313" i="1"/>
  <c r="G309" i="1"/>
  <c r="F281" i="1"/>
  <c r="F277" i="1"/>
  <c r="G269" i="1"/>
  <c r="L268" i="1"/>
  <c r="L266" i="1"/>
  <c r="H266" i="1"/>
  <c r="L246" i="1"/>
  <c r="F220" i="1"/>
  <c r="G186" i="1"/>
  <c r="H556" i="1"/>
  <c r="H400" i="1"/>
  <c r="E398" i="1"/>
  <c r="E300" i="1"/>
  <c r="E296" i="1"/>
  <c r="H288" i="1"/>
  <c r="H250" i="1"/>
  <c r="H249" i="1"/>
  <c r="E247" i="1"/>
  <c r="E66" i="1"/>
  <c r="H520" i="1"/>
  <c r="E406" i="1"/>
  <c r="G561" i="1"/>
  <c r="L560" i="1"/>
  <c r="G559" i="1"/>
  <c r="G551" i="1"/>
  <c r="H536" i="1"/>
  <c r="G535" i="1"/>
  <c r="H532" i="1"/>
  <c r="G525" i="1"/>
  <c r="H488" i="1"/>
  <c r="L432" i="1"/>
  <c r="G431" i="1"/>
  <c r="E418" i="1"/>
  <c r="H408" i="1"/>
  <c r="G405" i="1"/>
  <c r="G375" i="1"/>
  <c r="G361" i="1"/>
  <c r="G305" i="1"/>
  <c r="G274" i="1"/>
  <c r="G266" i="1"/>
  <c r="H228" i="1"/>
  <c r="E224" i="1"/>
  <c r="H208" i="1"/>
  <c r="E206" i="1"/>
  <c r="E191" i="1"/>
  <c r="L181" i="1"/>
  <c r="F180" i="1"/>
  <c r="E64" i="1"/>
  <c r="E42" i="1"/>
  <c r="E100" i="1"/>
  <c r="E10" i="1"/>
  <c r="G562" i="1"/>
  <c r="G550" i="1"/>
  <c r="G546" i="1"/>
  <c r="H540" i="1"/>
  <c r="G534" i="1"/>
  <c r="G530" i="1"/>
  <c r="H524" i="1"/>
  <c r="G518" i="1"/>
  <c r="F515" i="1"/>
  <c r="G513" i="1"/>
  <c r="E502" i="1"/>
  <c r="G491" i="1"/>
  <c r="G489" i="1"/>
  <c r="L488" i="1"/>
  <c r="G487" i="1"/>
  <c r="E486" i="1"/>
  <c r="H472" i="1"/>
  <c r="E470" i="1"/>
  <c r="G465" i="1"/>
  <c r="F462" i="1"/>
  <c r="H444" i="1"/>
  <c r="G441" i="1"/>
  <c r="G437" i="1"/>
  <c r="H424" i="1"/>
  <c r="F403" i="1"/>
  <c r="G391" i="1"/>
  <c r="G359" i="1"/>
  <c r="E354" i="1"/>
  <c r="G351" i="1"/>
  <c r="H340" i="1"/>
  <c r="E338" i="1"/>
  <c r="H336" i="1"/>
  <c r="E310" i="1"/>
  <c r="L303" i="1"/>
  <c r="E302" i="1"/>
  <c r="L298" i="1"/>
  <c r="H298" i="1"/>
  <c r="L292" i="1"/>
  <c r="G278" i="1"/>
  <c r="L277" i="1"/>
  <c r="H264" i="1"/>
  <c r="E252" i="1"/>
  <c r="H230" i="1"/>
  <c r="F217" i="1"/>
  <c r="E215" i="1"/>
  <c r="H212" i="1"/>
  <c r="E210" i="1"/>
  <c r="H209" i="1"/>
  <c r="F201" i="1"/>
  <c r="H200" i="1"/>
  <c r="H197" i="1"/>
  <c r="G194" i="1"/>
  <c r="F188" i="1"/>
  <c r="E167" i="1"/>
  <c r="E50" i="1"/>
  <c r="H456" i="1"/>
  <c r="H428" i="1"/>
  <c r="E426" i="1"/>
  <c r="E402" i="1"/>
  <c r="E374" i="1"/>
  <c r="H372" i="1"/>
  <c r="H344" i="1"/>
  <c r="H316" i="1"/>
  <c r="E314" i="1"/>
  <c r="E295" i="1"/>
  <c r="H292" i="1"/>
  <c r="E287" i="1"/>
  <c r="E280" i="1"/>
  <c r="H254" i="1"/>
  <c r="H242" i="1"/>
  <c r="E199" i="1"/>
  <c r="H194" i="1"/>
  <c r="H189" i="1"/>
  <c r="E187" i="1"/>
  <c r="E168" i="1"/>
  <c r="E151" i="1"/>
  <c r="E86" i="1"/>
  <c r="E81" i="1"/>
  <c r="E111" i="1"/>
  <c r="H496" i="1"/>
  <c r="H492" i="1"/>
  <c r="H380" i="1"/>
  <c r="G563" i="1"/>
  <c r="G555" i="1"/>
  <c r="H552" i="1"/>
  <c r="G547" i="1"/>
  <c r="G539" i="1"/>
  <c r="G531" i="1"/>
  <c r="G523" i="1"/>
  <c r="G505" i="1"/>
  <c r="G501" i="1"/>
  <c r="G485" i="1"/>
  <c r="F479" i="1"/>
  <c r="G471" i="1"/>
  <c r="G453" i="1"/>
  <c r="G439" i="1"/>
  <c r="G413" i="1"/>
  <c r="G381" i="1"/>
  <c r="F351" i="1"/>
  <c r="G335" i="1"/>
  <c r="L288" i="1"/>
  <c r="F284" i="1"/>
  <c r="L265" i="1"/>
  <c r="F261" i="1"/>
  <c r="G222" i="1"/>
  <c r="L221" i="1"/>
  <c r="G218" i="1"/>
  <c r="F209" i="1"/>
  <c r="G192" i="1"/>
  <c r="E51" i="1"/>
  <c r="E24" i="1"/>
  <c r="E96" i="1"/>
  <c r="E91" i="1"/>
  <c r="E97" i="1"/>
  <c r="E78" i="1"/>
  <c r="E84" i="1"/>
  <c r="E87" i="1"/>
  <c r="E32" i="1"/>
  <c r="E139" i="1"/>
  <c r="E20" i="1"/>
  <c r="L564" i="1"/>
  <c r="G554" i="1"/>
  <c r="G538" i="1"/>
  <c r="L532" i="1"/>
  <c r="G522" i="1"/>
  <c r="G514" i="1"/>
  <c r="F511" i="1"/>
  <c r="G503" i="1"/>
  <c r="G497" i="1"/>
  <c r="L496" i="1"/>
  <c r="G495" i="1"/>
  <c r="F467" i="1"/>
  <c r="F451" i="1"/>
  <c r="F447" i="1"/>
  <c r="L436" i="1"/>
  <c r="G417" i="1"/>
  <c r="F399" i="1"/>
  <c r="F390" i="1"/>
  <c r="G389" i="1"/>
  <c r="F375" i="1"/>
  <c r="F355" i="1"/>
  <c r="F347" i="1"/>
  <c r="G341" i="1"/>
  <c r="L340" i="1"/>
  <c r="F334" i="1"/>
  <c r="E334" i="1"/>
  <c r="G329" i="1"/>
  <c r="F326" i="1"/>
  <c r="F323" i="1"/>
  <c r="F319" i="1"/>
  <c r="H312" i="1"/>
  <c r="G285" i="1"/>
  <c r="L284" i="1"/>
  <c r="F269" i="1"/>
  <c r="L269" i="1"/>
  <c r="E262" i="1"/>
  <c r="H262" i="1"/>
  <c r="L262" i="1"/>
  <c r="L254" i="1"/>
  <c r="L250" i="1"/>
  <c r="H224" i="1"/>
  <c r="H216" i="1"/>
  <c r="L216" i="1"/>
  <c r="F276" i="1"/>
  <c r="L276" i="1"/>
  <c r="F213" i="1"/>
  <c r="L213" i="1"/>
  <c r="G565" i="1"/>
  <c r="G549" i="1"/>
  <c r="L548" i="1"/>
  <c r="G533" i="1"/>
  <c r="G517" i="1"/>
  <c r="G558" i="1"/>
  <c r="G553" i="1"/>
  <c r="L552" i="1"/>
  <c r="G542" i="1"/>
  <c r="G537" i="1"/>
  <c r="L536" i="1"/>
  <c r="G526" i="1"/>
  <c r="G521" i="1"/>
  <c r="L520" i="1"/>
  <c r="G509" i="1"/>
  <c r="F503" i="1"/>
  <c r="F483" i="1"/>
  <c r="G479" i="1"/>
  <c r="F475" i="1"/>
  <c r="G473" i="1"/>
  <c r="G469" i="1"/>
  <c r="F463" i="1"/>
  <c r="E458" i="1"/>
  <c r="F454" i="1"/>
  <c r="E450" i="1"/>
  <c r="G449" i="1"/>
  <c r="G445" i="1"/>
  <c r="F439" i="1"/>
  <c r="E438" i="1"/>
  <c r="F430" i="1"/>
  <c r="G415" i="1"/>
  <c r="F411" i="1"/>
  <c r="G409" i="1"/>
  <c r="H404" i="1"/>
  <c r="F398" i="1"/>
  <c r="L380" i="1"/>
  <c r="H376" i="1"/>
  <c r="G373" i="1"/>
  <c r="L372" i="1"/>
  <c r="E370" i="1"/>
  <c r="F366" i="1"/>
  <c r="G357" i="1"/>
  <c r="H348" i="1"/>
  <c r="E346" i="1"/>
  <c r="E326" i="1"/>
  <c r="G325" i="1"/>
  <c r="E322" i="1"/>
  <c r="H308" i="1"/>
  <c r="G290" i="1"/>
  <c r="F285" i="1"/>
  <c r="L285" i="1"/>
  <c r="H276" i="1"/>
  <c r="H258" i="1"/>
  <c r="L258" i="1"/>
  <c r="H236" i="1"/>
  <c r="L236" i="1"/>
  <c r="H234" i="1"/>
  <c r="E232" i="1"/>
  <c r="F204" i="1"/>
  <c r="L204" i="1"/>
  <c r="L194" i="1"/>
  <c r="L192" i="1"/>
  <c r="H192" i="1"/>
  <c r="E240" i="1"/>
  <c r="H240" i="1"/>
  <c r="L240" i="1"/>
  <c r="H504" i="1"/>
  <c r="E498" i="1"/>
  <c r="H476" i="1"/>
  <c r="G455" i="1"/>
  <c r="H440" i="1"/>
  <c r="G427" i="1"/>
  <c r="H412" i="1"/>
  <c r="E410" i="1"/>
  <c r="H392" i="1"/>
  <c r="G363" i="1"/>
  <c r="H332" i="1"/>
  <c r="L332" i="1"/>
  <c r="H294" i="1"/>
  <c r="H280" i="1"/>
  <c r="E264" i="1"/>
  <c r="L264" i="1"/>
  <c r="H244" i="1"/>
  <c r="G234" i="1"/>
  <c r="F228" i="1"/>
  <c r="L228" i="1"/>
  <c r="G202" i="1"/>
  <c r="L201" i="1"/>
  <c r="G200" i="1"/>
  <c r="H184" i="1"/>
  <c r="L184" i="1"/>
  <c r="H173" i="1"/>
  <c r="L173" i="1"/>
  <c r="E70" i="1"/>
  <c r="F343" i="1"/>
  <c r="E342" i="1"/>
  <c r="G333" i="1"/>
  <c r="E330" i="1"/>
  <c r="H328" i="1"/>
  <c r="G319" i="1"/>
  <c r="F315" i="1"/>
  <c r="E306" i="1"/>
  <c r="H304" i="1"/>
  <c r="G303" i="1"/>
  <c r="G294" i="1"/>
  <c r="E292" i="1"/>
  <c r="F289" i="1"/>
  <c r="E288" i="1"/>
  <c r="G286" i="1"/>
  <c r="H284" i="1"/>
  <c r="G282" i="1"/>
  <c r="E279" i="1"/>
  <c r="F273" i="1"/>
  <c r="E271" i="1"/>
  <c r="G270" i="1"/>
  <c r="H268" i="1"/>
  <c r="H257" i="1"/>
  <c r="E255" i="1"/>
  <c r="G237" i="1"/>
  <c r="E231" i="1"/>
  <c r="H204" i="1"/>
  <c r="E202" i="1"/>
  <c r="H202" i="1"/>
  <c r="L202" i="1"/>
  <c r="H186" i="1"/>
  <c r="L186" i="1"/>
  <c r="H168" i="1"/>
  <c r="E4" i="1"/>
  <c r="E223" i="1"/>
  <c r="E220" i="1"/>
  <c r="E216" i="1"/>
  <c r="E207" i="1"/>
  <c r="E175" i="1"/>
  <c r="E21" i="1"/>
  <c r="E123" i="1"/>
  <c r="E154" i="1"/>
  <c r="G214" i="1"/>
  <c r="F212" i="1"/>
  <c r="F205" i="1"/>
  <c r="H201" i="1"/>
  <c r="F197" i="1"/>
  <c r="E195" i="1"/>
  <c r="F176" i="1"/>
  <c r="E72" i="1"/>
  <c r="E130" i="1"/>
  <c r="E47" i="1"/>
  <c r="E11" i="1"/>
  <c r="E76" i="1"/>
  <c r="E99" i="1"/>
  <c r="H448" i="1"/>
  <c r="L448" i="1"/>
  <c r="H388" i="1"/>
  <c r="L388" i="1"/>
  <c r="F350" i="1"/>
  <c r="E350" i="1"/>
  <c r="H324" i="1"/>
  <c r="L324" i="1"/>
  <c r="E290" i="1"/>
  <c r="H290" i="1"/>
  <c r="L290" i="1"/>
  <c r="F233" i="1"/>
  <c r="H233" i="1"/>
  <c r="L233" i="1"/>
  <c r="F229" i="1"/>
  <c r="L229" i="1"/>
  <c r="E218" i="1"/>
  <c r="H218" i="1"/>
  <c r="L218" i="1"/>
  <c r="F185" i="1"/>
  <c r="H185" i="1"/>
  <c r="L185" i="1"/>
  <c r="E174" i="1"/>
  <c r="H174" i="1"/>
  <c r="L174" i="1"/>
  <c r="E57" i="1"/>
  <c r="E27" i="1"/>
  <c r="F510" i="1"/>
  <c r="E510" i="1"/>
  <c r="E494" i="1"/>
  <c r="G493" i="1"/>
  <c r="L492" i="1"/>
  <c r="H480" i="1"/>
  <c r="L480" i="1"/>
  <c r="F471" i="1"/>
  <c r="L468" i="1"/>
  <c r="L464" i="1"/>
  <c r="G463" i="1"/>
  <c r="F443" i="1"/>
  <c r="F435" i="1"/>
  <c r="F431" i="1"/>
  <c r="F422" i="1"/>
  <c r="H420" i="1"/>
  <c r="L420" i="1"/>
  <c r="G395" i="1"/>
  <c r="G393" i="1"/>
  <c r="L392" i="1"/>
  <c r="E390" i="1"/>
  <c r="F382" i="1"/>
  <c r="E382" i="1"/>
  <c r="E366" i="1"/>
  <c r="G365" i="1"/>
  <c r="L364" i="1"/>
  <c r="H352" i="1"/>
  <c r="L352" i="1"/>
  <c r="H320" i="1"/>
  <c r="L320" i="1"/>
  <c r="G307" i="1"/>
  <c r="L304" i="1"/>
  <c r="G301" i="1"/>
  <c r="L296" i="1"/>
  <c r="H296" i="1"/>
  <c r="E286" i="1"/>
  <c r="H286" i="1"/>
  <c r="L286" i="1"/>
  <c r="L281" i="1"/>
  <c r="H281" i="1"/>
  <c r="E276" i="1"/>
  <c r="L274" i="1"/>
  <c r="H274" i="1"/>
  <c r="G253" i="1"/>
  <c r="L244" i="1"/>
  <c r="F241" i="1"/>
  <c r="H241" i="1"/>
  <c r="L241" i="1"/>
  <c r="F237" i="1"/>
  <c r="L237" i="1"/>
  <c r="L225" i="1"/>
  <c r="H225" i="1"/>
  <c r="E214" i="1"/>
  <c r="H214" i="1"/>
  <c r="L214" i="1"/>
  <c r="E208" i="1"/>
  <c r="L206" i="1"/>
  <c r="H206" i="1"/>
  <c r="E198" i="1"/>
  <c r="H198" i="1"/>
  <c r="L198" i="1"/>
  <c r="E49" i="1"/>
  <c r="E12" i="1"/>
  <c r="E61" i="1"/>
  <c r="E204" i="1"/>
  <c r="H512" i="1"/>
  <c r="L512" i="1"/>
  <c r="E442" i="1"/>
  <c r="F414" i="1"/>
  <c r="E414" i="1"/>
  <c r="H384" i="1"/>
  <c r="L384" i="1"/>
  <c r="F293" i="1"/>
  <c r="L293" i="1"/>
  <c r="E284" i="1"/>
  <c r="E282" i="1"/>
  <c r="H282" i="1"/>
  <c r="L282" i="1"/>
  <c r="E268" i="1"/>
  <c r="E228" i="1"/>
  <c r="E226" i="1"/>
  <c r="H226" i="1"/>
  <c r="L226" i="1"/>
  <c r="F200" i="1"/>
  <c r="G168" i="1"/>
  <c r="F168" i="1"/>
  <c r="E138" i="1"/>
  <c r="E25" i="1"/>
  <c r="E133" i="1"/>
  <c r="H516" i="1"/>
  <c r="L516" i="1"/>
  <c r="F478" i="1"/>
  <c r="E478" i="1"/>
  <c r="F318" i="1"/>
  <c r="E318" i="1"/>
  <c r="E244" i="1"/>
  <c r="F244" i="1"/>
  <c r="H172" i="1"/>
  <c r="L172" i="1"/>
  <c r="E172" i="1"/>
  <c r="F172" i="1"/>
  <c r="E45" i="1"/>
  <c r="E17" i="1"/>
  <c r="H452" i="1"/>
  <c r="L452" i="1"/>
  <c r="F563" i="1"/>
  <c r="F559" i="1"/>
  <c r="F555" i="1"/>
  <c r="F551" i="1"/>
  <c r="F547" i="1"/>
  <c r="F543" i="1"/>
  <c r="F539" i="1"/>
  <c r="F535" i="1"/>
  <c r="F531" i="1"/>
  <c r="F527" i="1"/>
  <c r="F523" i="1"/>
  <c r="F519" i="1"/>
  <c r="F507" i="1"/>
  <c r="F499" i="1"/>
  <c r="F495" i="1"/>
  <c r="F486" i="1"/>
  <c r="H484" i="1"/>
  <c r="L484" i="1"/>
  <c r="E474" i="1"/>
  <c r="G459" i="1"/>
  <c r="G457" i="1"/>
  <c r="L456" i="1"/>
  <c r="E454" i="1"/>
  <c r="F446" i="1"/>
  <c r="E446" i="1"/>
  <c r="E430" i="1"/>
  <c r="G429" i="1"/>
  <c r="L428" i="1"/>
  <c r="H416" i="1"/>
  <c r="L416" i="1"/>
  <c r="F407" i="1"/>
  <c r="L404" i="1"/>
  <c r="L400" i="1"/>
  <c r="G399" i="1"/>
  <c r="F379" i="1"/>
  <c r="F371" i="1"/>
  <c r="F367" i="1"/>
  <c r="F358" i="1"/>
  <c r="H356" i="1"/>
  <c r="L356" i="1"/>
  <c r="F339" i="1"/>
  <c r="G331" i="1"/>
  <c r="L328" i="1"/>
  <c r="G327" i="1"/>
  <c r="G321" i="1"/>
  <c r="F311" i="1"/>
  <c r="L311" i="1"/>
  <c r="F300" i="1"/>
  <c r="H300" i="1"/>
  <c r="L300" i="1"/>
  <c r="L289" i="1"/>
  <c r="H289" i="1"/>
  <c r="E278" i="1"/>
  <c r="H278" i="1"/>
  <c r="L278" i="1"/>
  <c r="E272" i="1"/>
  <c r="L270" i="1"/>
  <c r="H270" i="1"/>
  <c r="F260" i="1"/>
  <c r="H260" i="1"/>
  <c r="L260" i="1"/>
  <c r="E256" i="1"/>
  <c r="H256" i="1"/>
  <c r="L256" i="1"/>
  <c r="F252" i="1"/>
  <c r="H252" i="1"/>
  <c r="L252" i="1"/>
  <c r="E248" i="1"/>
  <c r="H248" i="1"/>
  <c r="L248" i="1"/>
  <c r="G242" i="1"/>
  <c r="G238" i="1"/>
  <c r="E236" i="1"/>
  <c r="F236" i="1"/>
  <c r="L232" i="1"/>
  <c r="H232" i="1"/>
  <c r="E222" i="1"/>
  <c r="H222" i="1"/>
  <c r="L222" i="1"/>
  <c r="L217" i="1"/>
  <c r="H217" i="1"/>
  <c r="E212" i="1"/>
  <c r="L210" i="1"/>
  <c r="H210" i="1"/>
  <c r="E200" i="1"/>
  <c r="F193" i="1"/>
  <c r="H193" i="1"/>
  <c r="L193" i="1"/>
  <c r="E182" i="1"/>
  <c r="H182" i="1"/>
  <c r="L182" i="1"/>
  <c r="E180" i="1"/>
  <c r="H180" i="1"/>
  <c r="L180" i="1"/>
  <c r="E88" i="1"/>
  <c r="G507" i="1"/>
  <c r="F502" i="1"/>
  <c r="F491" i="1"/>
  <c r="F487" i="1"/>
  <c r="G475" i="1"/>
  <c r="F470" i="1"/>
  <c r="F459" i="1"/>
  <c r="F455" i="1"/>
  <c r="G443" i="1"/>
  <c r="F438" i="1"/>
  <c r="F427" i="1"/>
  <c r="F423" i="1"/>
  <c r="G411" i="1"/>
  <c r="F406" i="1"/>
  <c r="F395" i="1"/>
  <c r="F391" i="1"/>
  <c r="G379" i="1"/>
  <c r="F374" i="1"/>
  <c r="F363" i="1"/>
  <c r="F359" i="1"/>
  <c r="G347" i="1"/>
  <c r="F342" i="1"/>
  <c r="F331" i="1"/>
  <c r="F327" i="1"/>
  <c r="G315" i="1"/>
  <c r="F307" i="1"/>
  <c r="E294" i="1"/>
  <c r="G277" i="1"/>
  <c r="G258" i="1"/>
  <c r="F257" i="1"/>
  <c r="G254" i="1"/>
  <c r="F253" i="1"/>
  <c r="G250" i="1"/>
  <c r="F249" i="1"/>
  <c r="G246" i="1"/>
  <c r="F245" i="1"/>
  <c r="E242" i="1"/>
  <c r="E238" i="1"/>
  <c r="E234" i="1"/>
  <c r="E230" i="1"/>
  <c r="G213" i="1"/>
  <c r="E196" i="1"/>
  <c r="H196" i="1"/>
  <c r="L196" i="1"/>
  <c r="F192" i="1"/>
  <c r="G184" i="1"/>
  <c r="F184" i="1"/>
  <c r="E179" i="1"/>
  <c r="F177" i="1"/>
  <c r="H177" i="1"/>
  <c r="L177" i="1"/>
  <c r="E147" i="1"/>
  <c r="E109" i="1"/>
  <c r="E77" i="1"/>
  <c r="E89" i="1"/>
  <c r="E119" i="1"/>
  <c r="E95" i="1"/>
  <c r="E165" i="1"/>
  <c r="G311" i="1"/>
  <c r="E298" i="1"/>
  <c r="E258" i="1"/>
  <c r="E254" i="1"/>
  <c r="E250" i="1"/>
  <c r="E246" i="1"/>
  <c r="E190" i="1"/>
  <c r="H190" i="1"/>
  <c r="L190" i="1"/>
  <c r="H188" i="1"/>
  <c r="L188" i="1"/>
  <c r="E188" i="1"/>
  <c r="E171" i="1"/>
  <c r="F169" i="1"/>
  <c r="H169" i="1"/>
  <c r="L169" i="1"/>
  <c r="E157" i="1"/>
  <c r="E144" i="1"/>
  <c r="E59" i="1"/>
  <c r="E155" i="1"/>
  <c r="E94" i="1"/>
  <c r="E90" i="1"/>
  <c r="E127" i="1"/>
  <c r="E37" i="1"/>
  <c r="G188" i="1"/>
  <c r="E186" i="1"/>
  <c r="G182" i="1"/>
  <c r="F181" i="1"/>
  <c r="G172" i="1"/>
  <c r="E170" i="1"/>
  <c r="E31" i="1"/>
  <c r="E161" i="1"/>
  <c r="E106" i="1"/>
  <c r="E117" i="1"/>
  <c r="E160" i="1"/>
  <c r="E140" i="1"/>
  <c r="E43" i="1"/>
  <c r="E129" i="1"/>
  <c r="G196" i="1"/>
  <c r="E194" i="1"/>
  <c r="G190" i="1"/>
  <c r="F189" i="1"/>
  <c r="G180" i="1"/>
  <c r="E178" i="1"/>
  <c r="G174" i="1"/>
  <c r="F173" i="1"/>
  <c r="E15" i="1"/>
  <c r="E14" i="1"/>
  <c r="E48" i="1"/>
  <c r="E9" i="1"/>
  <c r="E8" i="1"/>
  <c r="E62" i="1"/>
  <c r="E110" i="1"/>
  <c r="E16" i="1"/>
  <c r="E98" i="1"/>
  <c r="E159" i="1"/>
  <c r="E162" i="1"/>
  <c r="E73" i="1"/>
  <c r="E148" i="1"/>
  <c r="E150" i="1"/>
  <c r="E22" i="1"/>
  <c r="E34" i="1"/>
  <c r="E135" i="1"/>
  <c r="E142" i="1"/>
  <c r="E26" i="1"/>
  <c r="E158" i="1"/>
  <c r="E6" i="1"/>
  <c r="E499" i="1"/>
  <c r="G498" i="1"/>
  <c r="H497" i="1"/>
  <c r="L497" i="1"/>
  <c r="E497" i="1"/>
  <c r="F497" i="1"/>
  <c r="E483" i="1"/>
  <c r="G482" i="1"/>
  <c r="H481" i="1"/>
  <c r="L481" i="1"/>
  <c r="E481" i="1"/>
  <c r="F481" i="1"/>
  <c r="E467" i="1"/>
  <c r="G466" i="1"/>
  <c r="H465" i="1"/>
  <c r="L465" i="1"/>
  <c r="E465" i="1"/>
  <c r="F465" i="1"/>
  <c r="E451" i="1"/>
  <c r="G450" i="1"/>
  <c r="H449" i="1"/>
  <c r="L449" i="1"/>
  <c r="E449" i="1"/>
  <c r="F449" i="1"/>
  <c r="E435" i="1"/>
  <c r="G434" i="1"/>
  <c r="H433" i="1"/>
  <c r="L433" i="1"/>
  <c r="E433" i="1"/>
  <c r="F433" i="1"/>
  <c r="E419" i="1"/>
  <c r="G418" i="1"/>
  <c r="H417" i="1"/>
  <c r="L417" i="1"/>
  <c r="E417" i="1"/>
  <c r="F417" i="1"/>
  <c r="E403" i="1"/>
  <c r="G402" i="1"/>
  <c r="H401" i="1"/>
  <c r="L401" i="1"/>
  <c r="E401" i="1"/>
  <c r="F401" i="1"/>
  <c r="E387" i="1"/>
  <c r="G386" i="1"/>
  <c r="H385" i="1"/>
  <c r="L385" i="1"/>
  <c r="E385" i="1"/>
  <c r="F385" i="1"/>
  <c r="E371" i="1"/>
  <c r="G370" i="1"/>
  <c r="H369" i="1"/>
  <c r="L369" i="1"/>
  <c r="E369" i="1"/>
  <c r="F369" i="1"/>
  <c r="E355" i="1"/>
  <c r="G354" i="1"/>
  <c r="H353" i="1"/>
  <c r="L353" i="1"/>
  <c r="E353" i="1"/>
  <c r="F353" i="1"/>
  <c r="E339" i="1"/>
  <c r="G338" i="1"/>
  <c r="H337" i="1"/>
  <c r="L337" i="1"/>
  <c r="E337" i="1"/>
  <c r="F337" i="1"/>
  <c r="E323" i="1"/>
  <c r="G322" i="1"/>
  <c r="H321" i="1"/>
  <c r="L321" i="1"/>
  <c r="E321" i="1"/>
  <c r="F321" i="1"/>
  <c r="H293" i="1"/>
  <c r="G291" i="1"/>
  <c r="G288" i="1"/>
  <c r="F288" i="1"/>
  <c r="H261" i="1"/>
  <c r="G259" i="1"/>
  <c r="G256" i="1"/>
  <c r="F256" i="1"/>
  <c r="H229" i="1"/>
  <c r="G227" i="1"/>
  <c r="G224" i="1"/>
  <c r="F224" i="1"/>
  <c r="G187" i="1"/>
  <c r="E503" i="1"/>
  <c r="G502" i="1"/>
  <c r="H501" i="1"/>
  <c r="L501" i="1"/>
  <c r="E501" i="1"/>
  <c r="F501" i="1"/>
  <c r="F498" i="1"/>
  <c r="E487" i="1"/>
  <c r="G486" i="1"/>
  <c r="H485" i="1"/>
  <c r="L485" i="1"/>
  <c r="E485" i="1"/>
  <c r="F485" i="1"/>
  <c r="F482" i="1"/>
  <c r="E471" i="1"/>
  <c r="G470" i="1"/>
  <c r="H469" i="1"/>
  <c r="L469" i="1"/>
  <c r="E469" i="1"/>
  <c r="F469" i="1"/>
  <c r="F466" i="1"/>
  <c r="E455" i="1"/>
  <c r="G454" i="1"/>
  <c r="H453" i="1"/>
  <c r="L453" i="1"/>
  <c r="E453" i="1"/>
  <c r="F453" i="1"/>
  <c r="F450" i="1"/>
  <c r="E439" i="1"/>
  <c r="G438" i="1"/>
  <c r="H437" i="1"/>
  <c r="L437" i="1"/>
  <c r="E437" i="1"/>
  <c r="F437" i="1"/>
  <c r="F434" i="1"/>
  <c r="E423" i="1"/>
  <c r="G422" i="1"/>
  <c r="H421" i="1"/>
  <c r="L421" i="1"/>
  <c r="E421" i="1"/>
  <c r="F421" i="1"/>
  <c r="F418" i="1"/>
  <c r="E407" i="1"/>
  <c r="G406" i="1"/>
  <c r="H405" i="1"/>
  <c r="L405" i="1"/>
  <c r="E405" i="1"/>
  <c r="F405" i="1"/>
  <c r="F402" i="1"/>
  <c r="E391" i="1"/>
  <c r="G390" i="1"/>
  <c r="H389" i="1"/>
  <c r="L389" i="1"/>
  <c r="E389" i="1"/>
  <c r="F389" i="1"/>
  <c r="F386" i="1"/>
  <c r="E375" i="1"/>
  <c r="G374" i="1"/>
  <c r="H373" i="1"/>
  <c r="L373" i="1"/>
  <c r="E373" i="1"/>
  <c r="F373" i="1"/>
  <c r="F370" i="1"/>
  <c r="E359" i="1"/>
  <c r="G358" i="1"/>
  <c r="H357" i="1"/>
  <c r="L357" i="1"/>
  <c r="E357" i="1"/>
  <c r="F357" i="1"/>
  <c r="F354" i="1"/>
  <c r="E343" i="1"/>
  <c r="G342" i="1"/>
  <c r="H341" i="1"/>
  <c r="L341" i="1"/>
  <c r="E341" i="1"/>
  <c r="F341" i="1"/>
  <c r="F338" i="1"/>
  <c r="E327" i="1"/>
  <c r="G326" i="1"/>
  <c r="H325" i="1"/>
  <c r="L325" i="1"/>
  <c r="E325" i="1"/>
  <c r="F325" i="1"/>
  <c r="F322" i="1"/>
  <c r="H285" i="1"/>
  <c r="G283" i="1"/>
  <c r="G280" i="1"/>
  <c r="F280" i="1"/>
  <c r="H253" i="1"/>
  <c r="G251" i="1"/>
  <c r="G248" i="1"/>
  <c r="F248" i="1"/>
  <c r="H221" i="1"/>
  <c r="G219" i="1"/>
  <c r="G216" i="1"/>
  <c r="F216" i="1"/>
  <c r="H565" i="1"/>
  <c r="L565" i="1"/>
  <c r="E565" i="1"/>
  <c r="F565" i="1"/>
  <c r="F562" i="1"/>
  <c r="H562" i="1"/>
  <c r="L562" i="1"/>
  <c r="H561" i="1"/>
  <c r="L561" i="1"/>
  <c r="E561" i="1"/>
  <c r="F561" i="1"/>
  <c r="F558" i="1"/>
  <c r="H558" i="1"/>
  <c r="L558" i="1"/>
  <c r="H557" i="1"/>
  <c r="L557" i="1"/>
  <c r="E557" i="1"/>
  <c r="F557" i="1"/>
  <c r="F554" i="1"/>
  <c r="H554" i="1"/>
  <c r="L554" i="1"/>
  <c r="H553" i="1"/>
  <c r="L553" i="1"/>
  <c r="E553" i="1"/>
  <c r="F553" i="1"/>
  <c r="F550" i="1"/>
  <c r="H550" i="1"/>
  <c r="L550" i="1"/>
  <c r="H549" i="1"/>
  <c r="L549" i="1"/>
  <c r="E549" i="1"/>
  <c r="F549" i="1"/>
  <c r="F546" i="1"/>
  <c r="H546" i="1"/>
  <c r="L546" i="1"/>
  <c r="H545" i="1"/>
  <c r="L545" i="1"/>
  <c r="E545" i="1"/>
  <c r="F545" i="1"/>
  <c r="F542" i="1"/>
  <c r="H542" i="1"/>
  <c r="L542" i="1"/>
  <c r="H541" i="1"/>
  <c r="L541" i="1"/>
  <c r="E541" i="1"/>
  <c r="F541" i="1"/>
  <c r="F538" i="1"/>
  <c r="H538" i="1"/>
  <c r="L538" i="1"/>
  <c r="H537" i="1"/>
  <c r="L537" i="1"/>
  <c r="E537" i="1"/>
  <c r="F537" i="1"/>
  <c r="F534" i="1"/>
  <c r="H534" i="1"/>
  <c r="L534" i="1"/>
  <c r="H533" i="1"/>
  <c r="L533" i="1"/>
  <c r="E533" i="1"/>
  <c r="F533" i="1"/>
  <c r="F530" i="1"/>
  <c r="H530" i="1"/>
  <c r="L530" i="1"/>
  <c r="H529" i="1"/>
  <c r="L529" i="1"/>
  <c r="E529" i="1"/>
  <c r="F529" i="1"/>
  <c r="F526" i="1"/>
  <c r="H526" i="1"/>
  <c r="L526" i="1"/>
  <c r="H525" i="1"/>
  <c r="L525" i="1"/>
  <c r="E525" i="1"/>
  <c r="F525" i="1"/>
  <c r="F522" i="1"/>
  <c r="H522" i="1"/>
  <c r="L522" i="1"/>
  <c r="H521" i="1"/>
  <c r="L521" i="1"/>
  <c r="E521" i="1"/>
  <c r="F521" i="1"/>
  <c r="F518" i="1"/>
  <c r="H518" i="1"/>
  <c r="L518" i="1"/>
  <c r="H517" i="1"/>
  <c r="L517" i="1"/>
  <c r="E517" i="1"/>
  <c r="F517" i="1"/>
  <c r="F514" i="1"/>
  <c r="H514" i="1"/>
  <c r="L514" i="1"/>
  <c r="H513" i="1"/>
  <c r="L513" i="1"/>
  <c r="E513" i="1"/>
  <c r="F513" i="1"/>
  <c r="E507" i="1"/>
  <c r="G506" i="1"/>
  <c r="H505" i="1"/>
  <c r="L505" i="1"/>
  <c r="E505" i="1"/>
  <c r="F505" i="1"/>
  <c r="E491" i="1"/>
  <c r="G490" i="1"/>
  <c r="H489" i="1"/>
  <c r="L489" i="1"/>
  <c r="E489" i="1"/>
  <c r="F489" i="1"/>
  <c r="E475" i="1"/>
  <c r="G474" i="1"/>
  <c r="H473" i="1"/>
  <c r="L473" i="1"/>
  <c r="E473" i="1"/>
  <c r="F473" i="1"/>
  <c r="E459" i="1"/>
  <c r="G458" i="1"/>
  <c r="H457" i="1"/>
  <c r="L457" i="1"/>
  <c r="E457" i="1"/>
  <c r="F457" i="1"/>
  <c r="E443" i="1"/>
  <c r="G442" i="1"/>
  <c r="H441" i="1"/>
  <c r="L441" i="1"/>
  <c r="E441" i="1"/>
  <c r="F441" i="1"/>
  <c r="E427" i="1"/>
  <c r="G426" i="1"/>
  <c r="H425" i="1"/>
  <c r="L425" i="1"/>
  <c r="E425" i="1"/>
  <c r="F425" i="1"/>
  <c r="E411" i="1"/>
  <c r="G410" i="1"/>
  <c r="H409" i="1"/>
  <c r="L409" i="1"/>
  <c r="E409" i="1"/>
  <c r="F409" i="1"/>
  <c r="E395" i="1"/>
  <c r="G394" i="1"/>
  <c r="H393" i="1"/>
  <c r="L393" i="1"/>
  <c r="E393" i="1"/>
  <c r="F393" i="1"/>
  <c r="E379" i="1"/>
  <c r="G378" i="1"/>
  <c r="H377" i="1"/>
  <c r="L377" i="1"/>
  <c r="E377" i="1"/>
  <c r="F377" i="1"/>
  <c r="E363" i="1"/>
  <c r="G362" i="1"/>
  <c r="H361" i="1"/>
  <c r="L361" i="1"/>
  <c r="E361" i="1"/>
  <c r="F361" i="1"/>
  <c r="E347" i="1"/>
  <c r="G346" i="1"/>
  <c r="H345" i="1"/>
  <c r="L345" i="1"/>
  <c r="E345" i="1"/>
  <c r="F345" i="1"/>
  <c r="E331" i="1"/>
  <c r="G330" i="1"/>
  <c r="H329" i="1"/>
  <c r="L329" i="1"/>
  <c r="E329" i="1"/>
  <c r="F329" i="1"/>
  <c r="E315" i="1"/>
  <c r="G314" i="1"/>
  <c r="H313" i="1"/>
  <c r="L313" i="1"/>
  <c r="E313" i="1"/>
  <c r="F313" i="1"/>
  <c r="H311" i="1"/>
  <c r="E311" i="1"/>
  <c r="G310" i="1"/>
  <c r="H309" i="1"/>
  <c r="L309" i="1"/>
  <c r="E309" i="1"/>
  <c r="F309" i="1"/>
  <c r="H307" i="1"/>
  <c r="E307" i="1"/>
  <c r="G306" i="1"/>
  <c r="H305" i="1"/>
  <c r="L305" i="1"/>
  <c r="E305" i="1"/>
  <c r="F305" i="1"/>
  <c r="H303" i="1"/>
  <c r="E303" i="1"/>
  <c r="G302" i="1"/>
  <c r="F297" i="1"/>
  <c r="E297" i="1"/>
  <c r="H297" i="1"/>
  <c r="L297" i="1"/>
  <c r="H277" i="1"/>
  <c r="G275" i="1"/>
  <c r="G272" i="1"/>
  <c r="F272" i="1"/>
  <c r="H245" i="1"/>
  <c r="G243" i="1"/>
  <c r="G240" i="1"/>
  <c r="F240" i="1"/>
  <c r="H213" i="1"/>
  <c r="G211" i="1"/>
  <c r="G208" i="1"/>
  <c r="F208" i="1"/>
  <c r="G171" i="1"/>
  <c r="G564" i="1"/>
  <c r="E563" i="1"/>
  <c r="E562" i="1"/>
  <c r="G560" i="1"/>
  <c r="E559" i="1"/>
  <c r="E558" i="1"/>
  <c r="G556" i="1"/>
  <c r="E555" i="1"/>
  <c r="E554" i="1"/>
  <c r="G552" i="1"/>
  <c r="E551" i="1"/>
  <c r="E550" i="1"/>
  <c r="G548" i="1"/>
  <c r="E547" i="1"/>
  <c r="E546" i="1"/>
  <c r="G544" i="1"/>
  <c r="E543" i="1"/>
  <c r="E542" i="1"/>
  <c r="G540" i="1"/>
  <c r="E539" i="1"/>
  <c r="E538" i="1"/>
  <c r="G536" i="1"/>
  <c r="E535" i="1"/>
  <c r="E534" i="1"/>
  <c r="G532" i="1"/>
  <c r="E531" i="1"/>
  <c r="E530" i="1"/>
  <c r="G528" i="1"/>
  <c r="E527" i="1"/>
  <c r="E526" i="1"/>
  <c r="G524" i="1"/>
  <c r="E523" i="1"/>
  <c r="E522" i="1"/>
  <c r="G520" i="1"/>
  <c r="E519" i="1"/>
  <c r="E518" i="1"/>
  <c r="G516" i="1"/>
  <c r="E515" i="1"/>
  <c r="E514" i="1"/>
  <c r="G512" i="1"/>
  <c r="E511" i="1"/>
  <c r="G510" i="1"/>
  <c r="H509" i="1"/>
  <c r="L509" i="1"/>
  <c r="E509" i="1"/>
  <c r="F509" i="1"/>
  <c r="F506" i="1"/>
  <c r="G499" i="1"/>
  <c r="E495" i="1"/>
  <c r="G494" i="1"/>
  <c r="H493" i="1"/>
  <c r="L493" i="1"/>
  <c r="E493" i="1"/>
  <c r="F493" i="1"/>
  <c r="F490" i="1"/>
  <c r="G483" i="1"/>
  <c r="E479" i="1"/>
  <c r="G478" i="1"/>
  <c r="H477" i="1"/>
  <c r="L477" i="1"/>
  <c r="E477" i="1"/>
  <c r="F477" i="1"/>
  <c r="F474" i="1"/>
  <c r="G467" i="1"/>
  <c r="E463" i="1"/>
  <c r="G462" i="1"/>
  <c r="H461" i="1"/>
  <c r="L461" i="1"/>
  <c r="E461" i="1"/>
  <c r="F461" i="1"/>
  <c r="F458" i="1"/>
  <c r="G451" i="1"/>
  <c r="E447" i="1"/>
  <c r="G446" i="1"/>
  <c r="H445" i="1"/>
  <c r="L445" i="1"/>
  <c r="E445" i="1"/>
  <c r="F445" i="1"/>
  <c r="F442" i="1"/>
  <c r="G435" i="1"/>
  <c r="E431" i="1"/>
  <c r="G430" i="1"/>
  <c r="H429" i="1"/>
  <c r="L429" i="1"/>
  <c r="E429" i="1"/>
  <c r="F429" i="1"/>
  <c r="F426" i="1"/>
  <c r="G419" i="1"/>
  <c r="E415" i="1"/>
  <c r="G414" i="1"/>
  <c r="H413" i="1"/>
  <c r="L413" i="1"/>
  <c r="E413" i="1"/>
  <c r="F413" i="1"/>
  <c r="F410" i="1"/>
  <c r="G403" i="1"/>
  <c r="E399" i="1"/>
  <c r="G398" i="1"/>
  <c r="H397" i="1"/>
  <c r="L397" i="1"/>
  <c r="E397" i="1"/>
  <c r="F397" i="1"/>
  <c r="F394" i="1"/>
  <c r="G387" i="1"/>
  <c r="E383" i="1"/>
  <c r="G382" i="1"/>
  <c r="H381" i="1"/>
  <c r="L381" i="1"/>
  <c r="E381" i="1"/>
  <c r="F381" i="1"/>
  <c r="F378" i="1"/>
  <c r="G371" i="1"/>
  <c r="E367" i="1"/>
  <c r="G366" i="1"/>
  <c r="H365" i="1"/>
  <c r="L365" i="1"/>
  <c r="E365" i="1"/>
  <c r="F365" i="1"/>
  <c r="F362" i="1"/>
  <c r="G355" i="1"/>
  <c r="E351" i="1"/>
  <c r="G350" i="1"/>
  <c r="H349" i="1"/>
  <c r="L349" i="1"/>
  <c r="E349" i="1"/>
  <c r="F349" i="1"/>
  <c r="F346" i="1"/>
  <c r="G339" i="1"/>
  <c r="E335" i="1"/>
  <c r="G334" i="1"/>
  <c r="H333" i="1"/>
  <c r="L333" i="1"/>
  <c r="E333" i="1"/>
  <c r="F333" i="1"/>
  <c r="F330" i="1"/>
  <c r="G323" i="1"/>
  <c r="E319" i="1"/>
  <c r="G318" i="1"/>
  <c r="H317" i="1"/>
  <c r="L317" i="1"/>
  <c r="E317" i="1"/>
  <c r="F317" i="1"/>
  <c r="F314" i="1"/>
  <c r="F310" i="1"/>
  <c r="F306" i="1"/>
  <c r="H301" i="1"/>
  <c r="G299" i="1"/>
  <c r="G296" i="1"/>
  <c r="F296" i="1"/>
  <c r="G293" i="1"/>
  <c r="H269" i="1"/>
  <c r="G267" i="1"/>
  <c r="G264" i="1"/>
  <c r="F264" i="1"/>
  <c r="G261" i="1"/>
  <c r="H237" i="1"/>
  <c r="G235" i="1"/>
  <c r="G232" i="1"/>
  <c r="F232" i="1"/>
  <c r="G229" i="1"/>
  <c r="H205" i="1"/>
  <c r="G203" i="1"/>
  <c r="E53" i="1"/>
  <c r="G508" i="1"/>
  <c r="G504" i="1"/>
  <c r="G500" i="1"/>
  <c r="G496" i="1"/>
  <c r="G492" i="1"/>
  <c r="G488" i="1"/>
  <c r="G484" i="1"/>
  <c r="G480" i="1"/>
  <c r="G476" i="1"/>
  <c r="G472" i="1"/>
  <c r="G468" i="1"/>
  <c r="G464" i="1"/>
  <c r="G460" i="1"/>
  <c r="G456" i="1"/>
  <c r="G452" i="1"/>
  <c r="G448" i="1"/>
  <c r="G444" i="1"/>
  <c r="G440" i="1"/>
  <c r="G436" i="1"/>
  <c r="G432" i="1"/>
  <c r="G428" i="1"/>
  <c r="G424" i="1"/>
  <c r="G420" i="1"/>
  <c r="G416" i="1"/>
  <c r="G412" i="1"/>
  <c r="G408" i="1"/>
  <c r="G404" i="1"/>
  <c r="G400" i="1"/>
  <c r="G396" i="1"/>
  <c r="G392" i="1"/>
  <c r="G388" i="1"/>
  <c r="G384" i="1"/>
  <c r="G380" i="1"/>
  <c r="G376" i="1"/>
  <c r="G372" i="1"/>
  <c r="G368" i="1"/>
  <c r="G364" i="1"/>
  <c r="G360" i="1"/>
  <c r="G356" i="1"/>
  <c r="G352" i="1"/>
  <c r="G348" i="1"/>
  <c r="G344" i="1"/>
  <c r="G340" i="1"/>
  <c r="G336" i="1"/>
  <c r="G332" i="1"/>
  <c r="G328" i="1"/>
  <c r="G324" i="1"/>
  <c r="G320" i="1"/>
  <c r="G316" i="1"/>
  <c r="G312" i="1"/>
  <c r="G308" i="1"/>
  <c r="G304" i="1"/>
  <c r="H299" i="1"/>
  <c r="L299" i="1"/>
  <c r="H291" i="1"/>
  <c r="L291" i="1"/>
  <c r="F291" i="1"/>
  <c r="H283" i="1"/>
  <c r="L283" i="1"/>
  <c r="F283" i="1"/>
  <c r="H275" i="1"/>
  <c r="L275" i="1"/>
  <c r="F275" i="1"/>
  <c r="H267" i="1"/>
  <c r="L267" i="1"/>
  <c r="F267" i="1"/>
  <c r="H259" i="1"/>
  <c r="L259" i="1"/>
  <c r="F259" i="1"/>
  <c r="H251" i="1"/>
  <c r="L251" i="1"/>
  <c r="F251" i="1"/>
  <c r="H243" i="1"/>
  <c r="L243" i="1"/>
  <c r="F243" i="1"/>
  <c r="H235" i="1"/>
  <c r="L235" i="1"/>
  <c r="F235" i="1"/>
  <c r="H227" i="1"/>
  <c r="L227" i="1"/>
  <c r="F227" i="1"/>
  <c r="H219" i="1"/>
  <c r="L219" i="1"/>
  <c r="F219" i="1"/>
  <c r="H211" i="1"/>
  <c r="L211" i="1"/>
  <c r="F211" i="1"/>
  <c r="H203" i="1"/>
  <c r="L203" i="1"/>
  <c r="F203" i="1"/>
  <c r="G191" i="1"/>
  <c r="G175" i="1"/>
  <c r="E128" i="1"/>
  <c r="F564" i="1"/>
  <c r="F560" i="1"/>
  <c r="F556" i="1"/>
  <c r="F552" i="1"/>
  <c r="F548" i="1"/>
  <c r="F544" i="1"/>
  <c r="F540" i="1"/>
  <c r="F536" i="1"/>
  <c r="F532" i="1"/>
  <c r="F528" i="1"/>
  <c r="F524" i="1"/>
  <c r="F520" i="1"/>
  <c r="F516" i="1"/>
  <c r="F512" i="1"/>
  <c r="L510" i="1"/>
  <c r="H510" i="1"/>
  <c r="F508" i="1"/>
  <c r="L506" i="1"/>
  <c r="H506" i="1"/>
  <c r="F504" i="1"/>
  <c r="L502" i="1"/>
  <c r="H502" i="1"/>
  <c r="F500" i="1"/>
  <c r="L498" i="1"/>
  <c r="H498" i="1"/>
  <c r="F496" i="1"/>
  <c r="L494" i="1"/>
  <c r="H494" i="1"/>
  <c r="F492" i="1"/>
  <c r="L490" i="1"/>
  <c r="H490" i="1"/>
  <c r="F488" i="1"/>
  <c r="L486" i="1"/>
  <c r="H486" i="1"/>
  <c r="F484" i="1"/>
  <c r="L482" i="1"/>
  <c r="H482" i="1"/>
  <c r="F480" i="1"/>
  <c r="L478" i="1"/>
  <c r="H478" i="1"/>
  <c r="F476" i="1"/>
  <c r="L474" i="1"/>
  <c r="H474" i="1"/>
  <c r="F472" i="1"/>
  <c r="L470" i="1"/>
  <c r="H470" i="1"/>
  <c r="F468" i="1"/>
  <c r="L466" i="1"/>
  <c r="H466" i="1"/>
  <c r="F464" i="1"/>
  <c r="L462" i="1"/>
  <c r="H462" i="1"/>
  <c r="F460" i="1"/>
  <c r="L458" i="1"/>
  <c r="H458" i="1"/>
  <c r="F456" i="1"/>
  <c r="L454" i="1"/>
  <c r="H454" i="1"/>
  <c r="F452" i="1"/>
  <c r="L450" i="1"/>
  <c r="H450" i="1"/>
  <c r="F448" i="1"/>
  <c r="L446" i="1"/>
  <c r="H446" i="1"/>
  <c r="F444" i="1"/>
  <c r="L442" i="1"/>
  <c r="H442" i="1"/>
  <c r="F440" i="1"/>
  <c r="L438" i="1"/>
  <c r="H438" i="1"/>
  <c r="F436" i="1"/>
  <c r="L434" i="1"/>
  <c r="H434" i="1"/>
  <c r="F432" i="1"/>
  <c r="L430" i="1"/>
  <c r="H430" i="1"/>
  <c r="F428" i="1"/>
  <c r="L426" i="1"/>
  <c r="H426" i="1"/>
  <c r="F424" i="1"/>
  <c r="L422" i="1"/>
  <c r="H422" i="1"/>
  <c r="F420" i="1"/>
  <c r="L418" i="1"/>
  <c r="H418" i="1"/>
  <c r="F416" i="1"/>
  <c r="L414" i="1"/>
  <c r="H414" i="1"/>
  <c r="F412" i="1"/>
  <c r="L410" i="1"/>
  <c r="H410" i="1"/>
  <c r="F408" i="1"/>
  <c r="L406" i="1"/>
  <c r="H406" i="1"/>
  <c r="F404" i="1"/>
  <c r="L402" i="1"/>
  <c r="H402" i="1"/>
  <c r="F400" i="1"/>
  <c r="L398" i="1"/>
  <c r="H398" i="1"/>
  <c r="F396" i="1"/>
  <c r="L394" i="1"/>
  <c r="H394" i="1"/>
  <c r="F392" i="1"/>
  <c r="L390" i="1"/>
  <c r="H390" i="1"/>
  <c r="F388" i="1"/>
  <c r="L386" i="1"/>
  <c r="H386" i="1"/>
  <c r="F384" i="1"/>
  <c r="L382" i="1"/>
  <c r="H382" i="1"/>
  <c r="F380" i="1"/>
  <c r="L378" i="1"/>
  <c r="H378" i="1"/>
  <c r="F376" i="1"/>
  <c r="L374" i="1"/>
  <c r="H374" i="1"/>
  <c r="F372" i="1"/>
  <c r="L370" i="1"/>
  <c r="H370" i="1"/>
  <c r="F368" i="1"/>
  <c r="L366" i="1"/>
  <c r="H366" i="1"/>
  <c r="F364" i="1"/>
  <c r="L362" i="1"/>
  <c r="H362" i="1"/>
  <c r="F360" i="1"/>
  <c r="L358" i="1"/>
  <c r="H358" i="1"/>
  <c r="F356" i="1"/>
  <c r="L354" i="1"/>
  <c r="H354" i="1"/>
  <c r="F352" i="1"/>
  <c r="L350" i="1"/>
  <c r="H350" i="1"/>
  <c r="F348" i="1"/>
  <c r="L346" i="1"/>
  <c r="H346" i="1"/>
  <c r="F344" i="1"/>
  <c r="L342" i="1"/>
  <c r="H342" i="1"/>
  <c r="F340" i="1"/>
  <c r="L338" i="1"/>
  <c r="H338" i="1"/>
  <c r="F336" i="1"/>
  <c r="L334" i="1"/>
  <c r="H334" i="1"/>
  <c r="F332" i="1"/>
  <c r="L330" i="1"/>
  <c r="H330" i="1"/>
  <c r="F328" i="1"/>
  <c r="L326" i="1"/>
  <c r="H326" i="1"/>
  <c r="F324" i="1"/>
  <c r="L322" i="1"/>
  <c r="H322" i="1"/>
  <c r="F320" i="1"/>
  <c r="L318" i="1"/>
  <c r="H318" i="1"/>
  <c r="F316" i="1"/>
  <c r="L314" i="1"/>
  <c r="H314" i="1"/>
  <c r="F312" i="1"/>
  <c r="L310" i="1"/>
  <c r="H310" i="1"/>
  <c r="F308" i="1"/>
  <c r="L306" i="1"/>
  <c r="H306" i="1"/>
  <c r="F304" i="1"/>
  <c r="L302" i="1"/>
  <c r="H302" i="1"/>
  <c r="F301" i="1"/>
  <c r="E301" i="1"/>
  <c r="G300" i="1"/>
  <c r="F299" i="1"/>
  <c r="G298" i="1"/>
  <c r="G297" i="1"/>
  <c r="G295" i="1"/>
  <c r="G292" i="1"/>
  <c r="E291" i="1"/>
  <c r="G289" i="1"/>
  <c r="G287" i="1"/>
  <c r="G284" i="1"/>
  <c r="E283" i="1"/>
  <c r="G281" i="1"/>
  <c r="G279" i="1"/>
  <c r="G276" i="1"/>
  <c r="E275" i="1"/>
  <c r="G273" i="1"/>
  <c r="G271" i="1"/>
  <c r="G268" i="1"/>
  <c r="E267" i="1"/>
  <c r="G265" i="1"/>
  <c r="G263" i="1"/>
  <c r="G260" i="1"/>
  <c r="E259" i="1"/>
  <c r="G257" i="1"/>
  <c r="G255" i="1"/>
  <c r="G252" i="1"/>
  <c r="E251" i="1"/>
  <c r="G249" i="1"/>
  <c r="G247" i="1"/>
  <c r="G244" i="1"/>
  <c r="E243" i="1"/>
  <c r="G241" i="1"/>
  <c r="G239" i="1"/>
  <c r="G236" i="1"/>
  <c r="E235" i="1"/>
  <c r="G233" i="1"/>
  <c r="G231" i="1"/>
  <c r="G228" i="1"/>
  <c r="E227" i="1"/>
  <c r="G225" i="1"/>
  <c r="G223" i="1"/>
  <c r="G220" i="1"/>
  <c r="E219" i="1"/>
  <c r="G217" i="1"/>
  <c r="G215" i="1"/>
  <c r="G212" i="1"/>
  <c r="E211" i="1"/>
  <c r="G209" i="1"/>
  <c r="G207" i="1"/>
  <c r="G204" i="1"/>
  <c r="E203" i="1"/>
  <c r="G195" i="1"/>
  <c r="G179" i="1"/>
  <c r="E564" i="1"/>
  <c r="L563" i="1"/>
  <c r="H563" i="1"/>
  <c r="E560" i="1"/>
  <c r="L559" i="1"/>
  <c r="H559" i="1"/>
  <c r="E556" i="1"/>
  <c r="L555" i="1"/>
  <c r="H555" i="1"/>
  <c r="E552" i="1"/>
  <c r="L551" i="1"/>
  <c r="H551" i="1"/>
  <c r="E548" i="1"/>
  <c r="L547" i="1"/>
  <c r="H547" i="1"/>
  <c r="E544" i="1"/>
  <c r="L543" i="1"/>
  <c r="H543" i="1"/>
  <c r="E540" i="1"/>
  <c r="L539" i="1"/>
  <c r="H539" i="1"/>
  <c r="E536" i="1"/>
  <c r="L535" i="1"/>
  <c r="H535" i="1"/>
  <c r="E532" i="1"/>
  <c r="L531" i="1"/>
  <c r="H531" i="1"/>
  <c r="E528" i="1"/>
  <c r="L527" i="1"/>
  <c r="H527" i="1"/>
  <c r="E524" i="1"/>
  <c r="L523" i="1"/>
  <c r="H523" i="1"/>
  <c r="E520" i="1"/>
  <c r="L519" i="1"/>
  <c r="H519" i="1"/>
  <c r="E516" i="1"/>
  <c r="L515" i="1"/>
  <c r="H515" i="1"/>
  <c r="E512" i="1"/>
  <c r="L511" i="1"/>
  <c r="H511" i="1"/>
  <c r="E508" i="1"/>
  <c r="L507" i="1"/>
  <c r="H507" i="1"/>
  <c r="E504" i="1"/>
  <c r="L503" i="1"/>
  <c r="H503" i="1"/>
  <c r="E500" i="1"/>
  <c r="L499" i="1"/>
  <c r="H499" i="1"/>
  <c r="E496" i="1"/>
  <c r="L495" i="1"/>
  <c r="H495" i="1"/>
  <c r="E492" i="1"/>
  <c r="L491" i="1"/>
  <c r="H491" i="1"/>
  <c r="E488" i="1"/>
  <c r="L487" i="1"/>
  <c r="H487" i="1"/>
  <c r="E484" i="1"/>
  <c r="L483" i="1"/>
  <c r="H483" i="1"/>
  <c r="E480" i="1"/>
  <c r="L479" i="1"/>
  <c r="H479" i="1"/>
  <c r="E476" i="1"/>
  <c r="L475" i="1"/>
  <c r="H475" i="1"/>
  <c r="E472" i="1"/>
  <c r="L471" i="1"/>
  <c r="H471" i="1"/>
  <c r="E468" i="1"/>
  <c r="L467" i="1"/>
  <c r="H467" i="1"/>
  <c r="E464" i="1"/>
  <c r="L463" i="1"/>
  <c r="H463" i="1"/>
  <c r="E460" i="1"/>
  <c r="L459" i="1"/>
  <c r="H459" i="1"/>
  <c r="E456" i="1"/>
  <c r="L455" i="1"/>
  <c r="H455" i="1"/>
  <c r="E452" i="1"/>
  <c r="L451" i="1"/>
  <c r="H451" i="1"/>
  <c r="E448" i="1"/>
  <c r="L447" i="1"/>
  <c r="H447" i="1"/>
  <c r="E444" i="1"/>
  <c r="L443" i="1"/>
  <c r="H443" i="1"/>
  <c r="E440" i="1"/>
  <c r="L439" i="1"/>
  <c r="H439" i="1"/>
  <c r="E436" i="1"/>
  <c r="L435" i="1"/>
  <c r="H435" i="1"/>
  <c r="E432" i="1"/>
  <c r="L431" i="1"/>
  <c r="H431" i="1"/>
  <c r="E428" i="1"/>
  <c r="L427" i="1"/>
  <c r="H427" i="1"/>
  <c r="E424" i="1"/>
  <c r="L423" i="1"/>
  <c r="H423" i="1"/>
  <c r="E420" i="1"/>
  <c r="L419" i="1"/>
  <c r="H419" i="1"/>
  <c r="E416" i="1"/>
  <c r="L415" i="1"/>
  <c r="H415" i="1"/>
  <c r="E412" i="1"/>
  <c r="L411" i="1"/>
  <c r="H411" i="1"/>
  <c r="E408" i="1"/>
  <c r="L407" i="1"/>
  <c r="H407" i="1"/>
  <c r="E404" i="1"/>
  <c r="L403" i="1"/>
  <c r="H403" i="1"/>
  <c r="E400" i="1"/>
  <c r="L399" i="1"/>
  <c r="H399" i="1"/>
  <c r="E396" i="1"/>
  <c r="L395" i="1"/>
  <c r="H395" i="1"/>
  <c r="E392" i="1"/>
  <c r="L391" i="1"/>
  <c r="H391" i="1"/>
  <c r="E388" i="1"/>
  <c r="L387" i="1"/>
  <c r="H387" i="1"/>
  <c r="E384" i="1"/>
  <c r="L383" i="1"/>
  <c r="H383" i="1"/>
  <c r="E380" i="1"/>
  <c r="L379" i="1"/>
  <c r="H379" i="1"/>
  <c r="E376" i="1"/>
  <c r="L375" i="1"/>
  <c r="H375" i="1"/>
  <c r="E372" i="1"/>
  <c r="L371" i="1"/>
  <c r="H371" i="1"/>
  <c r="E368" i="1"/>
  <c r="L367" i="1"/>
  <c r="H367" i="1"/>
  <c r="E364" i="1"/>
  <c r="L363" i="1"/>
  <c r="H363" i="1"/>
  <c r="E360" i="1"/>
  <c r="L359" i="1"/>
  <c r="H359" i="1"/>
  <c r="E356" i="1"/>
  <c r="L355" i="1"/>
  <c r="H355" i="1"/>
  <c r="E352" i="1"/>
  <c r="L351" i="1"/>
  <c r="H351" i="1"/>
  <c r="E348" i="1"/>
  <c r="L347" i="1"/>
  <c r="H347" i="1"/>
  <c r="E344" i="1"/>
  <c r="L343" i="1"/>
  <c r="H343" i="1"/>
  <c r="E340" i="1"/>
  <c r="L339" i="1"/>
  <c r="H339" i="1"/>
  <c r="E336" i="1"/>
  <c r="L335" i="1"/>
  <c r="H335" i="1"/>
  <c r="E332" i="1"/>
  <c r="L331" i="1"/>
  <c r="H331" i="1"/>
  <c r="E328" i="1"/>
  <c r="L327" i="1"/>
  <c r="H327" i="1"/>
  <c r="E324" i="1"/>
  <c r="L323" i="1"/>
  <c r="H323" i="1"/>
  <c r="E320" i="1"/>
  <c r="L319" i="1"/>
  <c r="H319" i="1"/>
  <c r="E316" i="1"/>
  <c r="L315" i="1"/>
  <c r="H315" i="1"/>
  <c r="E312" i="1"/>
  <c r="E308" i="1"/>
  <c r="E304" i="1"/>
  <c r="F302" i="1"/>
  <c r="E299" i="1"/>
  <c r="H295" i="1"/>
  <c r="L295" i="1"/>
  <c r="F295" i="1"/>
  <c r="H287" i="1"/>
  <c r="L287" i="1"/>
  <c r="F287" i="1"/>
  <c r="H279" i="1"/>
  <c r="L279" i="1"/>
  <c r="F279" i="1"/>
  <c r="H271" i="1"/>
  <c r="L271" i="1"/>
  <c r="F271" i="1"/>
  <c r="H263" i="1"/>
  <c r="L263" i="1"/>
  <c r="F263" i="1"/>
  <c r="H255" i="1"/>
  <c r="L255" i="1"/>
  <c r="F255" i="1"/>
  <c r="H247" i="1"/>
  <c r="L247" i="1"/>
  <c r="F247" i="1"/>
  <c r="H239" i="1"/>
  <c r="L239" i="1"/>
  <c r="F239" i="1"/>
  <c r="H231" i="1"/>
  <c r="L231" i="1"/>
  <c r="F231" i="1"/>
  <c r="H223" i="1"/>
  <c r="L223" i="1"/>
  <c r="F223" i="1"/>
  <c r="H215" i="1"/>
  <c r="L215" i="1"/>
  <c r="F215" i="1"/>
  <c r="H207" i="1"/>
  <c r="L207" i="1"/>
  <c r="F207" i="1"/>
  <c r="G199" i="1"/>
  <c r="G183" i="1"/>
  <c r="G167" i="1"/>
  <c r="E41" i="1"/>
  <c r="G201" i="1"/>
  <c r="H199" i="1"/>
  <c r="L199" i="1"/>
  <c r="G197" i="1"/>
  <c r="H195" i="1"/>
  <c r="L195" i="1"/>
  <c r="G193" i="1"/>
  <c r="H191" i="1"/>
  <c r="L191" i="1"/>
  <c r="G189" i="1"/>
  <c r="H187" i="1"/>
  <c r="L187" i="1"/>
  <c r="G185" i="1"/>
  <c r="H183" i="1"/>
  <c r="L183" i="1"/>
  <c r="G181" i="1"/>
  <c r="H179" i="1"/>
  <c r="L179" i="1"/>
  <c r="G177" i="1"/>
  <c r="H175" i="1"/>
  <c r="L175" i="1"/>
  <c r="G173" i="1"/>
  <c r="H171" i="1"/>
  <c r="L171" i="1"/>
  <c r="G169" i="1"/>
  <c r="H167" i="1"/>
  <c r="L167" i="1"/>
  <c r="E108" i="1"/>
  <c r="E143" i="1"/>
  <c r="E293" i="1"/>
  <c r="E289" i="1"/>
  <c r="E285" i="1"/>
  <c r="E281" i="1"/>
  <c r="E277" i="1"/>
  <c r="E273" i="1"/>
  <c r="E269" i="1"/>
  <c r="E265" i="1"/>
  <c r="E261" i="1"/>
  <c r="E257" i="1"/>
  <c r="E253" i="1"/>
  <c r="E249" i="1"/>
  <c r="E245" i="1"/>
  <c r="E241" i="1"/>
  <c r="E237" i="1"/>
  <c r="E233" i="1"/>
  <c r="E229" i="1"/>
  <c r="E225" i="1"/>
  <c r="E221" i="1"/>
  <c r="E217" i="1"/>
  <c r="E213" i="1"/>
  <c r="E209" i="1"/>
  <c r="E205" i="1"/>
  <c r="E201" i="1"/>
  <c r="E197" i="1"/>
  <c r="E193" i="1"/>
  <c r="E189" i="1"/>
  <c r="E185" i="1"/>
  <c r="E181" i="1"/>
  <c r="E177" i="1"/>
  <c r="E173" i="1"/>
  <c r="E169" i="1"/>
  <c r="E74" i="1"/>
  <c r="E80" i="1"/>
  <c r="E93" i="1"/>
  <c r="E3" i="1"/>
  <c r="E149" i="1"/>
  <c r="E120" i="1"/>
  <c r="E69" i="1"/>
  <c r="E92" i="1"/>
  <c r="E75" i="1"/>
  <c r="E23" i="1"/>
  <c r="E163" i="1"/>
  <c r="E103" i="1"/>
  <c r="E101" i="1"/>
  <c r="E2" i="1"/>
  <c r="E63" i="1"/>
  <c r="E39" i="1"/>
  <c r="E136" i="1"/>
  <c r="F294" i="1"/>
  <c r="F290" i="1"/>
  <c r="F286" i="1"/>
  <c r="F282" i="1"/>
  <c r="F278" i="1"/>
  <c r="F274" i="1"/>
  <c r="F270" i="1"/>
  <c r="F266" i="1"/>
  <c r="F262" i="1"/>
  <c r="F258" i="1"/>
  <c r="F254" i="1"/>
  <c r="F250" i="1"/>
  <c r="F246" i="1"/>
  <c r="F242" i="1"/>
  <c r="F238" i="1"/>
  <c r="F234" i="1"/>
  <c r="F230" i="1"/>
  <c r="F226" i="1"/>
  <c r="F222" i="1"/>
  <c r="F218" i="1"/>
  <c r="F214" i="1"/>
  <c r="F210" i="1"/>
  <c r="F206" i="1"/>
  <c r="F202" i="1"/>
  <c r="F199" i="1"/>
  <c r="F198" i="1"/>
  <c r="F195" i="1"/>
  <c r="F194" i="1"/>
  <c r="F191" i="1"/>
  <c r="F190" i="1"/>
  <c r="F187" i="1"/>
  <c r="F186" i="1"/>
  <c r="F183" i="1"/>
  <c r="F182" i="1"/>
  <c r="F179" i="1"/>
  <c r="F178" i="1"/>
  <c r="F175" i="1"/>
  <c r="F174" i="1"/>
  <c r="F171" i="1"/>
  <c r="F170" i="1"/>
  <c r="F167" i="1"/>
  <c r="E28" i="1"/>
  <c r="E13" i="1"/>
  <c r="E82" i="1"/>
  <c r="E114" i="1"/>
  <c r="E131" i="1"/>
  <c r="E68" i="1"/>
  <c r="E141" i="1"/>
  <c r="E83" i="1"/>
  <c r="E46" i="1"/>
  <c r="E65" i="1"/>
  <c r="E79" i="1"/>
  <c r="E118" i="1"/>
  <c r="E134" i="1"/>
  <c r="E35" i="1"/>
  <c r="E132" i="1"/>
  <c r="E137" i="1"/>
  <c r="E19" i="1"/>
  <c r="E116" i="1"/>
  <c r="E7" i="1"/>
  <c r="E1" i="1"/>
  <c r="E54" i="1"/>
  <c r="E102" i="1"/>
  <c r="E153" i="1"/>
  <c r="E44" i="1"/>
  <c r="E18" i="1"/>
  <c r="E30" i="1"/>
  <c r="E71" i="1"/>
  <c r="D85" i="1"/>
  <c r="D164" i="1"/>
  <c r="D122" i="1"/>
  <c r="D145" i="1"/>
  <c r="D115" i="1"/>
  <c r="D126" i="1"/>
  <c r="D121" i="1"/>
  <c r="D156" i="1"/>
  <c r="D55" i="1"/>
  <c r="D33" i="1"/>
  <c r="D5" i="1"/>
  <c r="D107" i="1"/>
  <c r="D124" i="1"/>
  <c r="D105" i="1"/>
  <c r="D40" i="1"/>
  <c r="D58" i="1"/>
  <c r="D60" i="1"/>
  <c r="D104" i="1"/>
  <c r="D52" i="1"/>
  <c r="C85" i="1"/>
  <c r="C164" i="1"/>
  <c r="C122" i="1"/>
  <c r="C145" i="1"/>
  <c r="C115" i="1"/>
  <c r="C126" i="1"/>
  <c r="C121" i="1"/>
  <c r="C156" i="1"/>
  <c r="C55" i="1"/>
  <c r="C33" i="1"/>
  <c r="C5" i="1"/>
  <c r="C107" i="1"/>
  <c r="C124" i="1"/>
  <c r="C105" i="1"/>
  <c r="C40" i="1"/>
  <c r="C58" i="1"/>
  <c r="C60" i="1"/>
  <c r="C104" i="1"/>
  <c r="C52" i="1"/>
  <c r="I52" i="1"/>
  <c r="J52" i="1"/>
  <c r="K52" i="1"/>
  <c r="I40" i="1"/>
  <c r="J40" i="1"/>
  <c r="K40" i="1"/>
  <c r="I107" i="1"/>
  <c r="J107" i="1"/>
  <c r="K107" i="1"/>
  <c r="I55" i="1"/>
  <c r="J55" i="1"/>
  <c r="K55" i="1"/>
  <c r="I58" i="1"/>
  <c r="J58" i="1"/>
  <c r="K58" i="1"/>
  <c r="I124" i="1"/>
  <c r="J124" i="1"/>
  <c r="K124" i="1"/>
  <c r="F101" i="2"/>
  <c r="D101" i="2"/>
  <c r="B101" i="2"/>
  <c r="E58" i="1" l="1"/>
  <c r="E55" i="1"/>
  <c r="E107" i="1"/>
  <c r="E124" i="1"/>
  <c r="E40" i="1"/>
  <c r="E52" i="1"/>
  <c r="K101" i="2"/>
  <c r="J101" i="2"/>
  <c r="H101" i="2"/>
  <c r="L101" i="2"/>
  <c r="I101" i="2"/>
  <c r="N101" i="2" s="1"/>
  <c r="M101" i="2"/>
  <c r="F11" i="2" l="1"/>
  <c r="F41" i="2"/>
  <c r="F92" i="2"/>
  <c r="F7" i="2"/>
  <c r="F10" i="2"/>
  <c r="F14" i="2"/>
  <c r="F16" i="2"/>
  <c r="F28" i="2"/>
  <c r="F19" i="2"/>
  <c r="F22" i="2"/>
  <c r="F24" i="2"/>
  <c r="F27" i="2"/>
  <c r="F25" i="2"/>
  <c r="F18" i="2"/>
  <c r="F31" i="2"/>
  <c r="F32" i="2"/>
  <c r="F35" i="2"/>
  <c r="F37" i="2"/>
  <c r="F38" i="2"/>
  <c r="F40" i="2"/>
  <c r="F42" i="2"/>
  <c r="F53" i="2"/>
  <c r="F50" i="2"/>
  <c r="F54" i="2"/>
  <c r="F55" i="2"/>
  <c r="F69" i="2"/>
  <c r="F71" i="2"/>
  <c r="F72" i="2"/>
  <c r="F73" i="2"/>
  <c r="F76" i="2"/>
  <c r="F77" i="2"/>
  <c r="F80" i="2"/>
  <c r="F82" i="2"/>
  <c r="F87" i="2"/>
  <c r="F88" i="2"/>
  <c r="F93" i="2"/>
  <c r="F8" i="2"/>
  <c r="F17" i="2"/>
  <c r="F44" i="2"/>
  <c r="F60" i="2"/>
  <c r="F64" i="2"/>
  <c r="F67" i="2"/>
  <c r="F79" i="2"/>
  <c r="F91" i="2"/>
  <c r="F94" i="2"/>
  <c r="F20" i="2"/>
  <c r="F21" i="2"/>
  <c r="F45" i="2"/>
  <c r="F57" i="2"/>
  <c r="F66" i="2"/>
  <c r="F70" i="2"/>
  <c r="F85" i="2"/>
  <c r="F5" i="2"/>
  <c r="F63" i="2"/>
  <c r="F65" i="2"/>
  <c r="F51" i="2"/>
  <c r="F52" i="2"/>
  <c r="F59" i="2"/>
  <c r="F62" i="2"/>
  <c r="F15" i="2"/>
  <c r="F9" i="2"/>
  <c r="F43" i="2"/>
  <c r="F68" i="2"/>
  <c r="F23" i="2"/>
  <c r="F83" i="2"/>
  <c r="F48" i="2"/>
  <c r="F6" i="2"/>
  <c r="F58" i="2"/>
  <c r="F89" i="2"/>
  <c r="F2" i="2"/>
  <c r="F47" i="2"/>
  <c r="F75" i="2"/>
  <c r="F74" i="2"/>
  <c r="F3" i="2"/>
  <c r="F56" i="2"/>
  <c r="F13" i="2"/>
  <c r="F12" i="2"/>
  <c r="F86" i="2"/>
  <c r="F26" i="2"/>
  <c r="F30" i="2"/>
  <c r="F34" i="2"/>
  <c r="F36" i="2"/>
  <c r="F39" i="2"/>
  <c r="F29" i="2"/>
  <c r="F33" i="2"/>
  <c r="F49" i="2"/>
  <c r="F46" i="2"/>
  <c r="F61" i="2"/>
  <c r="F78" i="2"/>
  <c r="F81" i="2"/>
  <c r="F84" i="2"/>
  <c r="F90" i="2"/>
  <c r="F95" i="2"/>
  <c r="F96" i="2"/>
  <c r="F97" i="2"/>
  <c r="F98" i="2"/>
  <c r="F99" i="2"/>
  <c r="F100" i="2"/>
  <c r="F4" i="2"/>
  <c r="D11" i="2"/>
  <c r="D41" i="2"/>
  <c r="D92" i="2"/>
  <c r="D7" i="2"/>
  <c r="D10" i="2"/>
  <c r="D14" i="2"/>
  <c r="D16" i="2"/>
  <c r="D28" i="2"/>
  <c r="D19" i="2"/>
  <c r="D22" i="2"/>
  <c r="D24" i="2"/>
  <c r="D27" i="2"/>
  <c r="D25" i="2"/>
  <c r="D18" i="2"/>
  <c r="D31" i="2"/>
  <c r="D32" i="2"/>
  <c r="D35" i="2"/>
  <c r="D37" i="2"/>
  <c r="D38" i="2"/>
  <c r="D40" i="2"/>
  <c r="D42" i="2"/>
  <c r="D53" i="2"/>
  <c r="D50" i="2"/>
  <c r="D54" i="2"/>
  <c r="D55" i="2"/>
  <c r="D69" i="2"/>
  <c r="D71" i="2"/>
  <c r="D72" i="2"/>
  <c r="D73" i="2"/>
  <c r="D76" i="2"/>
  <c r="D77" i="2"/>
  <c r="D80" i="2"/>
  <c r="D82" i="2"/>
  <c r="D87" i="2"/>
  <c r="D88" i="2"/>
  <c r="D93" i="2"/>
  <c r="D8" i="2"/>
  <c r="D17" i="2"/>
  <c r="D44" i="2"/>
  <c r="D60" i="2"/>
  <c r="D64" i="2"/>
  <c r="D67" i="2"/>
  <c r="D79" i="2"/>
  <c r="D91" i="2"/>
  <c r="D94" i="2"/>
  <c r="D20" i="2"/>
  <c r="D21" i="2"/>
  <c r="D45" i="2"/>
  <c r="D57" i="2"/>
  <c r="D66" i="2"/>
  <c r="D70" i="2"/>
  <c r="D85" i="2"/>
  <c r="D5" i="2"/>
  <c r="D63" i="2"/>
  <c r="D65" i="2"/>
  <c r="D51" i="2"/>
  <c r="D52" i="2"/>
  <c r="D59" i="2"/>
  <c r="D62" i="2"/>
  <c r="D15" i="2"/>
  <c r="D9" i="2"/>
  <c r="D43" i="2"/>
  <c r="D68" i="2"/>
  <c r="D23" i="2"/>
  <c r="D83" i="2"/>
  <c r="D48" i="2"/>
  <c r="D6" i="2"/>
  <c r="D58" i="2"/>
  <c r="D89" i="2"/>
  <c r="D2" i="2"/>
  <c r="D47" i="2"/>
  <c r="D75" i="2"/>
  <c r="D74" i="2"/>
  <c r="D3" i="2"/>
  <c r="D56" i="2"/>
  <c r="D13" i="2"/>
  <c r="D12" i="2"/>
  <c r="D86" i="2"/>
  <c r="D26" i="2"/>
  <c r="D30" i="2"/>
  <c r="D34" i="2"/>
  <c r="D36" i="2"/>
  <c r="D39" i="2"/>
  <c r="D29" i="2"/>
  <c r="D33" i="2"/>
  <c r="D49" i="2"/>
  <c r="D46" i="2"/>
  <c r="D61" i="2"/>
  <c r="D78" i="2"/>
  <c r="D81" i="2"/>
  <c r="D84" i="2"/>
  <c r="D90" i="2"/>
  <c r="D95" i="2"/>
  <c r="D96" i="2"/>
  <c r="D97" i="2"/>
  <c r="D98" i="2"/>
  <c r="D99" i="2"/>
  <c r="D100" i="2"/>
  <c r="D4" i="2"/>
  <c r="B11" i="2"/>
  <c r="B41" i="2"/>
  <c r="B92" i="2"/>
  <c r="B7" i="2"/>
  <c r="B10" i="2"/>
  <c r="B14" i="2"/>
  <c r="B16" i="2"/>
  <c r="B28" i="2"/>
  <c r="B19" i="2"/>
  <c r="B22" i="2"/>
  <c r="B24" i="2"/>
  <c r="B27" i="2"/>
  <c r="B25" i="2"/>
  <c r="B18" i="2"/>
  <c r="B31" i="2"/>
  <c r="B32" i="2"/>
  <c r="B35" i="2"/>
  <c r="B37" i="2"/>
  <c r="B38" i="2"/>
  <c r="B40" i="2"/>
  <c r="B42" i="2"/>
  <c r="B53" i="2"/>
  <c r="B50" i="2"/>
  <c r="B54" i="2"/>
  <c r="B55" i="2"/>
  <c r="B69" i="2"/>
  <c r="B71" i="2"/>
  <c r="B72" i="2"/>
  <c r="B73" i="2"/>
  <c r="B76" i="2"/>
  <c r="B77" i="2"/>
  <c r="B80" i="2"/>
  <c r="B82" i="2"/>
  <c r="B87" i="2"/>
  <c r="B88" i="2"/>
  <c r="B93" i="2"/>
  <c r="B8" i="2"/>
  <c r="B17" i="2"/>
  <c r="B44" i="2"/>
  <c r="B60" i="2"/>
  <c r="B64" i="2"/>
  <c r="B67" i="2"/>
  <c r="B79" i="2"/>
  <c r="B91" i="2"/>
  <c r="B94" i="2"/>
  <c r="B20" i="2"/>
  <c r="B21" i="2"/>
  <c r="B45" i="2"/>
  <c r="B57" i="2"/>
  <c r="B66" i="2"/>
  <c r="B70" i="2"/>
  <c r="B85" i="2"/>
  <c r="B5" i="2"/>
  <c r="B63" i="2"/>
  <c r="B65" i="2"/>
  <c r="B51" i="2"/>
  <c r="B52" i="2"/>
  <c r="B59" i="2"/>
  <c r="B62" i="2"/>
  <c r="B15" i="2"/>
  <c r="B9" i="2"/>
  <c r="B43" i="2"/>
  <c r="B68" i="2"/>
  <c r="B23" i="2"/>
  <c r="B83" i="2"/>
  <c r="B48" i="2"/>
  <c r="B6" i="2"/>
  <c r="B58" i="2"/>
  <c r="B89" i="2"/>
  <c r="B2" i="2"/>
  <c r="B47" i="2"/>
  <c r="B75" i="2"/>
  <c r="B74" i="2"/>
  <c r="B3" i="2"/>
  <c r="B56" i="2"/>
  <c r="B13" i="2"/>
  <c r="B12" i="2"/>
  <c r="B86" i="2"/>
  <c r="B26" i="2"/>
  <c r="B30" i="2"/>
  <c r="B34" i="2"/>
  <c r="B36" i="2"/>
  <c r="B39" i="2"/>
  <c r="B29" i="2"/>
  <c r="B33" i="2"/>
  <c r="B49" i="2"/>
  <c r="B46" i="2"/>
  <c r="B61" i="2"/>
  <c r="B78" i="2"/>
  <c r="B81" i="2"/>
  <c r="B84" i="2"/>
  <c r="B90" i="2"/>
  <c r="B95" i="2"/>
  <c r="B96" i="2"/>
  <c r="B97" i="2"/>
  <c r="B98" i="2"/>
  <c r="B99" i="2"/>
  <c r="B100" i="2"/>
  <c r="B4" i="2"/>
  <c r="J90" i="2" l="1"/>
  <c r="K90" i="2"/>
  <c r="K13" i="2"/>
  <c r="J13" i="2"/>
  <c r="J58" i="2"/>
  <c r="K58" i="2"/>
  <c r="K23" i="2"/>
  <c r="J23" i="2"/>
  <c r="K15" i="2"/>
  <c r="J15" i="2"/>
  <c r="K51" i="2"/>
  <c r="J51" i="2"/>
  <c r="K85" i="2"/>
  <c r="J85" i="2"/>
  <c r="K45" i="2"/>
  <c r="J45" i="2"/>
  <c r="K91" i="2"/>
  <c r="J91" i="2"/>
  <c r="J60" i="2"/>
  <c r="K60" i="2"/>
  <c r="K93" i="2"/>
  <c r="J93" i="2"/>
  <c r="K80" i="2"/>
  <c r="J80" i="2"/>
  <c r="J72" i="2"/>
  <c r="K72" i="2"/>
  <c r="J54" i="2"/>
  <c r="K54" i="2"/>
  <c r="J40" i="2"/>
  <c r="K40" i="2"/>
  <c r="J32" i="2"/>
  <c r="K32" i="2"/>
  <c r="K27" i="2"/>
  <c r="J27" i="2"/>
  <c r="J28" i="2"/>
  <c r="K28" i="2"/>
  <c r="K7" i="2"/>
  <c r="J7" i="2"/>
  <c r="J98" i="2"/>
  <c r="K98" i="2"/>
  <c r="K29" i="2"/>
  <c r="J29" i="2"/>
  <c r="K75" i="2"/>
  <c r="J75" i="2"/>
  <c r="J4" i="2"/>
  <c r="K4" i="2"/>
  <c r="J84" i="2"/>
  <c r="K84" i="2"/>
  <c r="J46" i="2"/>
  <c r="K46" i="2"/>
  <c r="K39" i="2"/>
  <c r="J39" i="2"/>
  <c r="J26" i="2"/>
  <c r="K26" i="2"/>
  <c r="J56" i="2"/>
  <c r="K56" i="2"/>
  <c r="K47" i="2"/>
  <c r="J47" i="2"/>
  <c r="J6" i="2"/>
  <c r="K6" i="2"/>
  <c r="J68" i="2"/>
  <c r="K68" i="2"/>
  <c r="J62" i="2"/>
  <c r="K62" i="2"/>
  <c r="K65" i="2"/>
  <c r="J65" i="2"/>
  <c r="J70" i="2"/>
  <c r="K70" i="2"/>
  <c r="K21" i="2"/>
  <c r="J21" i="2"/>
  <c r="K79" i="2"/>
  <c r="J79" i="2"/>
  <c r="J44" i="2"/>
  <c r="K44" i="2"/>
  <c r="K88" i="2"/>
  <c r="J88" i="2"/>
  <c r="K77" i="2"/>
  <c r="J77" i="2"/>
  <c r="K71" i="2"/>
  <c r="J71" i="2"/>
  <c r="J50" i="2"/>
  <c r="K50" i="2"/>
  <c r="J38" i="2"/>
  <c r="K38" i="2"/>
  <c r="K31" i="2"/>
  <c r="J31" i="2"/>
  <c r="J24" i="2"/>
  <c r="K24" i="2"/>
  <c r="J16" i="2"/>
  <c r="K16" i="2"/>
  <c r="J92" i="2"/>
  <c r="K92" i="2"/>
  <c r="K61" i="2"/>
  <c r="J61" i="2"/>
  <c r="K97" i="2"/>
  <c r="J97" i="2"/>
  <c r="J100" i="2"/>
  <c r="K100" i="2"/>
  <c r="K96" i="2"/>
  <c r="J96" i="2"/>
  <c r="K81" i="2"/>
  <c r="J81" i="2"/>
  <c r="K49" i="2"/>
  <c r="J49" i="2"/>
  <c r="J36" i="2"/>
  <c r="K36" i="2"/>
  <c r="J86" i="2"/>
  <c r="K86" i="2"/>
  <c r="K3" i="2"/>
  <c r="J3" i="2"/>
  <c r="J48" i="2"/>
  <c r="K48" i="2"/>
  <c r="K43" i="2"/>
  <c r="J43" i="2"/>
  <c r="K59" i="2"/>
  <c r="J59" i="2"/>
  <c r="K63" i="2"/>
  <c r="J63" i="2"/>
  <c r="J66" i="2"/>
  <c r="K66" i="2"/>
  <c r="J20" i="2"/>
  <c r="K20" i="2"/>
  <c r="K67" i="2"/>
  <c r="J67" i="2"/>
  <c r="K17" i="2"/>
  <c r="J17" i="2"/>
  <c r="K87" i="2"/>
  <c r="J87" i="2"/>
  <c r="J76" i="2"/>
  <c r="K76" i="2"/>
  <c r="K69" i="2"/>
  <c r="J69" i="2"/>
  <c r="K53" i="2"/>
  <c r="J53" i="2"/>
  <c r="K37" i="2"/>
  <c r="J37" i="2"/>
  <c r="J18" i="2"/>
  <c r="K18" i="2"/>
  <c r="J22" i="2"/>
  <c r="K22" i="2"/>
  <c r="J14" i="2"/>
  <c r="K14" i="2"/>
  <c r="K41" i="2"/>
  <c r="J41" i="2"/>
  <c r="J30" i="2"/>
  <c r="K30" i="2"/>
  <c r="K99" i="2"/>
  <c r="J99" i="2"/>
  <c r="K95" i="2"/>
  <c r="J95" i="2"/>
  <c r="J78" i="2"/>
  <c r="K78" i="2"/>
  <c r="K33" i="2"/>
  <c r="J33" i="2"/>
  <c r="J34" i="2"/>
  <c r="K34" i="2"/>
  <c r="J12" i="2"/>
  <c r="K12" i="2"/>
  <c r="J74" i="2"/>
  <c r="K74" i="2"/>
  <c r="K89" i="2"/>
  <c r="J89" i="2"/>
  <c r="K83" i="2"/>
  <c r="J83" i="2"/>
  <c r="K9" i="2"/>
  <c r="J9" i="2"/>
  <c r="J52" i="2"/>
  <c r="K52" i="2"/>
  <c r="K5" i="2"/>
  <c r="J5" i="2"/>
  <c r="K57" i="2"/>
  <c r="J57" i="2"/>
  <c r="J94" i="2"/>
  <c r="K94" i="2"/>
  <c r="J64" i="2"/>
  <c r="K64" i="2"/>
  <c r="J8" i="2"/>
  <c r="K8" i="2"/>
  <c r="J82" i="2"/>
  <c r="K82" i="2"/>
  <c r="K73" i="2"/>
  <c r="J73" i="2"/>
  <c r="K55" i="2"/>
  <c r="J55" i="2"/>
  <c r="J42" i="2"/>
  <c r="K42" i="2"/>
  <c r="K35" i="2"/>
  <c r="J35" i="2"/>
  <c r="K25" i="2"/>
  <c r="J25" i="2"/>
  <c r="K19" i="2"/>
  <c r="J19" i="2"/>
  <c r="J10" i="2"/>
  <c r="K10" i="2"/>
  <c r="K11" i="2"/>
  <c r="J11" i="2"/>
  <c r="H99" i="2"/>
  <c r="L99" i="2"/>
  <c r="M99" i="2"/>
  <c r="I99" i="2"/>
  <c r="I4" i="2"/>
  <c r="M4" i="2"/>
  <c r="L4" i="2"/>
  <c r="H4" i="2"/>
  <c r="H97" i="2"/>
  <c r="L97" i="2"/>
  <c r="M97" i="2"/>
  <c r="I97" i="2"/>
  <c r="H84" i="2"/>
  <c r="L84" i="2"/>
  <c r="I84" i="2"/>
  <c r="M84" i="2"/>
  <c r="H46" i="2"/>
  <c r="L46" i="2"/>
  <c r="I46" i="2"/>
  <c r="M46" i="2"/>
  <c r="H39" i="2"/>
  <c r="L39" i="2"/>
  <c r="M39" i="2"/>
  <c r="I39" i="2"/>
  <c r="H26" i="2"/>
  <c r="L26" i="2"/>
  <c r="I26" i="2"/>
  <c r="M26" i="2"/>
  <c r="I56" i="2"/>
  <c r="H56" i="2"/>
  <c r="L56" i="2"/>
  <c r="M56" i="2"/>
  <c r="H47" i="2"/>
  <c r="L47" i="2"/>
  <c r="M47" i="2"/>
  <c r="I47" i="2"/>
  <c r="I6" i="2"/>
  <c r="M6" i="2"/>
  <c r="L6" i="2"/>
  <c r="H6" i="2"/>
  <c r="H68" i="2"/>
  <c r="L68" i="2"/>
  <c r="M68" i="2"/>
  <c r="I68" i="2"/>
  <c r="H62" i="2"/>
  <c r="L62" i="2"/>
  <c r="I62" i="2"/>
  <c r="M62" i="2"/>
  <c r="H65" i="2"/>
  <c r="L65" i="2"/>
  <c r="I65" i="2"/>
  <c r="M65" i="2"/>
  <c r="H70" i="2"/>
  <c r="L70" i="2"/>
  <c r="M70" i="2"/>
  <c r="I70" i="2"/>
  <c r="H21" i="2"/>
  <c r="L21" i="2"/>
  <c r="I21" i="2"/>
  <c r="M21" i="2"/>
  <c r="I79" i="2"/>
  <c r="M79" i="2"/>
  <c r="L79" i="2"/>
  <c r="H79" i="2"/>
  <c r="I44" i="2"/>
  <c r="M44" i="2"/>
  <c r="H44" i="2"/>
  <c r="L44" i="2"/>
  <c r="I88" i="2"/>
  <c r="M88" i="2"/>
  <c r="L88" i="2"/>
  <c r="H88" i="2"/>
  <c r="H77" i="2"/>
  <c r="L77" i="2"/>
  <c r="M77" i="2"/>
  <c r="I77" i="2"/>
  <c r="I71" i="2"/>
  <c r="M71" i="2"/>
  <c r="H71" i="2"/>
  <c r="L71" i="2"/>
  <c r="H50" i="2"/>
  <c r="L50" i="2"/>
  <c r="I50" i="2"/>
  <c r="M50" i="2"/>
  <c r="I38" i="2"/>
  <c r="M38" i="2"/>
  <c r="L38" i="2"/>
  <c r="H38" i="2"/>
  <c r="H31" i="2"/>
  <c r="L31" i="2"/>
  <c r="I31" i="2"/>
  <c r="M31" i="2"/>
  <c r="H24" i="2"/>
  <c r="L24" i="2"/>
  <c r="M24" i="2"/>
  <c r="I24" i="2"/>
  <c r="H16" i="2"/>
  <c r="L16" i="2"/>
  <c r="M16" i="2"/>
  <c r="I16" i="2"/>
  <c r="I92" i="2"/>
  <c r="M92" i="2"/>
  <c r="L92" i="2"/>
  <c r="H92" i="2"/>
  <c r="H100" i="2"/>
  <c r="L100" i="2"/>
  <c r="I100" i="2"/>
  <c r="M100" i="2"/>
  <c r="I96" i="2"/>
  <c r="M96" i="2"/>
  <c r="L96" i="2"/>
  <c r="H96" i="2"/>
  <c r="H81" i="2"/>
  <c r="L81" i="2"/>
  <c r="M81" i="2"/>
  <c r="I81" i="2"/>
  <c r="H49" i="2"/>
  <c r="L49" i="2"/>
  <c r="I49" i="2"/>
  <c r="M49" i="2"/>
  <c r="H36" i="2"/>
  <c r="L36" i="2"/>
  <c r="M36" i="2"/>
  <c r="I36" i="2"/>
  <c r="H86" i="2"/>
  <c r="L86" i="2"/>
  <c r="I86" i="2"/>
  <c r="M86" i="2"/>
  <c r="I3" i="2"/>
  <c r="M3" i="2"/>
  <c r="L3" i="2"/>
  <c r="H3" i="2"/>
  <c r="I48" i="2"/>
  <c r="H48" i="2"/>
  <c r="L48" i="2"/>
  <c r="M48" i="2"/>
  <c r="H43" i="2"/>
  <c r="L43" i="2"/>
  <c r="M43" i="2"/>
  <c r="I43" i="2"/>
  <c r="H59" i="2"/>
  <c r="L59" i="2"/>
  <c r="M59" i="2"/>
  <c r="I59" i="2"/>
  <c r="H63" i="2"/>
  <c r="I63" i="2"/>
  <c r="M63" i="2"/>
  <c r="L63" i="2"/>
  <c r="I66" i="2"/>
  <c r="M66" i="2"/>
  <c r="L66" i="2"/>
  <c r="H66" i="2"/>
  <c r="H20" i="2"/>
  <c r="L20" i="2"/>
  <c r="M20" i="2"/>
  <c r="I20" i="2"/>
  <c r="I67" i="2"/>
  <c r="M67" i="2"/>
  <c r="L67" i="2"/>
  <c r="H67" i="2"/>
  <c r="I17" i="2"/>
  <c r="M17" i="2"/>
  <c r="H17" i="2"/>
  <c r="L17" i="2"/>
  <c r="H87" i="2"/>
  <c r="L87" i="2"/>
  <c r="I87" i="2"/>
  <c r="M87" i="2"/>
  <c r="H76" i="2"/>
  <c r="L76" i="2"/>
  <c r="M76" i="2"/>
  <c r="I76" i="2"/>
  <c r="H69" i="2"/>
  <c r="L69" i="2"/>
  <c r="I69" i="2"/>
  <c r="M69" i="2"/>
  <c r="H53" i="2"/>
  <c r="L53" i="2"/>
  <c r="I53" i="2"/>
  <c r="M53" i="2"/>
  <c r="I37" i="2"/>
  <c r="M37" i="2"/>
  <c r="H37" i="2"/>
  <c r="L37" i="2"/>
  <c r="H18" i="2"/>
  <c r="L18" i="2"/>
  <c r="I18" i="2"/>
  <c r="M18" i="2"/>
  <c r="H22" i="2"/>
  <c r="L22" i="2"/>
  <c r="I22" i="2"/>
  <c r="M22" i="2"/>
  <c r="H14" i="2"/>
  <c r="L14" i="2"/>
  <c r="I14" i="2"/>
  <c r="M14" i="2"/>
  <c r="H41" i="2"/>
  <c r="L41" i="2"/>
  <c r="I41" i="2"/>
  <c r="M41" i="2"/>
  <c r="H78" i="2"/>
  <c r="L78" i="2"/>
  <c r="M78" i="2"/>
  <c r="I78" i="2"/>
  <c r="I33" i="2"/>
  <c r="M33" i="2"/>
  <c r="H33" i="2"/>
  <c r="L33" i="2"/>
  <c r="H34" i="2"/>
  <c r="L34" i="2"/>
  <c r="I34" i="2"/>
  <c r="M34" i="2"/>
  <c r="H12" i="2"/>
  <c r="L12" i="2"/>
  <c r="M12" i="2"/>
  <c r="I12" i="2"/>
  <c r="H74" i="2"/>
  <c r="L74" i="2"/>
  <c r="M74" i="2"/>
  <c r="I74" i="2"/>
  <c r="H89" i="2"/>
  <c r="L89" i="2"/>
  <c r="I89" i="2"/>
  <c r="M89" i="2"/>
  <c r="H83" i="2"/>
  <c r="L83" i="2"/>
  <c r="I83" i="2"/>
  <c r="M83" i="2"/>
  <c r="H9" i="2"/>
  <c r="L9" i="2"/>
  <c r="I9" i="2"/>
  <c r="M9" i="2"/>
  <c r="I52" i="2"/>
  <c r="M52" i="2"/>
  <c r="H52" i="2"/>
  <c r="L52" i="2"/>
  <c r="H5" i="2"/>
  <c r="L5" i="2"/>
  <c r="M5" i="2"/>
  <c r="I5" i="2"/>
  <c r="H57" i="2"/>
  <c r="L57" i="2"/>
  <c r="I57" i="2"/>
  <c r="M57" i="2"/>
  <c r="I94" i="2"/>
  <c r="M94" i="2"/>
  <c r="L94" i="2"/>
  <c r="H94" i="2"/>
  <c r="I64" i="2"/>
  <c r="M64" i="2"/>
  <c r="H64" i="2"/>
  <c r="L64" i="2"/>
  <c r="I8" i="2"/>
  <c r="M8" i="2"/>
  <c r="L8" i="2"/>
  <c r="H8" i="2"/>
  <c r="H82" i="2"/>
  <c r="L82" i="2"/>
  <c r="I82" i="2"/>
  <c r="M82" i="2"/>
  <c r="H73" i="2"/>
  <c r="L73" i="2"/>
  <c r="M73" i="2"/>
  <c r="I73" i="2"/>
  <c r="H55" i="2"/>
  <c r="L55" i="2"/>
  <c r="M55" i="2"/>
  <c r="I55" i="2"/>
  <c r="H42" i="2"/>
  <c r="L42" i="2"/>
  <c r="I42" i="2"/>
  <c r="M42" i="2"/>
  <c r="I35" i="2"/>
  <c r="M35" i="2"/>
  <c r="L35" i="2"/>
  <c r="H35" i="2"/>
  <c r="I25" i="2"/>
  <c r="M25" i="2"/>
  <c r="H25" i="2"/>
  <c r="L25" i="2"/>
  <c r="H19" i="2"/>
  <c r="L19" i="2"/>
  <c r="I19" i="2"/>
  <c r="M19" i="2"/>
  <c r="I10" i="2"/>
  <c r="M10" i="2"/>
  <c r="H10" i="2"/>
  <c r="L10" i="2"/>
  <c r="H11" i="2"/>
  <c r="L11" i="2"/>
  <c r="I11" i="2"/>
  <c r="M11" i="2"/>
  <c r="H95" i="2"/>
  <c r="L95" i="2"/>
  <c r="I95" i="2"/>
  <c r="M95" i="2"/>
  <c r="I98" i="2"/>
  <c r="M98" i="2"/>
  <c r="L98" i="2"/>
  <c r="H98" i="2"/>
  <c r="I90" i="2"/>
  <c r="M90" i="2"/>
  <c r="L90" i="2"/>
  <c r="H90" i="2"/>
  <c r="H61" i="2"/>
  <c r="L61" i="2"/>
  <c r="I61" i="2"/>
  <c r="M61" i="2"/>
  <c r="M29" i="2"/>
  <c r="H29" i="2"/>
  <c r="L29" i="2"/>
  <c r="I29" i="2"/>
  <c r="N29" i="2" s="1"/>
  <c r="H30" i="2"/>
  <c r="L30" i="2"/>
  <c r="I30" i="2"/>
  <c r="M30" i="2"/>
  <c r="H13" i="2"/>
  <c r="L13" i="2"/>
  <c r="I13" i="2"/>
  <c r="M13" i="2"/>
  <c r="I75" i="2"/>
  <c r="M75" i="2"/>
  <c r="L75" i="2"/>
  <c r="H75" i="2"/>
  <c r="H58" i="2"/>
  <c r="L58" i="2"/>
  <c r="I58" i="2"/>
  <c r="M58" i="2"/>
  <c r="H23" i="2"/>
  <c r="L23" i="2"/>
  <c r="I23" i="2"/>
  <c r="M23" i="2"/>
  <c r="H15" i="2"/>
  <c r="L15" i="2"/>
  <c r="I15" i="2"/>
  <c r="M15" i="2"/>
  <c r="H51" i="2"/>
  <c r="L51" i="2"/>
  <c r="M51" i="2"/>
  <c r="I51" i="2"/>
  <c r="H85" i="2"/>
  <c r="L85" i="2"/>
  <c r="I85" i="2"/>
  <c r="M85" i="2"/>
  <c r="H45" i="2"/>
  <c r="L45" i="2"/>
  <c r="I45" i="2"/>
  <c r="M45" i="2"/>
  <c r="H91" i="2"/>
  <c r="L91" i="2"/>
  <c r="I91" i="2"/>
  <c r="M91" i="2"/>
  <c r="I60" i="2"/>
  <c r="M60" i="2"/>
  <c r="H60" i="2"/>
  <c r="L60" i="2"/>
  <c r="H93" i="2"/>
  <c r="L93" i="2"/>
  <c r="I93" i="2"/>
  <c r="M93" i="2"/>
  <c r="H80" i="2"/>
  <c r="L80" i="2"/>
  <c r="M80" i="2"/>
  <c r="I80" i="2"/>
  <c r="H72" i="2"/>
  <c r="L72" i="2"/>
  <c r="M72" i="2"/>
  <c r="I72" i="2"/>
  <c r="H54" i="2"/>
  <c r="L54" i="2"/>
  <c r="I54" i="2"/>
  <c r="M54" i="2"/>
  <c r="M40" i="2"/>
  <c r="H40" i="2"/>
  <c r="L40" i="2"/>
  <c r="I40" i="2"/>
  <c r="H32" i="2"/>
  <c r="L32" i="2"/>
  <c r="M32" i="2"/>
  <c r="I32" i="2"/>
  <c r="H27" i="2"/>
  <c r="L27" i="2"/>
  <c r="I27" i="2"/>
  <c r="M27" i="2"/>
  <c r="H28" i="2"/>
  <c r="L28" i="2"/>
  <c r="M28" i="2"/>
  <c r="I28" i="2"/>
  <c r="I7" i="2"/>
  <c r="M7" i="2"/>
  <c r="L7" i="2"/>
  <c r="H7" i="2"/>
  <c r="H2" i="2"/>
  <c r="I2" i="2"/>
  <c r="J2" i="2"/>
  <c r="K2" i="2"/>
  <c r="L2" i="2"/>
  <c r="M2" i="2"/>
  <c r="V1" i="1"/>
  <c r="Y3" i="1"/>
  <c r="AB3" i="1"/>
  <c r="T2" i="1"/>
  <c r="V2" i="1"/>
  <c r="Y1" i="1"/>
  <c r="AB1" i="1"/>
  <c r="V3" i="1"/>
  <c r="Y2" i="1"/>
  <c r="AB2" i="1"/>
  <c r="V4" i="1"/>
  <c r="Y4" i="1"/>
  <c r="AB4" i="1"/>
  <c r="V5" i="1"/>
  <c r="Y5" i="1"/>
  <c r="AB5" i="1"/>
  <c r="V6" i="1"/>
  <c r="Y6" i="1"/>
  <c r="AB6" i="1"/>
  <c r="V7" i="1"/>
  <c r="Y7" i="1"/>
  <c r="AB7" i="1"/>
  <c r="V8" i="1"/>
  <c r="Y8" i="1"/>
  <c r="AB8" i="1"/>
  <c r="V9" i="1"/>
  <c r="Y9" i="1"/>
  <c r="AB9" i="1"/>
  <c r="V10" i="1"/>
  <c r="Y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I104" i="1"/>
  <c r="J104" i="1"/>
  <c r="K104" i="1"/>
  <c r="I85" i="1"/>
  <c r="J85" i="1"/>
  <c r="K85" i="1"/>
  <c r="I122" i="1"/>
  <c r="J122" i="1"/>
  <c r="K122" i="1"/>
  <c r="I164" i="1"/>
  <c r="J164" i="1"/>
  <c r="K164" i="1"/>
  <c r="I33" i="1"/>
  <c r="J33" i="1"/>
  <c r="K33" i="1"/>
  <c r="I5" i="1"/>
  <c r="J5" i="1"/>
  <c r="K5" i="1"/>
  <c r="I145" i="1"/>
  <c r="J145" i="1"/>
  <c r="K145" i="1"/>
  <c r="I126" i="1"/>
  <c r="J126" i="1"/>
  <c r="K126" i="1"/>
  <c r="I115" i="1"/>
  <c r="J115" i="1"/>
  <c r="K115" i="1"/>
  <c r="I105" i="1"/>
  <c r="J105" i="1"/>
  <c r="K105" i="1"/>
  <c r="I60" i="1"/>
  <c r="J60" i="1"/>
  <c r="K60" i="1"/>
  <c r="I121" i="1"/>
  <c r="J121" i="1"/>
  <c r="K121" i="1"/>
  <c r="I156" i="1"/>
  <c r="J156" i="1"/>
  <c r="K156" i="1"/>
  <c r="L101" i="1" l="1"/>
  <c r="L45" i="1"/>
  <c r="L138" i="1"/>
  <c r="L9" i="1"/>
  <c r="L42" i="1"/>
  <c r="L15" i="1"/>
  <c r="L8" i="1"/>
  <c r="L74" i="1"/>
  <c r="L103" i="1"/>
  <c r="L88" i="1"/>
  <c r="L157" i="1"/>
  <c r="L10" i="1"/>
  <c r="L140" i="1"/>
  <c r="L53" i="1"/>
  <c r="L3" i="1"/>
  <c r="L23" i="1"/>
  <c r="L2" i="1"/>
  <c r="L86" i="1"/>
  <c r="L61" i="1"/>
  <c r="L113" i="1"/>
  <c r="L75" i="1"/>
  <c r="L69" i="1"/>
  <c r="L165" i="1"/>
  <c r="L72" i="1"/>
  <c r="L155" i="1"/>
  <c r="L94" i="1"/>
  <c r="L24" i="1"/>
  <c r="L80" i="1"/>
  <c r="L96" i="1"/>
  <c r="L50" i="1"/>
  <c r="L93" i="1"/>
  <c r="L82" i="1"/>
  <c r="L91" i="1"/>
  <c r="L12" i="1"/>
  <c r="L147" i="1"/>
  <c r="L128" i="1"/>
  <c r="L123" i="1"/>
  <c r="L4" i="1"/>
  <c r="L59" i="1"/>
  <c r="L149" i="1"/>
  <c r="L13" i="1"/>
  <c r="L130" i="1"/>
  <c r="L127" i="1"/>
  <c r="L49" i="1"/>
  <c r="L125" i="1"/>
  <c r="L154" i="1"/>
  <c r="L31" i="1"/>
  <c r="L112" i="1"/>
  <c r="L39" i="1"/>
  <c r="L28" i="1"/>
  <c r="L136" i="1"/>
  <c r="L41" i="1"/>
  <c r="L77" i="1"/>
  <c r="L143" i="1"/>
  <c r="L161" i="1"/>
  <c r="L163" i="1"/>
  <c r="L48" i="1"/>
  <c r="L63" i="1"/>
  <c r="L89" i="1"/>
  <c r="L108" i="1"/>
  <c r="L38" i="1"/>
  <c r="L36" i="1"/>
  <c r="L47" i="1"/>
  <c r="L151" i="1"/>
  <c r="L21" i="1"/>
  <c r="L90" i="1"/>
  <c r="L37" i="1"/>
  <c r="L25" i="1"/>
  <c r="L100" i="1"/>
  <c r="L81" i="1"/>
  <c r="L14" i="1"/>
  <c r="L152" i="1"/>
  <c r="L109" i="1"/>
  <c r="L119" i="1"/>
  <c r="L144" i="1"/>
  <c r="L95" i="1"/>
  <c r="L131" i="1"/>
  <c r="L120" i="1"/>
  <c r="L133" i="1"/>
  <c r="L51" i="1"/>
  <c r="L92" i="1"/>
  <c r="L64" i="1"/>
  <c r="L97" i="1"/>
  <c r="L118" i="1"/>
  <c r="L68" i="1"/>
  <c r="L62" i="1"/>
  <c r="L160" i="1"/>
  <c r="L19" i="1"/>
  <c r="L67" i="1"/>
  <c r="L56" i="1"/>
  <c r="L57" i="1"/>
  <c r="L166" i="1"/>
  <c r="L87" i="1"/>
  <c r="L78" i="1"/>
  <c r="L29" i="1"/>
  <c r="L22" i="1"/>
  <c r="L148" i="1"/>
  <c r="L111" i="1"/>
  <c r="L141" i="1"/>
  <c r="L84" i="1"/>
  <c r="L129" i="1"/>
  <c r="L150" i="1"/>
  <c r="L11" i="1"/>
  <c r="L32" i="1"/>
  <c r="L65" i="1"/>
  <c r="L110" i="1"/>
  <c r="L83" i="1"/>
  <c r="L73" i="1"/>
  <c r="L46" i="1"/>
  <c r="L114" i="1"/>
  <c r="L134" i="1"/>
  <c r="L43" i="1"/>
  <c r="L79" i="1"/>
  <c r="L99" i="1"/>
  <c r="L117" i="1"/>
  <c r="L106" i="1"/>
  <c r="L35" i="1"/>
  <c r="L159" i="1"/>
  <c r="L139" i="1"/>
  <c r="L34" i="1"/>
  <c r="L98" i="1"/>
  <c r="L1" i="1"/>
  <c r="L137" i="1"/>
  <c r="L135" i="1"/>
  <c r="L142" i="1"/>
  <c r="L16" i="1"/>
  <c r="L7" i="1"/>
  <c r="L116" i="1"/>
  <c r="L162" i="1"/>
  <c r="L27" i="1"/>
  <c r="L70" i="1"/>
  <c r="L132" i="1"/>
  <c r="L20" i="1"/>
  <c r="L76" i="1"/>
  <c r="L26" i="1"/>
  <c r="L6" i="1"/>
  <c r="L18" i="1"/>
  <c r="L71" i="1"/>
  <c r="L153" i="1"/>
  <c r="L44" i="1"/>
  <c r="L158" i="1"/>
  <c r="L102" i="1"/>
  <c r="L66" i="1"/>
  <c r="L30" i="1"/>
  <c r="L17" i="1"/>
  <c r="L54" i="1"/>
  <c r="L146" i="1"/>
  <c r="E145" i="1"/>
  <c r="E164" i="1"/>
  <c r="E85" i="1"/>
  <c r="E156" i="1"/>
  <c r="E115" i="1"/>
  <c r="E105" i="1"/>
  <c r="E5" i="1"/>
  <c r="E33" i="1"/>
  <c r="E121" i="1"/>
  <c r="E60" i="1"/>
  <c r="E126" i="1"/>
  <c r="E122" i="1"/>
  <c r="E104" i="1"/>
  <c r="L104" i="1"/>
  <c r="L60" i="1"/>
  <c r="L58" i="1"/>
  <c r="L40" i="1"/>
  <c r="L107" i="1"/>
  <c r="L156" i="1"/>
  <c r="L52" i="1"/>
  <c r="L124" i="1"/>
  <c r="L55" i="1"/>
  <c r="L164" i="1"/>
  <c r="L33" i="1"/>
  <c r="L122" i="1"/>
  <c r="L145" i="1"/>
  <c r="L5" i="1"/>
  <c r="L115" i="1"/>
  <c r="L85" i="1"/>
  <c r="L105" i="1"/>
  <c r="N28" i="2"/>
  <c r="N27" i="2"/>
  <c r="N32" i="2"/>
  <c r="N54" i="2"/>
  <c r="N72" i="2"/>
  <c r="N80" i="2"/>
  <c r="N91" i="2"/>
  <c r="N51" i="2"/>
  <c r="N15" i="2"/>
  <c r="N23" i="2"/>
  <c r="N58" i="2"/>
  <c r="N30" i="2"/>
  <c r="N95" i="2"/>
  <c r="N11" i="2"/>
  <c r="N19" i="2"/>
  <c r="N25" i="2"/>
  <c r="N42" i="2"/>
  <c r="N55" i="2"/>
  <c r="N82" i="2"/>
  <c r="N83" i="2"/>
  <c r="N74" i="2"/>
  <c r="N12" i="2"/>
  <c r="N34" i="2"/>
  <c r="N33" i="2"/>
  <c r="N78" i="2"/>
  <c r="N14" i="2"/>
  <c r="N22" i="2"/>
  <c r="N18" i="2"/>
  <c r="N37" i="2"/>
  <c r="N76" i="2"/>
  <c r="N87" i="2"/>
  <c r="N17" i="2"/>
  <c r="N63" i="2"/>
  <c r="N86" i="2"/>
  <c r="N100" i="2"/>
  <c r="N31" i="2"/>
  <c r="N50" i="2"/>
  <c r="N62" i="2"/>
  <c r="N26" i="2"/>
  <c r="N67" i="2"/>
  <c r="N66" i="2"/>
  <c r="N3" i="2"/>
  <c r="N81" i="2"/>
  <c r="N96" i="2"/>
  <c r="N92" i="2"/>
  <c r="N38" i="2"/>
  <c r="N77" i="2"/>
  <c r="N88" i="2"/>
  <c r="N79" i="2"/>
  <c r="N6" i="2"/>
  <c r="N97" i="2"/>
  <c r="N4" i="2"/>
  <c r="N7" i="2"/>
  <c r="N75" i="2"/>
  <c r="N90" i="2"/>
  <c r="N98" i="2"/>
  <c r="N35" i="2"/>
  <c r="N73" i="2"/>
  <c r="N8" i="2"/>
  <c r="N94" i="2"/>
  <c r="N5" i="2"/>
  <c r="N93" i="2"/>
  <c r="N60" i="2"/>
  <c r="N45" i="2"/>
  <c r="N85" i="2"/>
  <c r="N13" i="2"/>
  <c r="N61" i="2"/>
  <c r="N10" i="2"/>
  <c r="N64" i="2"/>
  <c r="N57" i="2"/>
  <c r="N52" i="2"/>
  <c r="N9" i="2"/>
  <c r="N89" i="2"/>
  <c r="N41" i="2"/>
  <c r="N53" i="2"/>
  <c r="N69" i="2"/>
  <c r="N49" i="2"/>
  <c r="N71" i="2"/>
  <c r="N44" i="2"/>
  <c r="N21" i="2"/>
  <c r="N65" i="2"/>
  <c r="N40" i="2"/>
  <c r="N48" i="2"/>
  <c r="N56" i="2"/>
  <c r="N20" i="2"/>
  <c r="N59" i="2"/>
  <c r="N43" i="2"/>
  <c r="N36" i="2"/>
  <c r="N16" i="2"/>
  <c r="N24" i="2"/>
  <c r="N70" i="2"/>
  <c r="N68" i="2"/>
  <c r="N47" i="2"/>
  <c r="N39" i="2"/>
  <c r="N46" i="2"/>
  <c r="N84" i="2"/>
  <c r="N99" i="2"/>
  <c r="Q6" i="2"/>
  <c r="N2" i="2"/>
  <c r="Q8" i="2"/>
  <c r="Q7" i="2"/>
  <c r="Q3" i="2"/>
  <c r="Q4" i="2"/>
  <c r="Q5" i="2"/>
  <c r="AF35" i="1" l="1"/>
  <c r="AA37" i="1"/>
  <c r="AH31" i="1"/>
  <c r="AK29" i="1"/>
  <c r="Z24" i="1"/>
  <c r="AJ35" i="1"/>
  <c r="V30" i="1"/>
  <c r="AB24" i="1"/>
  <c r="AH35" i="1"/>
  <c r="X30" i="1"/>
  <c r="AE28" i="1"/>
  <c r="AJ39" i="1"/>
  <c r="V34" i="1"/>
  <c r="AC28" i="1"/>
  <c r="AH39" i="1"/>
  <c r="X34" i="1"/>
  <c r="AI29" i="1"/>
  <c r="X24" i="1"/>
  <c r="AD35" i="1"/>
  <c r="X26" i="1"/>
  <c r="AC37" i="1"/>
  <c r="W32" i="1"/>
  <c r="Z26" i="1"/>
  <c r="AI33" i="1"/>
  <c r="Y28" i="1"/>
  <c r="AD39" i="1"/>
  <c r="AK33" i="1"/>
  <c r="AD24" i="1"/>
  <c r="W36" i="1"/>
  <c r="AD26" i="1"/>
  <c r="AI37" i="1"/>
  <c r="Y32" i="1"/>
  <c r="AF26" i="1"/>
  <c r="AK37" i="1"/>
  <c r="AE33" i="1"/>
  <c r="AL27" i="1"/>
  <c r="Z39" i="1"/>
  <c r="AG33" i="1"/>
  <c r="AA28" i="1"/>
  <c r="AF39" i="1"/>
  <c r="AE37" i="1"/>
  <c r="AL31" i="1"/>
  <c r="AB26" i="1"/>
  <c r="AG37" i="1"/>
  <c r="AA32" i="1"/>
  <c r="Z30" i="1"/>
  <c r="AF24" i="1"/>
  <c r="AL35" i="1"/>
  <c r="AB30" i="1"/>
  <c r="AH24" i="1"/>
  <c r="V25" i="1"/>
  <c r="AG25" i="1"/>
  <c r="AD27" i="1"/>
  <c r="AA29" i="1"/>
  <c r="AB31" i="1"/>
  <c r="AL32" i="1"/>
  <c r="AI34" i="1"/>
  <c r="AF36" i="1"/>
  <c r="AG38" i="1"/>
  <c r="Z40" i="1"/>
  <c r="Y25" i="1"/>
  <c r="V27" i="1"/>
  <c r="AJ28" i="1"/>
  <c r="AK30" i="1"/>
  <c r="AC33" i="1"/>
  <c r="Z35" i="1"/>
  <c r="W37" i="1"/>
  <c r="X39" i="1"/>
  <c r="V26" i="1"/>
  <c r="H64" i="1" s="1"/>
  <c r="V36" i="1"/>
  <c r="AJ37" i="1"/>
  <c r="AG39" i="1"/>
  <c r="AI24" i="1"/>
  <c r="AG26" i="1"/>
  <c r="Z28" i="1"/>
  <c r="W30" i="1"/>
  <c r="AK31" i="1"/>
  <c r="AL33" i="1"/>
  <c r="AE35" i="1"/>
  <c r="AB37" i="1"/>
  <c r="G161" i="1" s="1"/>
  <c r="Y39" i="1"/>
  <c r="AA24" i="1"/>
  <c r="Y26" i="1"/>
  <c r="AH28" i="1"/>
  <c r="AE30" i="1"/>
  <c r="AB32" i="1"/>
  <c r="AC34" i="1"/>
  <c r="W35" i="1"/>
  <c r="AK36" i="1"/>
  <c r="AH38" i="1"/>
  <c r="AI40" i="1"/>
  <c r="AH25" i="1"/>
  <c r="F165" i="1" s="1"/>
  <c r="AA27" i="1"/>
  <c r="X29" i="1"/>
  <c r="AL30" i="1"/>
  <c r="V33" i="1"/>
  <c r="AF34" i="1"/>
  <c r="AC36" i="1"/>
  <c r="Z38" i="1"/>
  <c r="G10" i="1" s="1"/>
  <c r="AA40" i="1"/>
  <c r="Z25" i="1"/>
  <c r="AI27" i="1"/>
  <c r="AF29" i="1"/>
  <c r="AC31" i="1"/>
  <c r="AD33" i="1"/>
  <c r="W28" i="1"/>
  <c r="AF30" i="1"/>
  <c r="AC32" i="1"/>
  <c r="Z34" i="1"/>
  <c r="AA36" i="1"/>
  <c r="AE32" i="1"/>
  <c r="AJ27" i="1"/>
  <c r="AC30" i="1"/>
  <c r="AH37" i="1"/>
  <c r="AK27" i="1"/>
  <c r="X36" i="1"/>
  <c r="AF25" i="1"/>
  <c r="AK32" i="1"/>
  <c r="Z37" i="1"/>
  <c r="V38" i="1"/>
  <c r="AB39" i="1"/>
  <c r="G86" i="1" s="1"/>
  <c r="AI38" i="1"/>
  <c r="AF40" i="1"/>
  <c r="AE25" i="1"/>
  <c r="H27" i="1" s="1"/>
  <c r="AF27" i="1"/>
  <c r="Y29" i="1"/>
  <c r="V31" i="1"/>
  <c r="AJ32" i="1"/>
  <c r="G53" i="1" s="1"/>
  <c r="AK34" i="1"/>
  <c r="AD36" i="1"/>
  <c r="AA38" i="1"/>
  <c r="X40" i="1"/>
  <c r="W25" i="1"/>
  <c r="X27" i="1"/>
  <c r="AG29" i="1"/>
  <c r="AD31" i="1"/>
  <c r="AA33" i="1"/>
  <c r="AB35" i="1"/>
  <c r="AH40" i="1"/>
  <c r="Z32" i="1"/>
  <c r="W34" i="1"/>
  <c r="AK35" i="1"/>
  <c r="AL37" i="1"/>
  <c r="AE39" i="1"/>
  <c r="AC24" i="1"/>
  <c r="AA26" i="1"/>
  <c r="X28" i="1"/>
  <c r="Y30" i="1"/>
  <c r="AI31" i="1"/>
  <c r="AF33" i="1"/>
  <c r="AC35" i="1"/>
  <c r="AD37" i="1"/>
  <c r="V40" i="1"/>
  <c r="AK24" i="1"/>
  <c r="AI26" i="1"/>
  <c r="AF28" i="1"/>
  <c r="AG30" i="1"/>
  <c r="AA31" i="1"/>
  <c r="X33" i="1"/>
  <c r="AL34" i="1"/>
  <c r="V37" i="1"/>
  <c r="AF38" i="1"/>
  <c r="AC40" i="1"/>
  <c r="AB25" i="1"/>
  <c r="Y27" i="1"/>
  <c r="Z29" i="1"/>
  <c r="AJ30" i="1"/>
  <c r="AG32" i="1"/>
  <c r="AD34" i="1"/>
  <c r="AE36" i="1"/>
  <c r="W39" i="1"/>
  <c r="AK40" i="1"/>
  <c r="AJ25" i="1"/>
  <c r="AG27" i="1"/>
  <c r="F38" i="1" s="1"/>
  <c r="AH29" i="1"/>
  <c r="AL24" i="1"/>
  <c r="AJ26" i="1"/>
  <c r="AG28" i="1"/>
  <c r="AD30" i="1"/>
  <c r="AI39" i="1"/>
  <c r="AB28" i="1"/>
  <c r="AG35" i="1"/>
  <c r="W26" i="1"/>
  <c r="AA34" i="1"/>
  <c r="AG40" i="1"/>
  <c r="W31" i="1"/>
  <c r="AB38" i="1"/>
  <c r="AL26" i="1"/>
  <c r="AB33" i="1"/>
  <c r="AB34" i="1"/>
  <c r="AL36" i="1"/>
  <c r="V35" i="1"/>
  <c r="AJ36" i="1"/>
  <c r="AK38" i="1"/>
  <c r="AD40" i="1"/>
  <c r="AC25" i="1"/>
  <c r="Z27" i="1"/>
  <c r="W29" i="1"/>
  <c r="X31" i="1"/>
  <c r="AH32" i="1"/>
  <c r="AE34" i="1"/>
  <c r="AB36" i="1"/>
  <c r="AC38" i="1"/>
  <c r="AL40" i="1"/>
  <c r="AK25" i="1"/>
  <c r="AH27" i="1"/>
  <c r="AE29" i="1"/>
  <c r="AF31" i="1"/>
  <c r="Y33" i="1"/>
  <c r="AD28" i="1"/>
  <c r="AA30" i="1"/>
  <c r="X32" i="1"/>
  <c r="Y34" i="1"/>
  <c r="AI35" i="1"/>
  <c r="AF37" i="1"/>
  <c r="AC39" i="1"/>
  <c r="AE24" i="1"/>
  <c r="AC26" i="1"/>
  <c r="V28" i="1"/>
  <c r="AJ29" i="1"/>
  <c r="AG31" i="1"/>
  <c r="AH33" i="1"/>
  <c r="Z36" i="1"/>
  <c r="W38" i="1"/>
  <c r="AK39" i="1"/>
  <c r="V24" i="1"/>
  <c r="AK26" i="1"/>
  <c r="AE27" i="1"/>
  <c r="AB29" i="1"/>
  <c r="Y31" i="1"/>
  <c r="Z33" i="1"/>
  <c r="AJ34" i="1"/>
  <c r="AG36" i="1"/>
  <c r="AD38" i="1"/>
  <c r="AE40" i="1"/>
  <c r="AD25" i="1"/>
  <c r="F69" i="1" s="1"/>
  <c r="W27" i="1"/>
  <c r="AK28" i="1"/>
  <c r="AH30" i="1"/>
  <c r="AI32" i="1"/>
  <c r="AA35" i="1"/>
  <c r="F65" i="1" s="1"/>
  <c r="X37" i="1"/>
  <c r="AL38" i="1"/>
  <c r="W24" i="1"/>
  <c r="AL25" i="1"/>
  <c r="X38" i="1"/>
  <c r="AL39" i="1"/>
  <c r="AJ24" i="1"/>
  <c r="AH26" i="1"/>
  <c r="AI28" i="1"/>
  <c r="H61" i="1" s="1"/>
  <c r="AG24" i="1"/>
  <c r="V32" i="1"/>
  <c r="AA39" i="1"/>
  <c r="AL29" i="1"/>
  <c r="Y38" i="1"/>
  <c r="AC27" i="1"/>
  <c r="AH34" i="1"/>
  <c r="X25" i="1"/>
  <c r="AE31" i="1"/>
  <c r="AJ31" i="1"/>
  <c r="W40" i="1"/>
  <c r="G130" i="1" s="1"/>
  <c r="AC29" i="1"/>
  <c r="Z31" i="1"/>
  <c r="W33" i="1"/>
  <c r="X35" i="1"/>
  <c r="AH36" i="1"/>
  <c r="AE38" i="1"/>
  <c r="AB40" i="1"/>
  <c r="G75" i="1" s="1"/>
  <c r="AA25" i="1"/>
  <c r="AB27" i="1"/>
  <c r="AL28" i="1"/>
  <c r="AI30" i="1"/>
  <c r="AF32" i="1"/>
  <c r="AG34" i="1"/>
  <c r="Y37" i="1"/>
  <c r="V39" i="1"/>
  <c r="G47" i="1" s="1"/>
  <c r="AJ40" i="1"/>
  <c r="G39" i="1" s="1"/>
  <c r="AI25" i="1"/>
  <c r="G146" i="1" s="1"/>
  <c r="AE26" i="1"/>
  <c r="AJ33" i="1"/>
  <c r="Y24" i="1"/>
  <c r="AD32" i="1"/>
  <c r="AJ38" i="1"/>
  <c r="AD29" i="1"/>
  <c r="AI36" i="1"/>
  <c r="Y40" i="1"/>
  <c r="V29" i="1"/>
  <c r="Y35" i="1"/>
  <c r="Y36" i="1"/>
  <c r="H159" i="1"/>
  <c r="H34" i="1"/>
  <c r="Q10" i="2"/>
  <c r="F73" i="1" l="1"/>
  <c r="F113" i="1"/>
  <c r="G103" i="1"/>
  <c r="G93" i="1"/>
  <c r="G69" i="1"/>
  <c r="F150" i="1"/>
  <c r="F101" i="1"/>
  <c r="F63" i="1"/>
  <c r="G120" i="1"/>
  <c r="G8" i="1"/>
  <c r="G42" i="1"/>
  <c r="F3" i="1"/>
  <c r="F72" i="1"/>
  <c r="F108" i="1"/>
  <c r="H82" i="1"/>
  <c r="G13" i="1"/>
  <c r="G21" i="1"/>
  <c r="G12" i="1"/>
  <c r="F12" i="1"/>
  <c r="G28" i="1"/>
  <c r="G49" i="1"/>
  <c r="F39" i="1"/>
  <c r="F4" i="1"/>
  <c r="F151" i="1"/>
  <c r="G138" i="1"/>
  <c r="F36" i="1"/>
  <c r="H13" i="1"/>
  <c r="G80" i="1"/>
  <c r="F140" i="1"/>
  <c r="H35" i="1"/>
  <c r="H93" i="1"/>
  <c r="G59" i="1"/>
  <c r="H4" i="1"/>
  <c r="F96" i="1"/>
  <c r="G15" i="1"/>
  <c r="H131" i="1"/>
  <c r="H119" i="1"/>
  <c r="F48" i="1"/>
  <c r="H108" i="1"/>
  <c r="G24" i="1"/>
  <c r="H45" i="1"/>
  <c r="G65" i="1"/>
  <c r="G113" i="1"/>
  <c r="G84" i="1"/>
  <c r="H94" i="1"/>
  <c r="H75" i="1"/>
  <c r="F155" i="1"/>
  <c r="F61" i="1"/>
  <c r="G150" i="1"/>
  <c r="G147" i="1"/>
  <c r="H24" i="1"/>
  <c r="H155" i="1"/>
  <c r="H9" i="1"/>
  <c r="G63" i="1"/>
  <c r="H49" i="1"/>
  <c r="H125" i="1"/>
  <c r="F31" i="1"/>
  <c r="H127" i="1"/>
  <c r="F136" i="1"/>
  <c r="F77" i="1"/>
  <c r="G38" i="1"/>
  <c r="H140" i="1"/>
  <c r="G45" i="1"/>
  <c r="G154" i="1"/>
  <c r="F8" i="1"/>
  <c r="F100" i="1"/>
  <c r="F91" i="1"/>
  <c r="F147" i="1"/>
  <c r="H112" i="1"/>
  <c r="F41" i="1"/>
  <c r="G50" i="1"/>
  <c r="G51" i="1"/>
  <c r="H39" i="1"/>
  <c r="F112" i="1"/>
  <c r="F51" i="1"/>
  <c r="H43" i="1"/>
  <c r="G37" i="1"/>
  <c r="F9" i="1"/>
  <c r="F42" i="1"/>
  <c r="G149" i="1"/>
  <c r="G108" i="1"/>
  <c r="G48" i="1"/>
  <c r="H77" i="1"/>
  <c r="H120" i="1"/>
  <c r="F127" i="1"/>
  <c r="G90" i="1"/>
  <c r="H25" i="1"/>
  <c r="H100" i="1"/>
  <c r="G41" i="1"/>
  <c r="F149" i="1"/>
  <c r="F130" i="1"/>
  <c r="H138" i="1"/>
  <c r="F45" i="1"/>
  <c r="G94" i="1"/>
  <c r="G81" i="1"/>
  <c r="H51" i="1"/>
  <c r="H133" i="1"/>
  <c r="G127" i="1"/>
  <c r="F138" i="1"/>
  <c r="F90" i="1"/>
  <c r="G74" i="1"/>
  <c r="F47" i="1"/>
  <c r="F152" i="1"/>
  <c r="G31" i="1"/>
  <c r="F97" i="1"/>
  <c r="F37" i="1"/>
  <c r="G119" i="1"/>
  <c r="H151" i="1"/>
  <c r="H81" i="1"/>
  <c r="H113" i="1"/>
  <c r="G136" i="1"/>
  <c r="F82" i="1"/>
  <c r="G25" i="1"/>
  <c r="H92" i="1"/>
  <c r="F120" i="1"/>
  <c r="H97" i="1"/>
  <c r="G157" i="1"/>
  <c r="F15" i="1"/>
  <c r="F53" i="1"/>
  <c r="H2" i="1"/>
  <c r="H3" i="1"/>
  <c r="G106" i="1"/>
  <c r="G112" i="1"/>
  <c r="H165" i="1"/>
  <c r="H161" i="1"/>
  <c r="H163" i="1"/>
  <c r="H72" i="1"/>
  <c r="H69" i="1"/>
  <c r="H21" i="1"/>
  <c r="F81" i="1"/>
  <c r="F86" i="1"/>
  <c r="G152" i="1"/>
  <c r="G23" i="1"/>
  <c r="F62" i="1"/>
  <c r="H15" i="1"/>
  <c r="F57" i="1"/>
  <c r="F163" i="1"/>
  <c r="F143" i="1"/>
  <c r="G109" i="1"/>
  <c r="F154" i="1"/>
  <c r="G163" i="1"/>
  <c r="G151" i="1"/>
  <c r="H109" i="1"/>
  <c r="G82" i="1"/>
  <c r="H149" i="1"/>
  <c r="G3" i="1"/>
  <c r="H101" i="1"/>
  <c r="H42" i="1"/>
  <c r="H91" i="1"/>
  <c r="H80" i="1"/>
  <c r="F93" i="1"/>
  <c r="H136" i="1"/>
  <c r="H41" i="1"/>
  <c r="H74" i="1"/>
  <c r="F103" i="1"/>
  <c r="G88" i="1"/>
  <c r="G125" i="1"/>
  <c r="G133" i="1"/>
  <c r="G91" i="1"/>
  <c r="F49" i="1"/>
  <c r="F13" i="1"/>
  <c r="H36" i="1"/>
  <c r="G123" i="1"/>
  <c r="F161" i="1"/>
  <c r="G92" i="1"/>
  <c r="F78" i="1"/>
  <c r="G143" i="1"/>
  <c r="F59" i="1"/>
  <c r="H8" i="1"/>
  <c r="H157" i="1"/>
  <c r="H10" i="1"/>
  <c r="G9" i="1"/>
  <c r="H63" i="1"/>
  <c r="H47" i="1"/>
  <c r="H143" i="1"/>
  <c r="F28" i="1"/>
  <c r="F92" i="1"/>
  <c r="F23" i="1"/>
  <c r="H53" i="1"/>
  <c r="F10" i="1"/>
  <c r="G139" i="1"/>
  <c r="F88" i="1"/>
  <c r="F74" i="1"/>
  <c r="H31" i="1"/>
  <c r="G14" i="1"/>
  <c r="F125" i="1"/>
  <c r="H84" i="1"/>
  <c r="G165" i="1"/>
  <c r="H128" i="1"/>
  <c r="F123" i="1"/>
  <c r="H88" i="1"/>
  <c r="G72" i="1"/>
  <c r="F157" i="1"/>
  <c r="F109" i="1"/>
  <c r="F14" i="1"/>
  <c r="F131" i="1"/>
  <c r="F75" i="1"/>
  <c r="H89" i="1"/>
  <c r="H38" i="1"/>
  <c r="G159" i="1"/>
  <c r="F50" i="1"/>
  <c r="H12" i="1"/>
  <c r="H152" i="1"/>
  <c r="H14" i="1"/>
  <c r="G95" i="1"/>
  <c r="H48" i="1"/>
  <c r="G97" i="1"/>
  <c r="H59" i="1"/>
  <c r="G131" i="1"/>
  <c r="H28" i="1"/>
  <c r="H86" i="1"/>
  <c r="F2" i="1"/>
  <c r="F133" i="1"/>
  <c r="F94" i="1"/>
  <c r="H90" i="1"/>
  <c r="F25" i="1"/>
  <c r="G144" i="1"/>
  <c r="F80" i="1"/>
  <c r="G89" i="1"/>
  <c r="F95" i="1"/>
  <c r="H95" i="1"/>
  <c r="F89" i="1"/>
  <c r="G96" i="1"/>
  <c r="G155" i="1"/>
  <c r="G2" i="1"/>
  <c r="H50" i="1"/>
  <c r="H123" i="1"/>
  <c r="F24" i="1"/>
  <c r="G61" i="1"/>
  <c r="F119" i="1"/>
  <c r="F144" i="1"/>
  <c r="H37" i="1"/>
  <c r="F64" i="1"/>
  <c r="H154" i="1"/>
  <c r="G4" i="1"/>
  <c r="G140" i="1"/>
  <c r="H130" i="1"/>
  <c r="H23" i="1"/>
  <c r="G128" i="1"/>
  <c r="F21" i="1"/>
  <c r="G160" i="1"/>
  <c r="G36" i="1"/>
  <c r="G64" i="1"/>
  <c r="H144" i="1"/>
  <c r="H96" i="1"/>
  <c r="H147" i="1"/>
  <c r="G77" i="1"/>
  <c r="F128" i="1"/>
  <c r="H103" i="1"/>
  <c r="G101" i="1"/>
  <c r="G100" i="1"/>
  <c r="G46" i="1"/>
  <c r="G43" i="1"/>
  <c r="F34" i="1"/>
  <c r="G129" i="1"/>
  <c r="G73" i="1"/>
  <c r="F141" i="1"/>
  <c r="G114" i="1"/>
  <c r="F110" i="1"/>
  <c r="F118" i="1"/>
  <c r="G117" i="1"/>
  <c r="H118" i="1"/>
  <c r="H78" i="1"/>
  <c r="F29" i="1"/>
  <c r="G118" i="1"/>
  <c r="G11" i="1"/>
  <c r="H111" i="1"/>
  <c r="G57" i="1"/>
  <c r="G110" i="1"/>
  <c r="H67" i="1"/>
  <c r="F83" i="1"/>
  <c r="G56" i="1"/>
  <c r="H68" i="1"/>
  <c r="H160" i="1"/>
  <c r="F19" i="1"/>
  <c r="F46" i="1"/>
  <c r="F134" i="1"/>
  <c r="H129" i="1"/>
  <c r="F106" i="1"/>
  <c r="H19" i="1"/>
  <c r="H117" i="1"/>
  <c r="H106" i="1"/>
  <c r="G32" i="1"/>
  <c r="H150" i="1"/>
  <c r="H56" i="1"/>
  <c r="H166" i="1"/>
  <c r="G134" i="1"/>
  <c r="G87" i="1"/>
  <c r="G141" i="1"/>
  <c r="H79" i="1"/>
  <c r="F129" i="1"/>
  <c r="F11" i="1"/>
  <c r="H11" i="1"/>
  <c r="H29" i="1"/>
  <c r="F117" i="1"/>
  <c r="H99" i="1"/>
  <c r="F56" i="1"/>
  <c r="F87" i="1"/>
  <c r="G111" i="1"/>
  <c r="G19" i="1"/>
  <c r="H73" i="1"/>
  <c r="F43" i="1"/>
  <c r="F114" i="1"/>
  <c r="G99" i="1"/>
  <c r="G78" i="1"/>
  <c r="H134" i="1"/>
  <c r="F22" i="1"/>
  <c r="F68" i="1"/>
  <c r="F67" i="1"/>
  <c r="H57" i="1"/>
  <c r="H83" i="1"/>
  <c r="F32" i="1"/>
  <c r="F148" i="1"/>
  <c r="H141" i="1"/>
  <c r="H65" i="1"/>
  <c r="H110" i="1"/>
  <c r="H22" i="1"/>
  <c r="G62" i="1"/>
  <c r="G79" i="1"/>
  <c r="H32" i="1"/>
  <c r="F99" i="1"/>
  <c r="F166" i="1"/>
  <c r="H62" i="1"/>
  <c r="G22" i="1"/>
  <c r="G166" i="1"/>
  <c r="H114" i="1"/>
  <c r="H46" i="1"/>
  <c r="G148" i="1"/>
  <c r="F160" i="1"/>
  <c r="H87" i="1"/>
  <c r="G29" i="1"/>
  <c r="F84" i="1"/>
  <c r="F79" i="1"/>
  <c r="G68" i="1"/>
  <c r="H148" i="1"/>
  <c r="G83" i="1"/>
  <c r="F111" i="1"/>
  <c r="G67" i="1"/>
  <c r="H139" i="1"/>
  <c r="F35" i="1"/>
  <c r="G54" i="1"/>
  <c r="G35" i="1"/>
  <c r="F139" i="1"/>
  <c r="G7" i="1"/>
  <c r="F135" i="1"/>
  <c r="G16" i="1"/>
  <c r="F159" i="1"/>
  <c r="N5" i="1"/>
  <c r="N126" i="1"/>
  <c r="N122" i="1"/>
  <c r="M33" i="1"/>
  <c r="M105" i="1"/>
  <c r="M58" i="1"/>
  <c r="M107" i="1"/>
  <c r="M104" i="1"/>
  <c r="M156" i="1"/>
  <c r="G34" i="1"/>
  <c r="F116" i="1"/>
  <c r="H162" i="1"/>
  <c r="G70" i="1"/>
  <c r="F76" i="1"/>
  <c r="G1" i="1"/>
  <c r="F102" i="1"/>
  <c r="G116" i="1"/>
  <c r="G18" i="1"/>
  <c r="G135" i="1"/>
  <c r="F142" i="1"/>
  <c r="H137" i="1"/>
  <c r="F60" i="1"/>
  <c r="G20" i="1"/>
  <c r="H116" i="1"/>
  <c r="G162" i="1"/>
  <c r="F162" i="1"/>
  <c r="G27" i="1"/>
  <c r="F70" i="1"/>
  <c r="H132" i="1"/>
  <c r="G76" i="1"/>
  <c r="H30" i="1"/>
  <c r="G137" i="1"/>
  <c r="H142" i="1"/>
  <c r="F44" i="1"/>
  <c r="F132" i="1"/>
  <c r="H7" i="1"/>
  <c r="H98" i="1"/>
  <c r="F16" i="1"/>
  <c r="F27" i="1"/>
  <c r="F7" i="1"/>
  <c r="G132" i="1"/>
  <c r="H70" i="1"/>
  <c r="G153" i="1"/>
  <c r="H135" i="1"/>
  <c r="H20" i="1"/>
  <c r="G44" i="1"/>
  <c r="G98" i="1"/>
  <c r="F20" i="1"/>
  <c r="H76" i="1"/>
  <c r="G6" i="1"/>
  <c r="G71" i="1"/>
  <c r="G142" i="1"/>
  <c r="H16" i="1"/>
  <c r="F98" i="1"/>
  <c r="H1" i="1"/>
  <c r="F137" i="1"/>
  <c r="F1" i="1"/>
  <c r="F104" i="1"/>
  <c r="H146" i="1"/>
  <c r="F153" i="1"/>
  <c r="F18" i="1"/>
  <c r="H102" i="1"/>
  <c r="H6" i="1"/>
  <c r="F66" i="1"/>
  <c r="F156" i="1"/>
  <c r="F30" i="1"/>
  <c r="H44" i="1"/>
  <c r="G66" i="1"/>
  <c r="F17" i="1"/>
  <c r="H66" i="1"/>
  <c r="G30" i="1"/>
  <c r="F158" i="1"/>
  <c r="H52" i="1"/>
  <c r="H158" i="1"/>
  <c r="H54" i="1"/>
  <c r="F146" i="1"/>
  <c r="G102" i="1"/>
  <c r="H55" i="1"/>
  <c r="H71" i="1"/>
  <c r="H26" i="1"/>
  <c r="G26" i="1"/>
  <c r="F54" i="1"/>
  <c r="F6" i="1"/>
  <c r="H17" i="1"/>
  <c r="F71" i="1"/>
  <c r="H153" i="1"/>
  <c r="F26" i="1"/>
  <c r="G156" i="1"/>
  <c r="H18" i="1"/>
  <c r="G158" i="1"/>
  <c r="G17" i="1"/>
  <c r="M115" i="1"/>
  <c r="M145" i="1"/>
  <c r="M122" i="1"/>
  <c r="M164" i="1"/>
  <c r="M5" i="1"/>
  <c r="M52" i="1"/>
  <c r="M55" i="1"/>
  <c r="M60" i="1"/>
  <c r="M126" i="1"/>
  <c r="M121" i="1"/>
  <c r="M40" i="1"/>
  <c r="M85" i="1"/>
  <c r="M124" i="1"/>
  <c r="N33" i="1"/>
  <c r="N105" i="1"/>
  <c r="N145" i="1"/>
  <c r="N58" i="1"/>
  <c r="N55" i="1"/>
  <c r="N60" i="1"/>
  <c r="N107" i="1"/>
  <c r="N104" i="1"/>
  <c r="N115" i="1"/>
  <c r="N85" i="1"/>
  <c r="N156" i="1"/>
  <c r="N52" i="1"/>
  <c r="N121" i="1"/>
  <c r="N124" i="1"/>
  <c r="N40" i="1"/>
  <c r="N164" i="1"/>
  <c r="L126" i="1"/>
  <c r="L121" i="1"/>
  <c r="G40" i="1"/>
  <c r="F124" i="1"/>
  <c r="H105" i="1"/>
  <c r="H121" i="1"/>
  <c r="H5" i="1"/>
  <c r="F33" i="1"/>
  <c r="G52" i="1"/>
  <c r="F85" i="1"/>
  <c r="F40" i="1"/>
  <c r="N70" i="1"/>
  <c r="N57" i="1"/>
  <c r="N159" i="1"/>
  <c r="N22" i="1"/>
  <c r="N76" i="1"/>
  <c r="N142" i="1"/>
  <c r="N139" i="1"/>
  <c r="N114" i="1"/>
  <c r="N62" i="1"/>
  <c r="N128" i="1"/>
  <c r="N113" i="1"/>
  <c r="N125" i="1"/>
  <c r="N36" i="1"/>
  <c r="N18" i="1"/>
  <c r="N135" i="1"/>
  <c r="N20" i="1"/>
  <c r="N27" i="1"/>
  <c r="N148" i="1"/>
  <c r="N73" i="1"/>
  <c r="N37" i="1"/>
  <c r="N41" i="1"/>
  <c r="N91" i="1"/>
  <c r="N152" i="1"/>
  <c r="N96" i="1"/>
  <c r="N146" i="1"/>
  <c r="N54" i="1"/>
  <c r="N66" i="1"/>
  <c r="N102" i="1"/>
  <c r="N26" i="1"/>
  <c r="N98" i="1"/>
  <c r="N34" i="1"/>
  <c r="N29" i="1"/>
  <c r="N32" i="1"/>
  <c r="N56" i="1"/>
  <c r="N106" i="1"/>
  <c r="N140" i="1"/>
  <c r="N129" i="1"/>
  <c r="N99" i="1"/>
  <c r="N4" i="1"/>
  <c r="N127" i="1"/>
  <c r="N95" i="1"/>
  <c r="N130" i="1"/>
  <c r="N155" i="1"/>
  <c r="N10" i="1"/>
  <c r="N123" i="1"/>
  <c r="N144" i="1"/>
  <c r="N77" i="1"/>
  <c r="N72" i="1"/>
  <c r="N171" i="1"/>
  <c r="N179" i="1"/>
  <c r="N187" i="1"/>
  <c r="N195" i="1"/>
  <c r="N15" i="1"/>
  <c r="N204" i="1"/>
  <c r="N220" i="1"/>
  <c r="N236" i="1"/>
  <c r="N45" i="1"/>
  <c r="N112" i="1"/>
  <c r="N64" i="1"/>
  <c r="N109" i="1"/>
  <c r="N175" i="1"/>
  <c r="N184" i="1"/>
  <c r="N196" i="1"/>
  <c r="N43" i="1"/>
  <c r="N212" i="1"/>
  <c r="N230" i="1"/>
  <c r="N252" i="1"/>
  <c r="N268" i="1"/>
  <c r="N284" i="1"/>
  <c r="N298" i="1"/>
  <c r="N203" i="1"/>
  <c r="N235" i="1"/>
  <c r="N267" i="1"/>
  <c r="N51" i="1"/>
  <c r="N31" i="1"/>
  <c r="N170" i="1"/>
  <c r="N210" i="1"/>
  <c r="N226" i="1"/>
  <c r="N242" i="1"/>
  <c r="N258" i="1"/>
  <c r="N274" i="1"/>
  <c r="N290" i="1"/>
  <c r="N279" i="1"/>
  <c r="N326" i="1"/>
  <c r="N358" i="1"/>
  <c r="N390" i="1"/>
  <c r="N422" i="1"/>
  <c r="N454" i="1"/>
  <c r="N486" i="1"/>
  <c r="N223" i="1"/>
  <c r="N325" i="1"/>
  <c r="N357" i="1"/>
  <c r="N389" i="1"/>
  <c r="N421" i="1"/>
  <c r="N453" i="1"/>
  <c r="N485" i="1"/>
  <c r="N514" i="1"/>
  <c r="N522" i="1"/>
  <c r="N530" i="1"/>
  <c r="N538" i="1"/>
  <c r="N546" i="1"/>
  <c r="N554" i="1"/>
  <c r="N562" i="1"/>
  <c r="N295" i="1"/>
  <c r="N337" i="1"/>
  <c r="N369" i="1"/>
  <c r="N401" i="1"/>
  <c r="N433" i="1"/>
  <c r="N465" i="1"/>
  <c r="N497" i="1"/>
  <c r="N207" i="1"/>
  <c r="N306" i="1"/>
  <c r="N330" i="1"/>
  <c r="N362" i="1"/>
  <c r="N394" i="1"/>
  <c r="N426" i="1"/>
  <c r="N458" i="1"/>
  <c r="N490" i="1"/>
  <c r="N499" i="1"/>
  <c r="N371" i="1"/>
  <c r="N471" i="1"/>
  <c r="N343" i="1"/>
  <c r="N443" i="1"/>
  <c r="N315" i="1"/>
  <c r="N552" i="1"/>
  <c r="N520" i="1"/>
  <c r="N424" i="1"/>
  <c r="N24" i="1"/>
  <c r="N87" i="1"/>
  <c r="N132" i="1"/>
  <c r="N162" i="1"/>
  <c r="N483" i="1"/>
  <c r="N355" i="1"/>
  <c r="N464" i="1"/>
  <c r="N336" i="1"/>
  <c r="N420" i="1"/>
  <c r="N564" i="1"/>
  <c r="N532" i="1"/>
  <c r="N463" i="1"/>
  <c r="N335" i="1"/>
  <c r="N241" i="1"/>
  <c r="N131" i="1"/>
  <c r="N84" i="1"/>
  <c r="N65" i="1"/>
  <c r="N160" i="1"/>
  <c r="N460" i="1"/>
  <c r="N332" i="1"/>
  <c r="N423" i="1"/>
  <c r="N221" i="1"/>
  <c r="N404" i="1"/>
  <c r="N213" i="1"/>
  <c r="N535" i="1"/>
  <c r="N479" i="1"/>
  <c r="N351" i="1"/>
  <c r="N237" i="1"/>
  <c r="N217" i="1"/>
  <c r="N508" i="1"/>
  <c r="N452" i="1"/>
  <c r="N531" i="1"/>
  <c r="N201" i="1"/>
  <c r="N185" i="1"/>
  <c r="N169" i="1"/>
  <c r="N92" i="1"/>
  <c r="N163" i="1"/>
  <c r="N136" i="1"/>
  <c r="N324" i="1"/>
  <c r="N253" i="1"/>
  <c r="N344" i="1"/>
  <c r="N515" i="1"/>
  <c r="N17" i="1"/>
  <c r="N416" i="1"/>
  <c r="N388" i="1"/>
  <c r="N472" i="1"/>
  <c r="N117" i="1"/>
  <c r="N111" i="1"/>
  <c r="N161" i="1"/>
  <c r="N90" i="1"/>
  <c r="N42" i="1"/>
  <c r="N21" i="1"/>
  <c r="N167" i="1"/>
  <c r="N176" i="1"/>
  <c r="N188" i="1"/>
  <c r="N199" i="1"/>
  <c r="N9" i="1"/>
  <c r="N178" i="1"/>
  <c r="N214" i="1"/>
  <c r="N238" i="1"/>
  <c r="N254" i="1"/>
  <c r="N270" i="1"/>
  <c r="N286" i="1"/>
  <c r="N300" i="1"/>
  <c r="N94" i="1"/>
  <c r="N157" i="1"/>
  <c r="N211" i="1"/>
  <c r="N243" i="1"/>
  <c r="N275" i="1"/>
  <c r="N186" i="1"/>
  <c r="N216" i="1"/>
  <c r="N232" i="1"/>
  <c r="N248" i="1"/>
  <c r="N264" i="1"/>
  <c r="N280" i="1"/>
  <c r="N296" i="1"/>
  <c r="N305" i="1"/>
  <c r="N329" i="1"/>
  <c r="N361" i="1"/>
  <c r="N393" i="1"/>
  <c r="N425" i="1"/>
  <c r="N457" i="1"/>
  <c r="N489" i="1"/>
  <c r="N49" i="1"/>
  <c r="N255" i="1"/>
  <c r="N338" i="1"/>
  <c r="N370" i="1"/>
  <c r="N402" i="1"/>
  <c r="N434" i="1"/>
  <c r="N466" i="1"/>
  <c r="N498" i="1"/>
  <c r="N517" i="1"/>
  <c r="N525" i="1"/>
  <c r="N533" i="1"/>
  <c r="N541" i="1"/>
  <c r="N549" i="1"/>
  <c r="N557" i="1"/>
  <c r="N565" i="1"/>
  <c r="N318" i="1"/>
  <c r="N350" i="1"/>
  <c r="N382" i="1"/>
  <c r="N414" i="1"/>
  <c r="N446" i="1"/>
  <c r="N478" i="1"/>
  <c r="N510" i="1"/>
  <c r="N89" i="1"/>
  <c r="N239" i="1"/>
  <c r="N310" i="1"/>
  <c r="N333" i="1"/>
  <c r="N365" i="1"/>
  <c r="N397" i="1"/>
  <c r="N429" i="1"/>
  <c r="N461" i="1"/>
  <c r="N493" i="1"/>
  <c r="N492" i="1"/>
  <c r="N364" i="1"/>
  <c r="N439" i="1"/>
  <c r="N285" i="1"/>
  <c r="N436" i="1"/>
  <c r="N311" i="1"/>
  <c r="N543" i="1"/>
  <c r="N511" i="1"/>
  <c r="N383" i="1"/>
  <c r="N297" i="1"/>
  <c r="N143" i="1"/>
  <c r="N71" i="1"/>
  <c r="N476" i="1"/>
  <c r="N348" i="1"/>
  <c r="N432" i="1"/>
  <c r="N491" i="1"/>
  <c r="N363" i="1"/>
  <c r="N555" i="1"/>
  <c r="N523" i="1"/>
  <c r="N440" i="1"/>
  <c r="N312" i="1"/>
  <c r="N209" i="1"/>
  <c r="N46" i="1"/>
  <c r="N403" i="1"/>
  <c r="N229" i="1"/>
  <c r="N391" i="1"/>
  <c r="N475" i="1"/>
  <c r="N347" i="1"/>
  <c r="N560" i="1"/>
  <c r="N528" i="1"/>
  <c r="N456" i="1"/>
  <c r="N328" i="1"/>
  <c r="N205" i="1"/>
  <c r="N110" i="1"/>
  <c r="N97" i="1"/>
  <c r="N134" i="1"/>
  <c r="N380" i="1"/>
  <c r="N395" i="1"/>
  <c r="N308" i="1"/>
  <c r="N197" i="1"/>
  <c r="N181" i="1"/>
  <c r="N74" i="1"/>
  <c r="N93" i="1"/>
  <c r="N120" i="1"/>
  <c r="N75" i="1"/>
  <c r="N103" i="1"/>
  <c r="N116" i="1"/>
  <c r="N524" i="1"/>
  <c r="N444" i="1"/>
  <c r="N459" i="1"/>
  <c r="N408" i="1"/>
  <c r="N316" i="1"/>
  <c r="N384" i="1"/>
  <c r="N331" i="1"/>
  <c r="N257" i="1"/>
  <c r="N150" i="1"/>
  <c r="N119" i="1"/>
  <c r="N12" i="1"/>
  <c r="N100" i="1"/>
  <c r="N86" i="1"/>
  <c r="N138" i="1"/>
  <c r="N38" i="1"/>
  <c r="N168" i="1"/>
  <c r="N180" i="1"/>
  <c r="N191" i="1"/>
  <c r="N200" i="1"/>
  <c r="N8" i="1"/>
  <c r="N48" i="1"/>
  <c r="N194" i="1"/>
  <c r="N222" i="1"/>
  <c r="N244" i="1"/>
  <c r="N260" i="1"/>
  <c r="N276" i="1"/>
  <c r="N292" i="1"/>
  <c r="N25" i="1"/>
  <c r="N174" i="1"/>
  <c r="N219" i="1"/>
  <c r="N251" i="1"/>
  <c r="N283" i="1"/>
  <c r="N202" i="1"/>
  <c r="N218" i="1"/>
  <c r="N234" i="1"/>
  <c r="N250" i="1"/>
  <c r="N266" i="1"/>
  <c r="N282" i="1"/>
  <c r="N215" i="1"/>
  <c r="N309" i="1"/>
  <c r="N342" i="1"/>
  <c r="N374" i="1"/>
  <c r="N406" i="1"/>
  <c r="N438" i="1"/>
  <c r="N470" i="1"/>
  <c r="N502" i="1"/>
  <c r="N287" i="1"/>
  <c r="N341" i="1"/>
  <c r="N373" i="1"/>
  <c r="N405" i="1"/>
  <c r="N437" i="1"/>
  <c r="N469" i="1"/>
  <c r="N501" i="1"/>
  <c r="N518" i="1"/>
  <c r="N526" i="1"/>
  <c r="N534" i="1"/>
  <c r="N542" i="1"/>
  <c r="N550" i="1"/>
  <c r="N558" i="1"/>
  <c r="N231" i="1"/>
  <c r="N321" i="1"/>
  <c r="N353" i="1"/>
  <c r="N385" i="1"/>
  <c r="N417" i="1"/>
  <c r="N449" i="1"/>
  <c r="N481" i="1"/>
  <c r="N147" i="1"/>
  <c r="N271" i="1"/>
  <c r="N314" i="1"/>
  <c r="N346" i="1"/>
  <c r="N378" i="1"/>
  <c r="N410" i="1"/>
  <c r="N442" i="1"/>
  <c r="N474" i="1"/>
  <c r="N506" i="1"/>
  <c r="N435" i="1"/>
  <c r="N293" i="1"/>
  <c r="N407" i="1"/>
  <c r="N507" i="1"/>
  <c r="N379" i="1"/>
  <c r="N277" i="1"/>
  <c r="N536" i="1"/>
  <c r="N488" i="1"/>
  <c r="N360" i="1"/>
  <c r="N265" i="1"/>
  <c r="N78" i="1"/>
  <c r="N141" i="1"/>
  <c r="N44" i="1"/>
  <c r="N419" i="1"/>
  <c r="N400" i="1"/>
  <c r="N484" i="1"/>
  <c r="N356" i="1"/>
  <c r="N548" i="1"/>
  <c r="N516" i="1"/>
  <c r="N399" i="1"/>
  <c r="N304" i="1"/>
  <c r="N28" i="1"/>
  <c r="N79" i="1"/>
  <c r="N67" i="1"/>
  <c r="N153" i="1"/>
  <c r="N6" i="1"/>
  <c r="N396" i="1"/>
  <c r="N487" i="1"/>
  <c r="N359" i="1"/>
  <c r="N468" i="1"/>
  <c r="N340" i="1"/>
  <c r="N551" i="1"/>
  <c r="N519" i="1"/>
  <c r="N415" i="1"/>
  <c r="N301" i="1"/>
  <c r="N53" i="1"/>
  <c r="N281" i="1"/>
  <c r="N323" i="1"/>
  <c r="N563" i="1"/>
  <c r="N289" i="1"/>
  <c r="N193" i="1"/>
  <c r="N177" i="1"/>
  <c r="N3" i="1"/>
  <c r="N69" i="1"/>
  <c r="N23" i="1"/>
  <c r="N101" i="1"/>
  <c r="N63" i="1"/>
  <c r="N225" i="1"/>
  <c r="N387" i="1"/>
  <c r="N245" i="1"/>
  <c r="N451" i="1"/>
  <c r="N480" i="1"/>
  <c r="N352" i="1"/>
  <c r="N299" i="1"/>
  <c r="N13" i="1"/>
  <c r="N1" i="1"/>
  <c r="N556" i="1"/>
  <c r="N30" i="1"/>
  <c r="N154" i="1"/>
  <c r="N50" i="1"/>
  <c r="N61" i="1"/>
  <c r="N133" i="1"/>
  <c r="N88" i="1"/>
  <c r="N151" i="1"/>
  <c r="N172" i="1"/>
  <c r="N183" i="1"/>
  <c r="N192" i="1"/>
  <c r="N14" i="1"/>
  <c r="N206" i="1"/>
  <c r="N228" i="1"/>
  <c r="N246" i="1"/>
  <c r="N262" i="1"/>
  <c r="N278" i="1"/>
  <c r="N294" i="1"/>
  <c r="N59" i="1"/>
  <c r="N190" i="1"/>
  <c r="N227" i="1"/>
  <c r="N259" i="1"/>
  <c r="N291" i="1"/>
  <c r="N208" i="1"/>
  <c r="N224" i="1"/>
  <c r="N240" i="1"/>
  <c r="N256" i="1"/>
  <c r="N272" i="1"/>
  <c r="N288" i="1"/>
  <c r="N247" i="1"/>
  <c r="N313" i="1"/>
  <c r="N345" i="1"/>
  <c r="N377" i="1"/>
  <c r="N409" i="1"/>
  <c r="N441" i="1"/>
  <c r="N473" i="1"/>
  <c r="N505" i="1"/>
  <c r="N182" i="1"/>
  <c r="N322" i="1"/>
  <c r="N354" i="1"/>
  <c r="N386" i="1"/>
  <c r="N418" i="1"/>
  <c r="N450" i="1"/>
  <c r="N482" i="1"/>
  <c r="N513" i="1"/>
  <c r="N521" i="1"/>
  <c r="N529" i="1"/>
  <c r="N537" i="1"/>
  <c r="N545" i="1"/>
  <c r="N553" i="1"/>
  <c r="N561" i="1"/>
  <c r="N263" i="1"/>
  <c r="N334" i="1"/>
  <c r="N366" i="1"/>
  <c r="N398" i="1"/>
  <c r="N430" i="1"/>
  <c r="N462" i="1"/>
  <c r="N494" i="1"/>
  <c r="N165" i="1"/>
  <c r="N198" i="1"/>
  <c r="N302" i="1"/>
  <c r="N317" i="1"/>
  <c r="N349" i="1"/>
  <c r="N381" i="1"/>
  <c r="N413" i="1"/>
  <c r="N445" i="1"/>
  <c r="N477" i="1"/>
  <c r="N509" i="1"/>
  <c r="N428" i="1"/>
  <c r="N503" i="1"/>
  <c r="N375" i="1"/>
  <c r="N500" i="1"/>
  <c r="N372" i="1"/>
  <c r="N559" i="1"/>
  <c r="N527" i="1"/>
  <c r="N447" i="1"/>
  <c r="N319" i="1"/>
  <c r="N233" i="1"/>
  <c r="N68" i="1"/>
  <c r="N83" i="1"/>
  <c r="N19" i="1"/>
  <c r="N35" i="1"/>
  <c r="N137" i="1"/>
  <c r="N412" i="1"/>
  <c r="N496" i="1"/>
  <c r="N368" i="1"/>
  <c r="N427" i="1"/>
  <c r="N307" i="1"/>
  <c r="N539" i="1"/>
  <c r="N504" i="1"/>
  <c r="N376" i="1"/>
  <c r="N273" i="1"/>
  <c r="N82" i="1"/>
  <c r="N166" i="1"/>
  <c r="N108" i="1"/>
  <c r="N11" i="1"/>
  <c r="N16" i="1"/>
  <c r="N467" i="1"/>
  <c r="N339" i="1"/>
  <c r="N455" i="1"/>
  <c r="N327" i="1"/>
  <c r="N411" i="1"/>
  <c r="N303" i="1"/>
  <c r="N544" i="1"/>
  <c r="N512" i="1"/>
  <c r="N392" i="1"/>
  <c r="N269" i="1"/>
  <c r="N81" i="1"/>
  <c r="N249" i="1"/>
  <c r="N540" i="1"/>
  <c r="N47" i="1"/>
  <c r="N189" i="1"/>
  <c r="N173" i="1"/>
  <c r="N80" i="1"/>
  <c r="N149" i="1"/>
  <c r="N2" i="1"/>
  <c r="N39" i="1"/>
  <c r="N7" i="1"/>
  <c r="N261" i="1"/>
  <c r="N367" i="1"/>
  <c r="N547" i="1"/>
  <c r="N448" i="1"/>
  <c r="N320" i="1"/>
  <c r="N495" i="1"/>
  <c r="N118" i="1"/>
  <c r="N431" i="1"/>
  <c r="N158" i="1"/>
  <c r="H122" i="1"/>
  <c r="G58" i="1"/>
  <c r="G104" i="1"/>
  <c r="G115" i="1"/>
  <c r="F52" i="1"/>
  <c r="G164" i="1"/>
  <c r="G5" i="1"/>
  <c r="F115" i="1"/>
  <c r="G85" i="1"/>
  <c r="H156" i="1"/>
  <c r="H126" i="1"/>
  <c r="F58" i="1"/>
  <c r="F122" i="1"/>
  <c r="M132" i="1"/>
  <c r="M7" i="1"/>
  <c r="M16" i="1"/>
  <c r="M11" i="1"/>
  <c r="M83" i="1"/>
  <c r="M68" i="1"/>
  <c r="M63" i="1"/>
  <c r="M101" i="1"/>
  <c r="M23" i="1"/>
  <c r="M69" i="1"/>
  <c r="M3" i="1"/>
  <c r="M177" i="1"/>
  <c r="M193" i="1"/>
  <c r="M209" i="1"/>
  <c r="M225" i="1"/>
  <c r="M241" i="1"/>
  <c r="M257" i="1"/>
  <c r="M273" i="1"/>
  <c r="M289" i="1"/>
  <c r="M143" i="1"/>
  <c r="M301" i="1"/>
  <c r="M315" i="1"/>
  <c r="M331" i="1"/>
  <c r="M347" i="1"/>
  <c r="M363" i="1"/>
  <c r="M379" i="1"/>
  <c r="M395" i="1"/>
  <c r="M411" i="1"/>
  <c r="M427" i="1"/>
  <c r="M443" i="1"/>
  <c r="M459" i="1"/>
  <c r="M475" i="1"/>
  <c r="M491" i="1"/>
  <c r="M507" i="1"/>
  <c r="M523" i="1"/>
  <c r="M539" i="1"/>
  <c r="M555" i="1"/>
  <c r="M305" i="1"/>
  <c r="M321" i="1"/>
  <c r="M337" i="1"/>
  <c r="M353" i="1"/>
  <c r="M369" i="1"/>
  <c r="M385" i="1"/>
  <c r="M401" i="1"/>
  <c r="M417" i="1"/>
  <c r="M433" i="1"/>
  <c r="M449" i="1"/>
  <c r="M465" i="1"/>
  <c r="M481" i="1"/>
  <c r="M497" i="1"/>
  <c r="M297" i="1"/>
  <c r="M518" i="1"/>
  <c r="M526" i="1"/>
  <c r="M534" i="1"/>
  <c r="M542" i="1"/>
  <c r="M550" i="1"/>
  <c r="M558" i="1"/>
  <c r="G124" i="1"/>
  <c r="M146" i="1"/>
  <c r="M17" i="1"/>
  <c r="M18" i="1"/>
  <c r="M137" i="1"/>
  <c r="M35" i="1"/>
  <c r="M67" i="1"/>
  <c r="M19" i="1"/>
  <c r="M160" i="1"/>
  <c r="M141" i="1"/>
  <c r="M82" i="1"/>
  <c r="M103" i="1"/>
  <c r="M75" i="1"/>
  <c r="M120" i="1"/>
  <c r="M93" i="1"/>
  <c r="M74" i="1"/>
  <c r="M181" i="1"/>
  <c r="M197" i="1"/>
  <c r="M213" i="1"/>
  <c r="M229" i="1"/>
  <c r="M245" i="1"/>
  <c r="M261" i="1"/>
  <c r="M277" i="1"/>
  <c r="M293" i="1"/>
  <c r="M108" i="1"/>
  <c r="M303" i="1"/>
  <c r="M319" i="1"/>
  <c r="M335" i="1"/>
  <c r="M351" i="1"/>
  <c r="M367" i="1"/>
  <c r="M383" i="1"/>
  <c r="M399" i="1"/>
  <c r="M415" i="1"/>
  <c r="M431" i="1"/>
  <c r="M447" i="1"/>
  <c r="M463" i="1"/>
  <c r="M479" i="1"/>
  <c r="M495" i="1"/>
  <c r="M511" i="1"/>
  <c r="M527" i="1"/>
  <c r="M543" i="1"/>
  <c r="M559" i="1"/>
  <c r="M309" i="1"/>
  <c r="M325" i="1"/>
  <c r="M341" i="1"/>
  <c r="M357" i="1"/>
  <c r="M373" i="1"/>
  <c r="M389" i="1"/>
  <c r="M405" i="1"/>
  <c r="M421" i="1"/>
  <c r="M437" i="1"/>
  <c r="M453" i="1"/>
  <c r="M469" i="1"/>
  <c r="M485" i="1"/>
  <c r="M501" i="1"/>
  <c r="M513" i="1"/>
  <c r="M521" i="1"/>
  <c r="M529" i="1"/>
  <c r="M537" i="1"/>
  <c r="M545" i="1"/>
  <c r="M553" i="1"/>
  <c r="M561" i="1"/>
  <c r="M256" i="1"/>
  <c r="M490" i="1"/>
  <c r="M240" i="1"/>
  <c r="M398" i="1"/>
  <c r="M271" i="1"/>
  <c r="M207" i="1"/>
  <c r="M174" i="1"/>
  <c r="M25" i="1"/>
  <c r="M128" i="1"/>
  <c r="M79" i="1"/>
  <c r="M20" i="1"/>
  <c r="M134" i="1"/>
  <c r="M338" i="1"/>
  <c r="M454" i="1"/>
  <c r="M326" i="1"/>
  <c r="M410" i="1"/>
  <c r="M211" i="1"/>
  <c r="M299" i="1"/>
  <c r="M175" i="1"/>
  <c r="M544" i="1"/>
  <c r="M512" i="1"/>
  <c r="M496" i="1"/>
  <c r="M480" i="1"/>
  <c r="M464" i="1"/>
  <c r="M448" i="1"/>
  <c r="M432" i="1"/>
  <c r="M416" i="1"/>
  <c r="M400" i="1"/>
  <c r="M384" i="1"/>
  <c r="M368" i="1"/>
  <c r="M352" i="1"/>
  <c r="M158" i="1"/>
  <c r="M6" i="1"/>
  <c r="M44" i="1"/>
  <c r="M102" i="1"/>
  <c r="M1" i="1"/>
  <c r="M116" i="1"/>
  <c r="M131" i="1"/>
  <c r="M13" i="1"/>
  <c r="M136" i="1"/>
  <c r="M163" i="1"/>
  <c r="M92" i="1"/>
  <c r="M169" i="1"/>
  <c r="M185" i="1"/>
  <c r="M201" i="1"/>
  <c r="M217" i="1"/>
  <c r="M233" i="1"/>
  <c r="M249" i="1"/>
  <c r="M265" i="1"/>
  <c r="M281" i="1"/>
  <c r="M46" i="1"/>
  <c r="M307" i="1"/>
  <c r="M323" i="1"/>
  <c r="M339" i="1"/>
  <c r="M355" i="1"/>
  <c r="M371" i="1"/>
  <c r="M387" i="1"/>
  <c r="M403" i="1"/>
  <c r="M419" i="1"/>
  <c r="M435" i="1"/>
  <c r="M451" i="1"/>
  <c r="M467" i="1"/>
  <c r="M483" i="1"/>
  <c r="M499" i="1"/>
  <c r="M515" i="1"/>
  <c r="M531" i="1"/>
  <c r="M547" i="1"/>
  <c r="M563" i="1"/>
  <c r="M313" i="1"/>
  <c r="M329" i="1"/>
  <c r="M345" i="1"/>
  <c r="M361" i="1"/>
  <c r="M377" i="1"/>
  <c r="M393" i="1"/>
  <c r="M409" i="1"/>
  <c r="M425" i="1"/>
  <c r="M441" i="1"/>
  <c r="M457" i="1"/>
  <c r="M473" i="1"/>
  <c r="M489" i="1"/>
  <c r="M505" i="1"/>
  <c r="M514" i="1"/>
  <c r="M522" i="1"/>
  <c r="M530" i="1"/>
  <c r="M538" i="1"/>
  <c r="M546" i="1"/>
  <c r="M554" i="1"/>
  <c r="M562" i="1"/>
  <c r="M482" i="1"/>
  <c r="M72" i="1"/>
  <c r="M426" i="1"/>
  <c r="M144" i="1"/>
  <c r="M334" i="1"/>
  <c r="M252" i="1"/>
  <c r="M183" i="1"/>
  <c r="M153" i="1"/>
  <c r="M54" i="1"/>
  <c r="M114" i="1"/>
  <c r="M28" i="1"/>
  <c r="M39" i="1"/>
  <c r="M2" i="1"/>
  <c r="M149" i="1"/>
  <c r="M80" i="1"/>
  <c r="M173" i="1"/>
  <c r="M189" i="1"/>
  <c r="M205" i="1"/>
  <c r="M221" i="1"/>
  <c r="M237" i="1"/>
  <c r="M253" i="1"/>
  <c r="M269" i="1"/>
  <c r="M285" i="1"/>
  <c r="M311" i="1"/>
  <c r="M327" i="1"/>
  <c r="M343" i="1"/>
  <c r="M359" i="1"/>
  <c r="M375" i="1"/>
  <c r="M391" i="1"/>
  <c r="M407" i="1"/>
  <c r="M423" i="1"/>
  <c r="M439" i="1"/>
  <c r="M455" i="1"/>
  <c r="M471" i="1"/>
  <c r="M487" i="1"/>
  <c r="M503" i="1"/>
  <c r="M519" i="1"/>
  <c r="M535" i="1"/>
  <c r="M551" i="1"/>
  <c r="M317" i="1"/>
  <c r="M333" i="1"/>
  <c r="M349" i="1"/>
  <c r="M365" i="1"/>
  <c r="M381" i="1"/>
  <c r="M397" i="1"/>
  <c r="M413" i="1"/>
  <c r="M429" i="1"/>
  <c r="M445" i="1"/>
  <c r="M461" i="1"/>
  <c r="M477" i="1"/>
  <c r="M493" i="1"/>
  <c r="M509" i="1"/>
  <c r="M517" i="1"/>
  <c r="M525" i="1"/>
  <c r="M533" i="1"/>
  <c r="M541" i="1"/>
  <c r="M549" i="1"/>
  <c r="M557" i="1"/>
  <c r="M565" i="1"/>
  <c r="M418" i="1"/>
  <c r="M130" i="1"/>
  <c r="M362" i="1"/>
  <c r="M127" i="1"/>
  <c r="M300" i="1"/>
  <c r="M239" i="1"/>
  <c r="M37" i="1"/>
  <c r="M110" i="1"/>
  <c r="M32" i="1"/>
  <c r="M466" i="1"/>
  <c r="M227" i="1"/>
  <c r="M390" i="1"/>
  <c r="M219" i="1"/>
  <c r="M306" i="1"/>
  <c r="M414" i="1"/>
  <c r="M235" i="1"/>
  <c r="M560" i="1"/>
  <c r="M528" i="1"/>
  <c r="M504" i="1"/>
  <c r="M488" i="1"/>
  <c r="M472" i="1"/>
  <c r="M456" i="1"/>
  <c r="M440" i="1"/>
  <c r="M424" i="1"/>
  <c r="M408" i="1"/>
  <c r="M392" i="1"/>
  <c r="M376" i="1"/>
  <c r="M360" i="1"/>
  <c r="M248" i="1"/>
  <c r="M220" i="1"/>
  <c r="M24" i="1"/>
  <c r="M157" i="1"/>
  <c r="M76" i="1"/>
  <c r="M498" i="1"/>
  <c r="M422" i="1"/>
  <c r="M346" i="1"/>
  <c r="M267" i="1"/>
  <c r="M508" i="1"/>
  <c r="M476" i="1"/>
  <c r="M444" i="1"/>
  <c r="M412" i="1"/>
  <c r="M380" i="1"/>
  <c r="M348" i="1"/>
  <c r="M332" i="1"/>
  <c r="M316" i="1"/>
  <c r="M292" i="1"/>
  <c r="M228" i="1"/>
  <c r="M123" i="1"/>
  <c r="M172" i="1"/>
  <c r="M88" i="1"/>
  <c r="M133" i="1"/>
  <c r="M61" i="1"/>
  <c r="M286" i="1"/>
  <c r="M254" i="1"/>
  <c r="M222" i="1"/>
  <c r="M178" i="1"/>
  <c r="M48" i="1"/>
  <c r="M43" i="1"/>
  <c r="M259" i="1"/>
  <c r="M251" i="1"/>
  <c r="M302" i="1"/>
  <c r="M494" i="1"/>
  <c r="M298" i="1"/>
  <c r="M236" i="1"/>
  <c r="M167" i="1"/>
  <c r="M111" i="1"/>
  <c r="M50" i="1"/>
  <c r="M182" i="1"/>
  <c r="M49" i="1"/>
  <c r="M106" i="1"/>
  <c r="M56" i="1"/>
  <c r="M161" i="1"/>
  <c r="M73" i="1"/>
  <c r="M100" i="1"/>
  <c r="M96" i="1"/>
  <c r="M258" i="1"/>
  <c r="M216" i="1"/>
  <c r="M296" i="1"/>
  <c r="M516" i="1"/>
  <c r="M176" i="1"/>
  <c r="M275" i="1"/>
  <c r="M112" i="1"/>
  <c r="M118" i="1"/>
  <c r="M370" i="1"/>
  <c r="M36" i="1"/>
  <c r="M231" i="1"/>
  <c r="M151" i="1"/>
  <c r="M282" i="1"/>
  <c r="M31" i="1"/>
  <c r="M502" i="1"/>
  <c r="M382" i="1"/>
  <c r="M91" i="1"/>
  <c r="M310" i="1"/>
  <c r="M59" i="1"/>
  <c r="M98" i="1"/>
  <c r="M71" i="1"/>
  <c r="M402" i="1"/>
  <c r="M358" i="1"/>
  <c r="M272" i="1"/>
  <c r="M203" i="1"/>
  <c r="M552" i="1"/>
  <c r="M500" i="1"/>
  <c r="M468" i="1"/>
  <c r="M436" i="1"/>
  <c r="M404" i="1"/>
  <c r="M372" i="1"/>
  <c r="M344" i="1"/>
  <c r="M328" i="1"/>
  <c r="M312" i="1"/>
  <c r="M279" i="1"/>
  <c r="M215" i="1"/>
  <c r="M196" i="1"/>
  <c r="M109" i="1"/>
  <c r="M119" i="1"/>
  <c r="M278" i="1"/>
  <c r="M246" i="1"/>
  <c r="M214" i="1"/>
  <c r="M9" i="1"/>
  <c r="M78" i="1"/>
  <c r="M450" i="1"/>
  <c r="M187" i="1"/>
  <c r="M458" i="1"/>
  <c r="M243" i="1"/>
  <c r="M430" i="1"/>
  <c r="M287" i="1"/>
  <c r="M223" i="1"/>
  <c r="M42" i="1"/>
  <c r="M47" i="1"/>
  <c r="M147" i="1"/>
  <c r="M8" i="1"/>
  <c r="M99" i="1"/>
  <c r="M434" i="1"/>
  <c r="M540" i="1"/>
  <c r="M200" i="1"/>
  <c r="M226" i="1"/>
  <c r="M57" i="1"/>
  <c r="M65" i="1"/>
  <c r="M291" i="1"/>
  <c r="M274" i="1"/>
  <c r="M135" i="1"/>
  <c r="M314" i="1"/>
  <c r="M232" i="1"/>
  <c r="M295" i="1"/>
  <c r="M21" i="1"/>
  <c r="M266" i="1"/>
  <c r="M30" i="1"/>
  <c r="M191" i="1"/>
  <c r="M22" i="1"/>
  <c r="M442" i="1"/>
  <c r="M564" i="1"/>
  <c r="M95" i="1"/>
  <c r="M250" i="1"/>
  <c r="M406" i="1"/>
  <c r="M524" i="1"/>
  <c r="M242" i="1"/>
  <c r="M462" i="1"/>
  <c r="M53" i="1"/>
  <c r="M94" i="1"/>
  <c r="M117" i="1"/>
  <c r="M288" i="1"/>
  <c r="M280" i="1"/>
  <c r="M478" i="1"/>
  <c r="M64" i="1"/>
  <c r="M536" i="1"/>
  <c r="M492" i="1"/>
  <c r="M460" i="1"/>
  <c r="M428" i="1"/>
  <c r="M396" i="1"/>
  <c r="M364" i="1"/>
  <c r="M340" i="1"/>
  <c r="M324" i="1"/>
  <c r="M308" i="1"/>
  <c r="M260" i="1"/>
  <c r="M195" i="1"/>
  <c r="M4" i="1"/>
  <c r="M188" i="1"/>
  <c r="M90" i="1"/>
  <c r="M270" i="1"/>
  <c r="M238" i="1"/>
  <c r="M206" i="1"/>
  <c r="M15" i="1"/>
  <c r="M142" i="1"/>
  <c r="M150" i="1"/>
  <c r="M162" i="1"/>
  <c r="M386" i="1"/>
  <c r="M10" i="1"/>
  <c r="M394" i="1"/>
  <c r="M171" i="1"/>
  <c r="M366" i="1"/>
  <c r="M268" i="1"/>
  <c r="M204" i="1"/>
  <c r="M506" i="1"/>
  <c r="M276" i="1"/>
  <c r="M168" i="1"/>
  <c r="M166" i="1"/>
  <c r="M159" i="1"/>
  <c r="M139" i="1"/>
  <c r="M470" i="1"/>
  <c r="M186" i="1"/>
  <c r="M208" i="1"/>
  <c r="M38" i="1"/>
  <c r="M77" i="1"/>
  <c r="M234" i="1"/>
  <c r="M438" i="1"/>
  <c r="M556" i="1"/>
  <c r="M210" i="1"/>
  <c r="M27" i="1"/>
  <c r="M446" i="1"/>
  <c r="M532" i="1"/>
  <c r="M152" i="1"/>
  <c r="M218" i="1"/>
  <c r="M283" i="1"/>
  <c r="M179" i="1"/>
  <c r="M354" i="1"/>
  <c r="M284" i="1"/>
  <c r="M81" i="1"/>
  <c r="M190" i="1"/>
  <c r="M62" i="1"/>
  <c r="M129" i="1"/>
  <c r="M486" i="1"/>
  <c r="M474" i="1"/>
  <c r="M350" i="1"/>
  <c r="M125" i="1"/>
  <c r="M520" i="1"/>
  <c r="M484" i="1"/>
  <c r="M452" i="1"/>
  <c r="M420" i="1"/>
  <c r="M388" i="1"/>
  <c r="M356" i="1"/>
  <c r="M336" i="1"/>
  <c r="M320" i="1"/>
  <c r="M304" i="1"/>
  <c r="M247" i="1"/>
  <c r="M180" i="1"/>
  <c r="M138" i="1"/>
  <c r="M12" i="1"/>
  <c r="M45" i="1"/>
  <c r="M294" i="1"/>
  <c r="M262" i="1"/>
  <c r="M230" i="1"/>
  <c r="M194" i="1"/>
  <c r="M14" i="1"/>
  <c r="M41" i="1"/>
  <c r="M87" i="1"/>
  <c r="M148" i="1"/>
  <c r="M66" i="1"/>
  <c r="M322" i="1"/>
  <c r="M29" i="1"/>
  <c r="M330" i="1"/>
  <c r="M155" i="1"/>
  <c r="M154" i="1"/>
  <c r="M255" i="1"/>
  <c r="M199" i="1"/>
  <c r="M113" i="1"/>
  <c r="M97" i="1"/>
  <c r="M198" i="1"/>
  <c r="M89" i="1"/>
  <c r="M165" i="1"/>
  <c r="M70" i="1"/>
  <c r="M26" i="1"/>
  <c r="M510" i="1"/>
  <c r="M263" i="1"/>
  <c r="M86" i="1"/>
  <c r="M290" i="1"/>
  <c r="M374" i="1"/>
  <c r="M224" i="1"/>
  <c r="M318" i="1"/>
  <c r="M548" i="1"/>
  <c r="M140" i="1"/>
  <c r="M202" i="1"/>
  <c r="M342" i="1"/>
  <c r="M212" i="1"/>
  <c r="M51" i="1"/>
  <c r="M264" i="1"/>
  <c r="M244" i="1"/>
  <c r="M192" i="1"/>
  <c r="M84" i="1"/>
  <c r="M170" i="1"/>
  <c r="M34" i="1"/>
  <c r="M378" i="1"/>
  <c r="M184" i="1"/>
  <c r="G107" i="1"/>
  <c r="F164" i="1"/>
  <c r="G105" i="1"/>
  <c r="H104" i="1"/>
  <c r="H60" i="1"/>
  <c r="H33" i="1"/>
  <c r="H58" i="1"/>
  <c r="G33" i="1"/>
  <c r="G55" i="1"/>
  <c r="F126" i="1"/>
  <c r="H85" i="1"/>
  <c r="F5" i="1"/>
  <c r="F55" i="1"/>
  <c r="H145" i="1"/>
  <c r="F121" i="1"/>
  <c r="G145" i="1"/>
  <c r="H124" i="1"/>
  <c r="G126" i="1"/>
  <c r="G121" i="1"/>
  <c r="G122" i="1"/>
  <c r="F105" i="1"/>
  <c r="F145" i="1"/>
  <c r="H107" i="1"/>
  <c r="G60" i="1"/>
  <c r="H115" i="1"/>
  <c r="H40" i="1"/>
  <c r="H164" i="1"/>
  <c r="F107" i="1"/>
  <c r="O2" i="1" l="1"/>
  <c r="O80" i="1"/>
  <c r="O101" i="1"/>
  <c r="O165" i="1"/>
  <c r="O50" i="1"/>
  <c r="O53" i="1"/>
  <c r="O38" i="1"/>
  <c r="O12" i="1"/>
  <c r="O75" i="1"/>
  <c r="O49" i="1"/>
  <c r="O163" i="1"/>
  <c r="O31" i="1"/>
  <c r="O95" i="1"/>
  <c r="O152" i="1"/>
  <c r="O23" i="1"/>
  <c r="O157" i="1"/>
  <c r="O92" i="1"/>
  <c r="O51" i="1"/>
  <c r="O45" i="1"/>
  <c r="O127" i="1"/>
  <c r="O36" i="1"/>
  <c r="O151" i="1"/>
  <c r="O28" i="1"/>
  <c r="O138" i="1"/>
  <c r="O39" i="1"/>
  <c r="O149" i="1"/>
  <c r="O47" i="1"/>
  <c r="O108" i="1"/>
  <c r="O59" i="1"/>
  <c r="O14" i="1"/>
  <c r="O88" i="1"/>
  <c r="O61" i="1"/>
  <c r="O63" i="1"/>
  <c r="O3" i="1"/>
  <c r="O147" i="1"/>
  <c r="O8" i="1"/>
  <c r="O100" i="1"/>
  <c r="O103" i="1"/>
  <c r="O74" i="1"/>
  <c r="O143" i="1"/>
  <c r="O109" i="1"/>
  <c r="O112" i="1"/>
  <c r="O72" i="1"/>
  <c r="O10" i="1"/>
  <c r="O130" i="1"/>
  <c r="O96" i="1"/>
  <c r="O125" i="1"/>
  <c r="O97" i="1"/>
  <c r="O77" i="1"/>
  <c r="O41" i="1"/>
  <c r="O113" i="1"/>
  <c r="O154" i="1"/>
  <c r="O119" i="1"/>
  <c r="O120" i="1"/>
  <c r="O21" i="1"/>
  <c r="O90" i="1"/>
  <c r="O24" i="1"/>
  <c r="O64" i="1"/>
  <c r="O91" i="1"/>
  <c r="O128" i="1"/>
  <c r="O82" i="1"/>
  <c r="O144" i="1"/>
  <c r="O155" i="1"/>
  <c r="O81" i="1"/>
  <c r="O133" i="1"/>
  <c r="O13" i="1"/>
  <c r="O69" i="1"/>
  <c r="O25" i="1"/>
  <c r="O48" i="1"/>
  <c r="O86" i="1"/>
  <c r="O93" i="1"/>
  <c r="O89" i="1"/>
  <c r="O94" i="1"/>
  <c r="O9" i="1"/>
  <c r="O42" i="1"/>
  <c r="O161" i="1"/>
  <c r="O136" i="1"/>
  <c r="O131" i="1"/>
  <c r="O15" i="1"/>
  <c r="O123" i="1"/>
  <c r="O4" i="1"/>
  <c r="O140" i="1"/>
  <c r="O37" i="1"/>
  <c r="O166" i="1"/>
  <c r="O79" i="1"/>
  <c r="O46" i="1"/>
  <c r="O117" i="1"/>
  <c r="O160" i="1"/>
  <c r="O65" i="1"/>
  <c r="O43" i="1"/>
  <c r="O129" i="1"/>
  <c r="O106" i="1"/>
  <c r="O62" i="1"/>
  <c r="O11" i="1"/>
  <c r="O19" i="1"/>
  <c r="O83" i="1"/>
  <c r="O150" i="1"/>
  <c r="O84" i="1"/>
  <c r="O29" i="1"/>
  <c r="O114" i="1"/>
  <c r="O118" i="1"/>
  <c r="O68" i="1"/>
  <c r="O78" i="1"/>
  <c r="O110" i="1"/>
  <c r="O56" i="1"/>
  <c r="O32" i="1"/>
  <c r="O22" i="1"/>
  <c r="O67" i="1"/>
  <c r="O141" i="1"/>
  <c r="O134" i="1"/>
  <c r="O111" i="1"/>
  <c r="O87" i="1"/>
  <c r="O99" i="1"/>
  <c r="O73" i="1"/>
  <c r="O148" i="1"/>
  <c r="O57" i="1"/>
  <c r="O35" i="1"/>
  <c r="O159" i="1"/>
  <c r="O34" i="1"/>
  <c r="O139" i="1"/>
  <c r="O1" i="1"/>
  <c r="O116" i="1"/>
  <c r="O142" i="1"/>
  <c r="O70" i="1"/>
  <c r="O16" i="1"/>
  <c r="O137" i="1"/>
  <c r="O27" i="1"/>
  <c r="O76" i="1"/>
  <c r="O162" i="1"/>
  <c r="O135" i="1"/>
  <c r="O7" i="1"/>
  <c r="O132" i="1"/>
  <c r="O98" i="1"/>
  <c r="O20" i="1"/>
  <c r="O158" i="1"/>
  <c r="O30" i="1"/>
  <c r="O17" i="1"/>
  <c r="O26" i="1"/>
  <c r="O102" i="1"/>
  <c r="O18" i="1"/>
  <c r="O40" i="1"/>
  <c r="O121" i="1"/>
  <c r="O85" i="1"/>
  <c r="O5" i="1"/>
  <c r="O66" i="1"/>
  <c r="O164" i="1"/>
  <c r="O52" i="1"/>
  <c r="O105" i="1"/>
  <c r="O126" i="1"/>
  <c r="O6" i="1"/>
  <c r="O146" i="1"/>
  <c r="O156" i="1"/>
  <c r="O115" i="1"/>
  <c r="O107" i="1"/>
  <c r="O60" i="1"/>
  <c r="O33" i="1"/>
  <c r="O153" i="1"/>
  <c r="O44" i="1"/>
  <c r="O71" i="1"/>
  <c r="O54" i="1"/>
  <c r="O124" i="1"/>
  <c r="O104" i="1"/>
  <c r="O55" i="1"/>
  <c r="O58" i="1"/>
  <c r="O145" i="1"/>
  <c r="O122" i="1"/>
</calcChain>
</file>

<file path=xl/sharedStrings.xml><?xml version="1.0" encoding="utf-8"?>
<sst xmlns="http://schemas.openxmlformats.org/spreadsheetml/2006/main" count="1232" uniqueCount="845">
  <si>
    <t>ג</t>
  </si>
  <si>
    <t>ד</t>
  </si>
  <si>
    <t>ח</t>
  </si>
  <si>
    <t>ט</t>
  </si>
  <si>
    <t>כ</t>
  </si>
  <si>
    <t>ל</t>
  </si>
  <si>
    <t>מ</t>
  </si>
  <si>
    <t>נ</t>
  </si>
  <si>
    <t>ס</t>
  </si>
  <si>
    <t>ע</t>
  </si>
  <si>
    <t>פ</t>
  </si>
  <si>
    <t>צ</t>
  </si>
  <si>
    <t>ק</t>
  </si>
  <si>
    <t>ר</t>
  </si>
  <si>
    <t>ש</t>
  </si>
  <si>
    <t>ת</t>
  </si>
  <si>
    <t>freq X/milion</t>
  </si>
  <si>
    <t>trans</t>
  </si>
  <si>
    <t>sub</t>
  </si>
  <si>
    <t>word&gt;trans</t>
  </si>
  <si>
    <t>word&lt;trans</t>
  </si>
  <si>
    <t>word&gt;sub</t>
  </si>
  <si>
    <t>word&lt;sub</t>
  </si>
  <si>
    <t>trans&gt;sub</t>
  </si>
  <si>
    <t>trans&lt;sub</t>
  </si>
  <si>
    <t>word?trans=word?sub</t>
  </si>
  <si>
    <t>בקרים</t>
  </si>
  <si>
    <t>ברקים</t>
  </si>
  <si>
    <t>בגדים</t>
  </si>
  <si>
    <t>ברחה</t>
  </si>
  <si>
    <t>בחרה</t>
  </si>
  <si>
    <t>בגדה</t>
  </si>
  <si>
    <t>גלמים</t>
  </si>
  <si>
    <t>גמלים</t>
  </si>
  <si>
    <t>גשרים</t>
  </si>
  <si>
    <t>גברים</t>
  </si>
  <si>
    <t>גרבים</t>
  </si>
  <si>
    <t>גלדים</t>
  </si>
  <si>
    <t>דגרה</t>
  </si>
  <si>
    <t>דרגה</t>
  </si>
  <si>
    <t>דחתה</t>
  </si>
  <si>
    <t>החלמה</t>
  </si>
  <si>
    <t>הלחמה</t>
  </si>
  <si>
    <t>הפנמה</t>
  </si>
  <si>
    <t>העשרה</t>
  </si>
  <si>
    <t>השערה</t>
  </si>
  <si>
    <t>הספיק</t>
  </si>
  <si>
    <t>הפסיק</t>
  </si>
  <si>
    <t>החליק</t>
  </si>
  <si>
    <t>הפעלה</t>
  </si>
  <si>
    <t>העפלה</t>
  </si>
  <si>
    <t>הגרלה</t>
  </si>
  <si>
    <t>הצניח</t>
  </si>
  <si>
    <t>הנציח</t>
  </si>
  <si>
    <t>הבליח</t>
  </si>
  <si>
    <t>הרעשנו</t>
  </si>
  <si>
    <t>הרשענו</t>
  </si>
  <si>
    <t>הרגזנו</t>
  </si>
  <si>
    <t>הרקיב</t>
  </si>
  <si>
    <t>הקריב</t>
  </si>
  <si>
    <t>התגבר</t>
  </si>
  <si>
    <t>התבגר</t>
  </si>
  <si>
    <t>התנצר</t>
  </si>
  <si>
    <t>התנגב</t>
  </si>
  <si>
    <t>התגנב</t>
  </si>
  <si>
    <t>התקרב</t>
  </si>
  <si>
    <t>התקלח</t>
  </si>
  <si>
    <t>התלקח</t>
  </si>
  <si>
    <t>התנצח</t>
  </si>
  <si>
    <t>זמרת</t>
  </si>
  <si>
    <t>זרמת</t>
  </si>
  <si>
    <t>זעקת</t>
  </si>
  <si>
    <t>חבלן</t>
  </si>
  <si>
    <t>חלבן</t>
  </si>
  <si>
    <t>חמדן</t>
  </si>
  <si>
    <t>חדרים</t>
  </si>
  <si>
    <t>חרדים</t>
  </si>
  <si>
    <t>חגבים</t>
  </si>
  <si>
    <t>חדשות</t>
  </si>
  <si>
    <t>חשדות</t>
  </si>
  <si>
    <t>חרבות</t>
  </si>
  <si>
    <t>חוברות</t>
  </si>
  <si>
    <t>חורבות</t>
  </si>
  <si>
    <t>חושדות</t>
  </si>
  <si>
    <t>חודשים</t>
  </si>
  <si>
    <t>חושדים</t>
  </si>
  <si>
    <t>חונקים</t>
  </si>
  <si>
    <t>חורזים</t>
  </si>
  <si>
    <t>חוזרים</t>
  </si>
  <si>
    <t>חומדים</t>
  </si>
  <si>
    <t>חוקרים</t>
  </si>
  <si>
    <t>חורקים</t>
  </si>
  <si>
    <t>חופנים</t>
  </si>
  <si>
    <t>חוקרת</t>
  </si>
  <si>
    <t>חורקת</t>
  </si>
  <si>
    <t>חובשת</t>
  </si>
  <si>
    <t>חושבת</t>
  </si>
  <si>
    <t>חרקנו</t>
  </si>
  <si>
    <t>חקרנו</t>
  </si>
  <si>
    <t>חלמנו</t>
  </si>
  <si>
    <t>חברות</t>
  </si>
  <si>
    <t>חרטות</t>
  </si>
  <si>
    <t>חשבה</t>
  </si>
  <si>
    <t>חבשה</t>
  </si>
  <si>
    <t>חגרה</t>
  </si>
  <si>
    <t>חדשן</t>
  </si>
  <si>
    <t>חשדן</t>
  </si>
  <si>
    <t>חתרן</t>
  </si>
  <si>
    <t>יבדקו</t>
  </si>
  <si>
    <t>ידבקו</t>
  </si>
  <si>
    <t>יחרקו</t>
  </si>
  <si>
    <t>יגרעו</t>
  </si>
  <si>
    <t>ירגעו</t>
  </si>
  <si>
    <t>יטבעו</t>
  </si>
  <si>
    <t>יחבלו</t>
  </si>
  <si>
    <t>יחלבו</t>
  </si>
  <si>
    <t>יחטאו</t>
  </si>
  <si>
    <t>יחקרו</t>
  </si>
  <si>
    <t>יחלשו</t>
  </si>
  <si>
    <t>ילחש</t>
  </si>
  <si>
    <t>יחלש</t>
  </si>
  <si>
    <t>יגרש</t>
  </si>
  <si>
    <t>ינצח</t>
  </si>
  <si>
    <t>יצנח</t>
  </si>
  <si>
    <t>ימרח</t>
  </si>
  <si>
    <t>ירצפו</t>
  </si>
  <si>
    <t>יצרפו</t>
  </si>
  <si>
    <t>ישקפו</t>
  </si>
  <si>
    <t>יצרחו</t>
  </si>
  <si>
    <t>ירצחו</t>
  </si>
  <si>
    <t>ישפוט</t>
  </si>
  <si>
    <t>יפשוט</t>
  </si>
  <si>
    <t>יחרוט</t>
  </si>
  <si>
    <t>ישקרו</t>
  </si>
  <si>
    <t>יקשרו</t>
  </si>
  <si>
    <t>יחברו</t>
  </si>
  <si>
    <t>כלבים</t>
  </si>
  <si>
    <t>כבלים</t>
  </si>
  <si>
    <t>כפרים</t>
  </si>
  <si>
    <t>לחבור</t>
  </si>
  <si>
    <t>לבחור</t>
  </si>
  <si>
    <t>לגמור</t>
  </si>
  <si>
    <t>לבחוש</t>
  </si>
  <si>
    <t>לחבוש</t>
  </si>
  <si>
    <t>לנפוש</t>
  </si>
  <si>
    <t>לבצוע</t>
  </si>
  <si>
    <t>לצבוע</t>
  </si>
  <si>
    <t>לקרוע</t>
  </si>
  <si>
    <t>להשכיר</t>
  </si>
  <si>
    <t>להכשיר</t>
  </si>
  <si>
    <t>להגדיר</t>
  </si>
  <si>
    <t>לחמוק</t>
  </si>
  <si>
    <t>למחוק</t>
  </si>
  <si>
    <t>לבדוק</t>
  </si>
  <si>
    <t>לסרק</t>
  </si>
  <si>
    <t>לרסק</t>
  </si>
  <si>
    <t>לחבק</t>
  </si>
  <si>
    <t>לעבור</t>
  </si>
  <si>
    <t>לבעור</t>
  </si>
  <si>
    <t>לגזור</t>
  </si>
  <si>
    <t>לעמוד</t>
  </si>
  <si>
    <t>למעוד</t>
  </si>
  <si>
    <t>לעמול</t>
  </si>
  <si>
    <t>למעול</t>
  </si>
  <si>
    <t>לנבול</t>
  </si>
  <si>
    <t>לרקוע</t>
  </si>
  <si>
    <t>לקשר</t>
  </si>
  <si>
    <t>לשקר</t>
  </si>
  <si>
    <t>לחסר</t>
  </si>
  <si>
    <t>מברשת</t>
  </si>
  <si>
    <t>מבשרת</t>
  </si>
  <si>
    <t>מבצעת</t>
  </si>
  <si>
    <t>מדען</t>
  </si>
  <si>
    <t>מעדן</t>
  </si>
  <si>
    <t>מקרן</t>
  </si>
  <si>
    <t>מדענים</t>
  </si>
  <si>
    <t>מעדנים</t>
  </si>
  <si>
    <t>מזרנים</t>
  </si>
  <si>
    <t>מדרגה</t>
  </si>
  <si>
    <t>מדגרה</t>
  </si>
  <si>
    <t>מבחר</t>
  </si>
  <si>
    <t>מחבר</t>
  </si>
  <si>
    <t>מגדר</t>
  </si>
  <si>
    <t>מספידה</t>
  </si>
  <si>
    <t>מפסידה</t>
  </si>
  <si>
    <t>מטרידה</t>
  </si>
  <si>
    <t>מרקיב</t>
  </si>
  <si>
    <t>מקריב</t>
  </si>
  <si>
    <t>מחשיב</t>
  </si>
  <si>
    <t>מקשר</t>
  </si>
  <si>
    <t>משקר</t>
  </si>
  <si>
    <t>מפגר</t>
  </si>
  <si>
    <t>מקשרת</t>
  </si>
  <si>
    <t>משקרת</t>
  </si>
  <si>
    <t>מאחרת</t>
  </si>
  <si>
    <t>מרגיל</t>
  </si>
  <si>
    <t>מגריל</t>
  </si>
  <si>
    <t>מפשיל</t>
  </si>
  <si>
    <t>מרצפת</t>
  </si>
  <si>
    <t>מצרפת</t>
  </si>
  <si>
    <t>מרחפת</t>
  </si>
  <si>
    <t>מפזרת</t>
  </si>
  <si>
    <t>מתגרשים</t>
  </si>
  <si>
    <t>מתרגשים</t>
  </si>
  <si>
    <t>מתבקשים</t>
  </si>
  <si>
    <t>מתערבת</t>
  </si>
  <si>
    <t>מתעברת</t>
  </si>
  <si>
    <t>מתעלקת</t>
  </si>
  <si>
    <t>נבדק</t>
  </si>
  <si>
    <t>נדבק</t>
  </si>
  <si>
    <t>נזרק</t>
  </si>
  <si>
    <t>נופשים</t>
  </si>
  <si>
    <t>נושפים</t>
  </si>
  <si>
    <t>נוקמים</t>
  </si>
  <si>
    <t>סגרתי</t>
  </si>
  <si>
    <t>סרגתי</t>
  </si>
  <si>
    <t>סלחתי</t>
  </si>
  <si>
    <t>סוגרת</t>
  </si>
  <si>
    <t>סורגת</t>
  </si>
  <si>
    <t>סולחת</t>
  </si>
  <si>
    <t>עברית</t>
  </si>
  <si>
    <t>ערבית</t>
  </si>
  <si>
    <t>פושרת</t>
  </si>
  <si>
    <t>פורשת</t>
  </si>
  <si>
    <t>פועלת</t>
  </si>
  <si>
    <t>פיטרה</t>
  </si>
  <si>
    <t>פירטה</t>
  </si>
  <si>
    <t>פיצחה</t>
  </si>
  <si>
    <t>פרשנות</t>
  </si>
  <si>
    <t>פשרנות</t>
  </si>
  <si>
    <t>פחדנות</t>
  </si>
  <si>
    <t>פשרה</t>
  </si>
  <si>
    <t>פרשה</t>
  </si>
  <si>
    <t>קוצרים</t>
  </si>
  <si>
    <t>קורצים</t>
  </si>
  <si>
    <t>קוסמים</t>
  </si>
  <si>
    <t>קפלים</t>
  </si>
  <si>
    <t>קלפים</t>
  </si>
  <si>
    <t>קשרים</t>
  </si>
  <si>
    <t>קערה</t>
  </si>
  <si>
    <t>קרעה</t>
  </si>
  <si>
    <t>קטלה</t>
  </si>
  <si>
    <t>קצפת</t>
  </si>
  <si>
    <t>קפצת</t>
  </si>
  <si>
    <t>קשרת</t>
  </si>
  <si>
    <t>קרשים</t>
  </si>
  <si>
    <t>קסמים</t>
  </si>
  <si>
    <t>רעבים</t>
  </si>
  <si>
    <t>רבעים</t>
  </si>
  <si>
    <t>רשעים</t>
  </si>
  <si>
    <t>רעשים</t>
  </si>
  <si>
    <t>רבדים</t>
  </si>
  <si>
    <t>תברחי</t>
  </si>
  <si>
    <t>תבחרי</t>
  </si>
  <si>
    <t>תבקשי</t>
  </si>
  <si>
    <t>תגנבו</t>
  </si>
  <si>
    <t>תנגבו</t>
  </si>
  <si>
    <t>תרעבו</t>
  </si>
  <si>
    <t>תופסת</t>
  </si>
  <si>
    <t>תוספת</t>
  </si>
  <si>
    <t>תוצרת</t>
  </si>
  <si>
    <t>תחלשו</t>
  </si>
  <si>
    <t>תלחשו</t>
  </si>
  <si>
    <t>תחמקו</t>
  </si>
  <si>
    <t>תמחקו</t>
  </si>
  <si>
    <t>תבדקו</t>
  </si>
  <si>
    <t>תסרקי</t>
  </si>
  <si>
    <t>תסקרי</t>
  </si>
  <si>
    <t>תסמני</t>
  </si>
  <si>
    <t>תעמלי</t>
  </si>
  <si>
    <t>תמעלי</t>
  </si>
  <si>
    <t>תגדלי</t>
  </si>
  <si>
    <t>תשרקו</t>
  </si>
  <si>
    <t>תשקרו</t>
  </si>
  <si>
    <t>תשלמו</t>
  </si>
  <si>
    <t>מבדרת</t>
  </si>
  <si>
    <t>מדברת</t>
  </si>
  <si>
    <t>מספרת</t>
  </si>
  <si>
    <t>false-font</t>
  </si>
  <si>
    <t>RW</t>
  </si>
  <si>
    <t>word-count - subtitle</t>
  </si>
  <si>
    <t>PW</t>
  </si>
  <si>
    <t>ችኅስር</t>
  </si>
  <si>
    <t>בסדר</t>
  </si>
  <si>
    <t>ድህቡጵህይ</t>
  </si>
  <si>
    <t>גינופיט</t>
  </si>
  <si>
    <t>ቡኡክር</t>
  </si>
  <si>
    <t>נולר</t>
  </si>
  <si>
    <t>ክቭሁኡ፣</t>
  </si>
  <si>
    <t>להיות</t>
  </si>
  <si>
    <t>ኣኡምህ</t>
  </si>
  <si>
    <t>שוצי</t>
  </si>
  <si>
    <t>ቹኡ፤</t>
  </si>
  <si>
    <t>בוף</t>
  </si>
  <si>
    <t>ጅሁኡኡክ፣</t>
  </si>
  <si>
    <t>חיוולת</t>
  </si>
  <si>
    <t>ዱኡንህክ</t>
  </si>
  <si>
    <t>גומיל</t>
  </si>
  <si>
    <t>ጉኡዝንብ፣</t>
  </si>
  <si>
    <t>עוזמת</t>
  </si>
  <si>
    <t>ኑኡዝ፤</t>
  </si>
  <si>
    <t>מוזף</t>
  </si>
  <si>
    <t>ኅብንር</t>
  </si>
  <si>
    <t>סנמר</t>
  </si>
  <si>
    <t>ቱኡንር</t>
  </si>
  <si>
    <t>אומר</t>
  </si>
  <si>
    <t>ትርፕ።</t>
  </si>
  <si>
    <t>ארפץ</t>
  </si>
  <si>
    <t>ምርህል</t>
  </si>
  <si>
    <t>צריך</t>
  </si>
  <si>
    <t>ኅህሙኡ</t>
  </si>
  <si>
    <t>סיצו</t>
  </si>
  <si>
    <t>ክዏኣኡ፣</t>
  </si>
  <si>
    <t>לעשות</t>
  </si>
  <si>
    <t>ኗኣአዝ</t>
  </si>
  <si>
    <t>משקז</t>
  </si>
  <si>
    <t>ምጅ፣ኡ</t>
  </si>
  <si>
    <t>צחתו</t>
  </si>
  <si>
    <t>ትቧኣሆኦ</t>
  </si>
  <si>
    <t>אנשים</t>
  </si>
  <si>
    <t>ኣሩኡፕክ</t>
  </si>
  <si>
    <t>שרופל</t>
  </si>
  <si>
    <t>ቹኡክል</t>
  </si>
  <si>
    <t>בולך</t>
  </si>
  <si>
    <t>ሩኡምቭ</t>
  </si>
  <si>
    <t>רוצה</t>
  </si>
  <si>
    <t>ዏኣንድ</t>
  </si>
  <si>
    <t>ישמג</t>
  </si>
  <si>
    <t>ኩኡንህዬአ</t>
  </si>
  <si>
    <t>לומיטר</t>
  </si>
  <si>
    <t>ጉኡአቭ</t>
  </si>
  <si>
    <t>עוקה</t>
  </si>
  <si>
    <t>ኣኩኡኦ</t>
  </si>
  <si>
    <t>שלום</t>
  </si>
  <si>
    <t>ኩኡርድ</t>
  </si>
  <si>
    <t>לורג</t>
  </si>
  <si>
    <t>ዙኡድር</t>
  </si>
  <si>
    <t>זוגר</t>
  </si>
  <si>
    <t>ትችክህጎኦ</t>
  </si>
  <si>
    <t>אבליעם</t>
  </si>
  <si>
    <t>ፉኡድስ፣</t>
  </si>
  <si>
    <t>כוגדת</t>
  </si>
  <si>
    <t>ሁኡስግ</t>
  </si>
  <si>
    <t>יודע</t>
  </si>
  <si>
    <t>ን፣አቿኣ</t>
  </si>
  <si>
    <t>מתקבש</t>
  </si>
  <si>
    <t>ክርቱኡ፣</t>
  </si>
  <si>
    <t>לראות</t>
  </si>
  <si>
    <t>ንጁኡድኅ</t>
  </si>
  <si>
    <t>מחוגס</t>
  </si>
  <si>
    <t>ብፉኡኢ</t>
  </si>
  <si>
    <t>נכון</t>
  </si>
  <si>
    <t>ክሙኡቺኢ</t>
  </si>
  <si>
    <t>לצובן</t>
  </si>
  <si>
    <t>ፗኣኡይ</t>
  </si>
  <si>
    <t>פשוט</t>
  </si>
  <si>
    <t>ቡኡቿኣ</t>
  </si>
  <si>
    <t>נובש</t>
  </si>
  <si>
    <t>ችሽሁኡአ</t>
  </si>
  <si>
    <t>בדיוק</t>
  </si>
  <si>
    <t>ምጅንር</t>
  </si>
  <si>
    <t>צחמר</t>
  </si>
  <si>
    <t>ጉኡኣቭ</t>
  </si>
  <si>
    <t>עושה</t>
  </si>
  <si>
    <t>ፑኡቷኣ</t>
  </si>
  <si>
    <t>פואש</t>
  </si>
  <si>
    <t>አኡሶኦ</t>
  </si>
  <si>
    <t>קוגם</t>
  </si>
  <si>
    <t>ህፉኡክቭ</t>
  </si>
  <si>
    <t>יכולה</t>
  </si>
  <si>
    <t>ፕምኗኣ</t>
  </si>
  <si>
    <t>פצנש</t>
  </si>
  <si>
    <t>ንዏኣቩኡ</t>
  </si>
  <si>
    <t>מישהו</t>
  </si>
  <si>
    <t>ጉኡድ።</t>
  </si>
  <si>
    <t>עוגץ</t>
  </si>
  <si>
    <t>ክስችር</t>
  </si>
  <si>
    <t>לדבר</t>
  </si>
  <si>
    <t>ግህችኩኡ</t>
  </si>
  <si>
    <t>עיבלו</t>
  </si>
  <si>
    <t>ጁኡኣች</t>
  </si>
  <si>
    <t>חושב</t>
  </si>
  <si>
    <t>ኑኡሽህች</t>
  </si>
  <si>
    <t>מודיב</t>
  </si>
  <si>
    <t>ቩኡክል</t>
  </si>
  <si>
    <t>הולך</t>
  </si>
  <si>
    <t>ጅኅህይክ</t>
  </si>
  <si>
    <t>חסיטל</t>
  </si>
  <si>
    <t>ምርህፍቭ</t>
  </si>
  <si>
    <t>צריכה</t>
  </si>
  <si>
    <t>ድህክች</t>
  </si>
  <si>
    <t>גילב</t>
  </si>
  <si>
    <t>ቱኡቭች</t>
  </si>
  <si>
    <t>אוהב</t>
  </si>
  <si>
    <t>ሁኡስግ፣</t>
  </si>
  <si>
    <t>יודעת</t>
  </si>
  <si>
    <t>ትኩኡቭሆኦ</t>
  </si>
  <si>
    <t>אלוהים</t>
  </si>
  <si>
    <t>አሽህንቭ</t>
  </si>
  <si>
    <t>קדימה</t>
  </si>
  <si>
    <t>ንምይግር</t>
  </si>
  <si>
    <t>מצטער</t>
  </si>
  <si>
    <t>base</t>
  </si>
  <si>
    <t>תפוז</t>
  </si>
  <si>
    <t>תפוח</t>
  </si>
  <si>
    <t>אגס</t>
  </si>
  <si>
    <t>תות</t>
  </si>
  <si>
    <t>מלון</t>
  </si>
  <si>
    <t>אבטיח</t>
  </si>
  <si>
    <t>בננה</t>
  </si>
  <si>
    <t>אפרסק</t>
  </si>
  <si>
    <t>שזיף</t>
  </si>
  <si>
    <t>שסק</t>
  </si>
  <si>
    <t>לימון</t>
  </si>
  <si>
    <t>עגבניה</t>
  </si>
  <si>
    <t>פלפל</t>
  </si>
  <si>
    <t>בטטה</t>
  </si>
  <si>
    <t>חסה</t>
  </si>
  <si>
    <t>קישוא</t>
  </si>
  <si>
    <t>סלק</t>
  </si>
  <si>
    <t>דלעת</t>
  </si>
  <si>
    <t>תירס</t>
  </si>
  <si>
    <t>אננס</t>
  </si>
  <si>
    <t>רימון</t>
  </si>
  <si>
    <t>תמר</t>
  </si>
  <si>
    <t>בצל</t>
  </si>
  <si>
    <t>אפונה</t>
  </si>
  <si>
    <t>שום</t>
  </si>
  <si>
    <t>אבוקדו</t>
  </si>
  <si>
    <t>תרד</t>
  </si>
  <si>
    <t>מנגו</t>
  </si>
  <si>
    <t>חציל</t>
  </si>
  <si>
    <t>גזר</t>
  </si>
  <si>
    <t>זית</t>
  </si>
  <si>
    <t>ענבים</t>
  </si>
  <si>
    <t>סלרי</t>
  </si>
  <si>
    <t>ענקית</t>
  </si>
  <si>
    <t>תפעול 2-3 3-4</t>
  </si>
  <si>
    <t>המון מהשורש הזה  חרק</t>
  </si>
  <si>
    <t>רצינו רק אותיות עיצור, לא אהוי</t>
  </si>
  <si>
    <t>לא ממש מילה בלי י</t>
  </si>
  <si>
    <t>עדיף בלי כפולות</t>
  </si>
  <si>
    <t>יש הרבה מילות פונקציה, בשונה מברשימות המילים - זה משנה לנו?</t>
  </si>
  <si>
    <t>לוודא שלא יווצר סיפור (צריך לעשות אותם אנשים)</t>
  </si>
  <si>
    <t xml:space="preserve"> 2013 אכפת לנו מבנה הברה? ראי טאפט</t>
  </si>
  <si>
    <t>חלקי מילה שיוצרים מילה קיימת - לשלוט בין טורים</t>
  </si>
  <si>
    <t>האם יכולים להקשות עלינו בגלל שויזואלית ז צרה יותר מכל השאר?</t>
  </si>
  <si>
    <t>אכפת לנו נדיד או לא במילות הביקורת? סימנתי נדידיות</t>
  </si>
  <si>
    <t>סירבתי בלי יוד בעייתי</t>
  </si>
  <si>
    <t>שורש פגום לא של שלוש אותיות עיצוריות</t>
  </si>
  <si>
    <t>לא ממש מילהעדיף שפטה שטפה שרקה)</t>
  </si>
  <si>
    <t>שפטה</t>
  </si>
  <si>
    <t>שטפה</t>
  </si>
  <si>
    <t>שרקה</t>
  </si>
  <si>
    <t>חמלנו</t>
  </si>
  <si>
    <t>ירגש</t>
  </si>
  <si>
    <t>לדבוק</t>
  </si>
  <si>
    <t>לשרוד</t>
  </si>
  <si>
    <t>מרפק</t>
  </si>
  <si>
    <t>מפרק</t>
  </si>
  <si>
    <t>נבחר</t>
  </si>
  <si>
    <t>נחבר</t>
  </si>
  <si>
    <t>יקלוט</t>
  </si>
  <si>
    <t>ילקוט</t>
  </si>
  <si>
    <t>זרמים</t>
  </si>
  <si>
    <t>זמרים</t>
  </si>
  <si>
    <t>משכיל</t>
  </si>
  <si>
    <t>מכשיל</t>
  </si>
  <si>
    <t>בשלים</t>
  </si>
  <si>
    <t>בלשים</t>
  </si>
  <si>
    <t>הגדרה</t>
  </si>
  <si>
    <t>העליב</t>
  </si>
  <si>
    <t>חולפת</t>
  </si>
  <si>
    <t>חתמנו</t>
  </si>
  <si>
    <t>יצחקו</t>
  </si>
  <si>
    <t>יבקש</t>
  </si>
  <si>
    <t>ישכחו</t>
  </si>
  <si>
    <t>חטפנו</t>
  </si>
  <si>
    <t>יחפש</t>
  </si>
  <si>
    <t>לסרוק</t>
  </si>
  <si>
    <t>לזרוק</t>
  </si>
  <si>
    <t>מדבקה</t>
  </si>
  <si>
    <t>פסקה</t>
  </si>
  <si>
    <t>קברים</t>
  </si>
  <si>
    <t>רמזים</t>
  </si>
  <si>
    <t>תפגשו</t>
  </si>
  <si>
    <t>מחלק</t>
  </si>
  <si>
    <t>נגמר</t>
  </si>
  <si>
    <t>יצבוט</t>
  </si>
  <si>
    <t>זקנים</t>
  </si>
  <si>
    <t>מפעיל</t>
  </si>
  <si>
    <t>בחנים</t>
  </si>
  <si>
    <t>חולקת</t>
  </si>
  <si>
    <t>חשפן</t>
  </si>
  <si>
    <t>מעשנת</t>
  </si>
  <si>
    <t>משענת</t>
  </si>
  <si>
    <t>מטגנת</t>
  </si>
  <si>
    <t>החזיק</t>
  </si>
  <si>
    <t>מחסן</t>
  </si>
  <si>
    <t>בלמים</t>
  </si>
  <si>
    <t>אוכל</t>
  </si>
  <si>
    <t>מותק</t>
  </si>
  <si>
    <t>מספיק</t>
  </si>
  <si>
    <t>מקום</t>
  </si>
  <si>
    <t>מתכוון</t>
  </si>
  <si>
    <t>עבודה</t>
  </si>
  <si>
    <t>קסגים</t>
  </si>
  <si>
    <t>አኅድሆኦ</t>
  </si>
  <si>
    <t>בחור</t>
  </si>
  <si>
    <t>בעיה</t>
  </si>
  <si>
    <t>אכפת</t>
  </si>
  <si>
    <t>ግኁኡስቭ</t>
  </si>
  <si>
    <t>ቱኡድክ</t>
  </si>
  <si>
    <t>ኑኡ፣አ</t>
  </si>
  <si>
    <t>ንኅጵሄአ</t>
  </si>
  <si>
    <t>ኔአኡኦ</t>
  </si>
  <si>
    <t>ን፣ፉኡኡኢ</t>
  </si>
  <si>
    <t>ችጁኡር</t>
  </si>
  <si>
    <t>ችግህቭ</t>
  </si>
  <si>
    <t>ትፍፕ፣</t>
  </si>
  <si>
    <t>לשמוע</t>
  </si>
  <si>
    <t>ראשון</t>
  </si>
  <si>
    <t>ሏኣኑኡግ</t>
  </si>
  <si>
    <t>ርቷኣኡኢ</t>
  </si>
  <si>
    <t>סבדח</t>
  </si>
  <si>
    <t>קבצס</t>
  </si>
  <si>
    <t>עבקר</t>
  </si>
  <si>
    <t>דבגש</t>
  </si>
  <si>
    <t>סדבח</t>
  </si>
  <si>
    <t>קצבס</t>
  </si>
  <si>
    <t>עקבר</t>
  </si>
  <si>
    <t>דגבש</t>
  </si>
  <si>
    <t>זצבר</t>
  </si>
  <si>
    <t>זבצר</t>
  </si>
  <si>
    <t>פקבט</t>
  </si>
  <si>
    <t>פבקט</t>
  </si>
  <si>
    <t>רתבק</t>
  </si>
  <si>
    <t>רבתק</t>
  </si>
  <si>
    <t>זנבל</t>
  </si>
  <si>
    <t>זבנל</t>
  </si>
  <si>
    <t>רנבל</t>
  </si>
  <si>
    <t>רבנל</t>
  </si>
  <si>
    <t>טלבע</t>
  </si>
  <si>
    <t>טבלע</t>
  </si>
  <si>
    <t>חרבז</t>
  </si>
  <si>
    <t>חברז</t>
  </si>
  <si>
    <t>זקבר</t>
  </si>
  <si>
    <t>זבקר</t>
  </si>
  <si>
    <t>קפבל</t>
  </si>
  <si>
    <t>קבפל</t>
  </si>
  <si>
    <t>סנבש</t>
  </si>
  <si>
    <t>סבנש</t>
  </si>
  <si>
    <t>גשבר</t>
  </si>
  <si>
    <t>גבשר</t>
  </si>
  <si>
    <t>פסבח</t>
  </si>
  <si>
    <t>פבסח</t>
  </si>
  <si>
    <t>סמבג</t>
  </si>
  <si>
    <t>סבמג</t>
  </si>
  <si>
    <t>ז</t>
  </si>
  <si>
    <t>גחבק</t>
  </si>
  <si>
    <t>גבחק</t>
  </si>
  <si>
    <t>גמבע</t>
  </si>
  <si>
    <t>גבמע</t>
  </si>
  <si>
    <t>גחבע</t>
  </si>
  <si>
    <t>גבחע</t>
  </si>
  <si>
    <t>טשבק</t>
  </si>
  <si>
    <t>טבשק</t>
  </si>
  <si>
    <t>צתבס</t>
  </si>
  <si>
    <t>צבתס</t>
  </si>
  <si>
    <t>צדבג</t>
  </si>
  <si>
    <t>צבדג</t>
  </si>
  <si>
    <t>טרבש</t>
  </si>
  <si>
    <t>טברש</t>
  </si>
  <si>
    <t>טמבע</t>
  </si>
  <si>
    <t>טבמע</t>
  </si>
  <si>
    <t>דפבז</t>
  </si>
  <si>
    <t>דבפז</t>
  </si>
  <si>
    <t>קגבע</t>
  </si>
  <si>
    <t>קבגע</t>
  </si>
  <si>
    <t>עחבש</t>
  </si>
  <si>
    <t>עבחש</t>
  </si>
  <si>
    <t>רטבס</t>
  </si>
  <si>
    <t>רבטס</t>
  </si>
  <si>
    <t>טפבד</t>
  </si>
  <si>
    <t>טבפד</t>
  </si>
  <si>
    <t>גחבס</t>
  </si>
  <si>
    <t>גבחס</t>
  </si>
  <si>
    <t>קסבז</t>
  </si>
  <si>
    <t>קבסז</t>
  </si>
  <si>
    <t>טנבג</t>
  </si>
  <si>
    <t>טבנג</t>
  </si>
  <si>
    <t>חקבל</t>
  </si>
  <si>
    <t>חבקל</t>
  </si>
  <si>
    <t>טלבס</t>
  </si>
  <si>
    <t>טבלס</t>
  </si>
  <si>
    <t>קשבס</t>
  </si>
  <si>
    <t>קבשס</t>
  </si>
  <si>
    <t>צעבר</t>
  </si>
  <si>
    <t>צבער</t>
  </si>
  <si>
    <t>דסבר</t>
  </si>
  <si>
    <t>דבסר</t>
  </si>
  <si>
    <t>רעבז</t>
  </si>
  <si>
    <t>רבעז</t>
  </si>
  <si>
    <t>קטבח</t>
  </si>
  <si>
    <t>קבטח</t>
  </si>
  <si>
    <t>פצבס</t>
  </si>
  <si>
    <t>פבצס</t>
  </si>
  <si>
    <t>חמבד</t>
  </si>
  <si>
    <t>חבמד</t>
  </si>
  <si>
    <t>טדבג</t>
  </si>
  <si>
    <t>טבדג</t>
  </si>
  <si>
    <t>ספבד</t>
  </si>
  <si>
    <t>סבפד</t>
  </si>
  <si>
    <t>עמבט</t>
  </si>
  <si>
    <t>עבמט</t>
  </si>
  <si>
    <t>חזבס</t>
  </si>
  <si>
    <t>חבזס</t>
  </si>
  <si>
    <t>צרבע</t>
  </si>
  <si>
    <t>צברע</t>
  </si>
  <si>
    <t>טתבח</t>
  </si>
  <si>
    <t>טבתח</t>
  </si>
  <si>
    <t>עלבג</t>
  </si>
  <si>
    <t>עבלג</t>
  </si>
  <si>
    <t>קכבד</t>
  </si>
  <si>
    <t>קבכד</t>
  </si>
  <si>
    <t>סתבר</t>
  </si>
  <si>
    <t>סבתר</t>
  </si>
  <si>
    <t>סדבק</t>
  </si>
  <si>
    <t>סבדק</t>
  </si>
  <si>
    <t>גסבד</t>
  </si>
  <si>
    <t>גבסד</t>
  </si>
  <si>
    <t>עזבש</t>
  </si>
  <si>
    <t>עבזש</t>
  </si>
  <si>
    <t>טעבק</t>
  </si>
  <si>
    <t>טבעק</t>
  </si>
  <si>
    <t>דתבל</t>
  </si>
  <si>
    <t>דבתל</t>
  </si>
  <si>
    <t>רתבע</t>
  </si>
  <si>
    <t>רבתע</t>
  </si>
  <si>
    <t>קגבט</t>
  </si>
  <si>
    <t>קבגט</t>
  </si>
  <si>
    <t>ענבח</t>
  </si>
  <si>
    <t>עבנח</t>
  </si>
  <si>
    <t>גפבס</t>
  </si>
  <si>
    <t>גבפס</t>
  </si>
  <si>
    <t>טזבל</t>
  </si>
  <si>
    <t>טבזל</t>
  </si>
  <si>
    <t>פחבז</t>
  </si>
  <si>
    <t>פבחז</t>
  </si>
  <si>
    <t>קתבש</t>
  </si>
  <si>
    <t>קבתש</t>
  </si>
  <si>
    <t>זסבע</t>
  </si>
  <si>
    <t>זבסע</t>
  </si>
  <si>
    <t>עשבז</t>
  </si>
  <si>
    <t>עבשז</t>
  </si>
  <si>
    <t>קפבע</t>
  </si>
  <si>
    <t>קבפע</t>
  </si>
  <si>
    <t>דסבח</t>
  </si>
  <si>
    <t>דבסח</t>
  </si>
  <si>
    <t>גנבח</t>
  </si>
  <si>
    <t>גבנח</t>
  </si>
  <si>
    <t>זפבג</t>
  </si>
  <si>
    <t>זבפג</t>
  </si>
  <si>
    <t>חלבק</t>
  </si>
  <si>
    <t>חבלק</t>
  </si>
  <si>
    <t>גרבז</t>
  </si>
  <si>
    <t>גברז</t>
  </si>
  <si>
    <t>צלבש</t>
  </si>
  <si>
    <t>צבלש</t>
  </si>
  <si>
    <t>עצבל</t>
  </si>
  <si>
    <t>עבצל</t>
  </si>
  <si>
    <t>צטבג</t>
  </si>
  <si>
    <t>צבטג</t>
  </si>
  <si>
    <t>טצבס</t>
  </si>
  <si>
    <t>טבצס</t>
  </si>
  <si>
    <t>עגבל</t>
  </si>
  <si>
    <t>עבגל</t>
  </si>
  <si>
    <t>קדבח</t>
  </si>
  <si>
    <t>קבדח</t>
  </si>
  <si>
    <t>דנבט</t>
  </si>
  <si>
    <t>דבנט</t>
  </si>
  <si>
    <t>סשבל</t>
  </si>
  <si>
    <t>סבשל</t>
  </si>
  <si>
    <t>פכבק</t>
  </si>
  <si>
    <t>פבכק</t>
  </si>
  <si>
    <t>זקבח</t>
  </si>
  <si>
    <t>זבקח</t>
  </si>
  <si>
    <t>חשבע</t>
  </si>
  <si>
    <t>חבשע</t>
  </si>
  <si>
    <t>פעבס</t>
  </si>
  <si>
    <t>פבעס</t>
  </si>
  <si>
    <t>דרבס</t>
  </si>
  <si>
    <t>דברס</t>
  </si>
  <si>
    <t>זתבל</t>
  </si>
  <si>
    <t>זבתל</t>
  </si>
  <si>
    <t>עסבט</t>
  </si>
  <si>
    <t>עבסט</t>
  </si>
  <si>
    <t>פלבז</t>
  </si>
  <si>
    <t>פבלז</t>
  </si>
  <si>
    <t>חכבד</t>
  </si>
  <si>
    <t>חבכד</t>
  </si>
  <si>
    <t>רטבג</t>
  </si>
  <si>
    <t>רבטג</t>
  </si>
  <si>
    <t>חתבט</t>
  </si>
  <si>
    <t>חבתט</t>
  </si>
  <si>
    <t>צנבז</t>
  </si>
  <si>
    <t>צבנז</t>
  </si>
  <si>
    <t>גתבק</t>
  </si>
  <si>
    <t>גבתק</t>
  </si>
  <si>
    <t>עטבס</t>
  </si>
  <si>
    <t>עבטס</t>
  </si>
  <si>
    <t>דזבט</t>
  </si>
  <si>
    <t>דבזט</t>
  </si>
  <si>
    <t>זדבע</t>
  </si>
  <si>
    <t>זבדע</t>
  </si>
  <si>
    <t>סעבז</t>
  </si>
  <si>
    <t>סבעז</t>
  </si>
  <si>
    <t>צקבד</t>
  </si>
  <si>
    <t>צבקד</t>
  </si>
  <si>
    <t>רשבח</t>
  </si>
  <si>
    <t>רבשח</t>
  </si>
  <si>
    <t>סטבר</t>
  </si>
  <si>
    <t>סבטר</t>
  </si>
  <si>
    <t>פכבש</t>
  </si>
  <si>
    <t>פבכש</t>
  </si>
  <si>
    <t>רמבס</t>
  </si>
  <si>
    <t>רבמס</t>
  </si>
  <si>
    <t>דלבר</t>
  </si>
  <si>
    <t>דבלר</t>
  </si>
  <si>
    <t>צעבט</t>
  </si>
  <si>
    <t>צבעט</t>
  </si>
  <si>
    <t>טכבז</t>
  </si>
  <si>
    <t>טבכז</t>
  </si>
  <si>
    <t>קתבר</t>
  </si>
  <si>
    <t>קבתר</t>
  </si>
  <si>
    <t>גדבט</t>
  </si>
  <si>
    <t>גבדט</t>
  </si>
  <si>
    <t>דמבש</t>
  </si>
  <si>
    <t>דבמש</t>
  </si>
  <si>
    <t>סגבל</t>
  </si>
  <si>
    <t>סבגל</t>
  </si>
  <si>
    <t>זכבג</t>
  </si>
  <si>
    <t>זבכג</t>
  </si>
  <si>
    <t>סצבע</t>
  </si>
  <si>
    <t>סבצע</t>
  </si>
  <si>
    <t>זטבד</t>
  </si>
  <si>
    <t>זבטד</t>
  </si>
  <si>
    <t>רשבג</t>
  </si>
  <si>
    <t>רבשג</t>
  </si>
  <si>
    <t>זמבד</t>
  </si>
  <si>
    <t>זבמד</t>
  </si>
  <si>
    <t>גמבק</t>
  </si>
  <si>
    <t>גבמק</t>
  </si>
  <si>
    <t>סזבש</t>
  </si>
  <si>
    <t>סבזש</t>
  </si>
  <si>
    <t>דכבע</t>
  </si>
  <si>
    <t>דבכע</t>
  </si>
  <si>
    <t>עפבר</t>
  </si>
  <si>
    <t>עבפר</t>
  </si>
  <si>
    <t>זסבק</t>
  </si>
  <si>
    <t>זבסק</t>
  </si>
  <si>
    <t>צכבש</t>
  </si>
  <si>
    <t>צבכש</t>
  </si>
  <si>
    <t>ספבל</t>
  </si>
  <si>
    <t>סבפל</t>
  </si>
  <si>
    <t>רדבק</t>
  </si>
  <si>
    <t>רבדק</t>
  </si>
  <si>
    <t>זחבט</t>
  </si>
  <si>
    <t>זבחט</t>
  </si>
  <si>
    <t>סקבע</t>
  </si>
  <si>
    <t>סבקע</t>
  </si>
  <si>
    <t>פנבר</t>
  </si>
  <si>
    <t>פבנר</t>
  </si>
  <si>
    <t>גצבד</t>
  </si>
  <si>
    <t>גבצד</t>
  </si>
  <si>
    <t>רלבח</t>
  </si>
  <si>
    <t>רבלח</t>
  </si>
  <si>
    <t>דצבק</t>
  </si>
  <si>
    <t>דבצק</t>
  </si>
  <si>
    <t>טכבר</t>
  </si>
  <si>
    <t>טבכר</t>
  </si>
  <si>
    <t>צטבז</t>
  </si>
  <si>
    <t>צבטז</t>
  </si>
  <si>
    <t>צחבז</t>
  </si>
  <si>
    <t>צבחז</t>
  </si>
  <si>
    <t>חרבג</t>
  </si>
  <si>
    <t>חברג</t>
  </si>
  <si>
    <t>עדבש</t>
  </si>
  <si>
    <t>עבדש</t>
  </si>
  <si>
    <t>רלבד</t>
  </si>
  <si>
    <t>רבלד</t>
  </si>
  <si>
    <t>גנבש</t>
  </si>
  <si>
    <t>גבנש</t>
  </si>
  <si>
    <t>פגבט</t>
  </si>
  <si>
    <t>פבגט</t>
  </si>
  <si>
    <t>צתבד</t>
  </si>
  <si>
    <t>צבתד</t>
  </si>
  <si>
    <t>רחבג</t>
  </si>
  <si>
    <t>רבחג</t>
  </si>
  <si>
    <t>קזבש</t>
  </si>
  <si>
    <t>קבזש</t>
  </si>
  <si>
    <t>פשבע</t>
  </si>
  <si>
    <t>פבשע</t>
  </si>
  <si>
    <t>חצבל</t>
  </si>
  <si>
    <t>חבצל</t>
  </si>
  <si>
    <t>צזבח</t>
  </si>
  <si>
    <t>צבזח</t>
  </si>
  <si>
    <t>זרבק</t>
  </si>
  <si>
    <t>זברק</t>
  </si>
  <si>
    <t>טמבח</t>
  </si>
  <si>
    <t>טבמח</t>
  </si>
  <si>
    <t>חסבט</t>
  </si>
  <si>
    <t>חבסט</t>
  </si>
  <si>
    <t>רכבס</t>
  </si>
  <si>
    <t>רבכס</t>
  </si>
  <si>
    <t>פרבט</t>
  </si>
  <si>
    <t>פברט</t>
  </si>
  <si>
    <t>צגבר</t>
  </si>
  <si>
    <t>צבגר</t>
  </si>
  <si>
    <t>חמבג</t>
  </si>
  <si>
    <t>חבמג</t>
  </si>
  <si>
    <t>דנבז</t>
  </si>
  <si>
    <t>דבנז</t>
  </si>
  <si>
    <t>עצבח</t>
  </si>
  <si>
    <t>עבצח</t>
  </si>
  <si>
    <t>חעבד</t>
  </si>
  <si>
    <t>חבעד</t>
  </si>
  <si>
    <t>עקבג</t>
  </si>
  <si>
    <t>עבקג</t>
  </si>
  <si>
    <t>זעבג</t>
  </si>
  <si>
    <t>זבעג</t>
  </si>
  <si>
    <t>קמבז</t>
  </si>
  <si>
    <t>קבמז</t>
  </si>
  <si>
    <t>פנבק</t>
  </si>
  <si>
    <t>פבנק</t>
  </si>
  <si>
    <t>סגבט</t>
  </si>
  <si>
    <t>סבגט</t>
  </si>
  <si>
    <t>רכבל</t>
  </si>
  <si>
    <t>רבכל</t>
  </si>
  <si>
    <t>דלבק</t>
  </si>
  <si>
    <t>דבלק</t>
  </si>
  <si>
    <t>חפבד</t>
  </si>
  <si>
    <t>חבפד</t>
  </si>
  <si>
    <t>פחבש</t>
  </si>
  <si>
    <t>פבחש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</si>
</sst>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0"/>
      <name val="Tahoma"/>
      <family val="2"/>
    </font>
    <font>
      <sz val="10"/>
      <name val="Arial"/>
      <family val="2"/>
      <charset val="1"/>
    </font>
    <font>
      <sz val="11"/>
      <color indexed="8"/>
      <name val="Calibri"/>
      <family val="2"/>
      <charset val="1"/>
    </font>
    <font>
      <sz val="11"/>
      <color indexed="8"/>
      <name val="Tahoma"/>
      <family val="2"/>
    </font>
    <font>
      <sz val="11"/>
      <color indexed="8"/>
      <name val="Courier New"/>
      <family val="3"/>
      <charset val="1"/>
    </font>
    <font>
      <b/>
      <sz val="11"/>
      <color indexed="9"/>
      <name val="Calibri"/>
      <family val="2"/>
    </font>
    <font>
      <sz val="11"/>
      <color indexed="8"/>
      <name val="Abyssinica SIL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Tahoma"/>
      <family val="2"/>
    </font>
    <font>
      <sz val="10"/>
      <name val="Tahoma"/>
      <family val="2"/>
    </font>
    <font>
      <sz val="10"/>
      <name val="Arial"/>
      <family val="2"/>
    </font>
    <font>
      <sz val="11"/>
      <name val="Tahoma"/>
      <family val="2"/>
    </font>
    <font>
      <sz val="11"/>
      <color rgb="FFC00000"/>
      <name val="Tahoma"/>
      <family val="2"/>
    </font>
    <font>
      <sz val="10"/>
      <color rgb="FFC00000"/>
      <name val="Tahoma"/>
      <family val="2"/>
    </font>
    <font>
      <sz val="10"/>
      <name val="Arial"/>
      <family val="2"/>
    </font>
    <font>
      <sz val="11"/>
      <color rgb="FF9C0006"/>
      <name val="Tahoma"/>
      <family val="2"/>
    </font>
    <font>
      <sz val="11"/>
      <color rgb="FF006100"/>
      <name val="Tahoma"/>
      <family val="2"/>
    </font>
    <font>
      <sz val="11"/>
      <color rgb="FF9C6500"/>
      <name val="Tahoma"/>
      <family val="2"/>
    </font>
    <font>
      <sz val="11"/>
      <color rgb="FF3F3F76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medium">
        <color indexed="8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8"/>
      </left>
      <right style="thin">
        <color theme="0"/>
      </right>
      <top style="medium">
        <color indexed="8"/>
      </top>
      <bottom/>
      <diagonal/>
    </border>
    <border>
      <left/>
      <right style="thin">
        <color theme="0"/>
      </right>
      <top style="medium">
        <color indexed="8"/>
      </top>
      <bottom/>
      <diagonal/>
    </border>
    <border>
      <left style="thin">
        <color theme="0"/>
      </left>
      <right style="thin">
        <color theme="0"/>
      </right>
      <top style="medium">
        <color indexed="8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8">
    <xf numFmtId="0" fontId="0" fillId="0" borderId="0"/>
    <xf numFmtId="0" fontId="8" fillId="4" borderId="0" applyNumberFormat="0" applyBorder="0" applyAlignment="0" applyProtection="0"/>
    <xf numFmtId="0" fontId="11" fillId="7" borderId="2" applyNumberFormat="0" applyAlignment="0" applyProtection="0"/>
    <xf numFmtId="0" fontId="2" fillId="0" borderId="0"/>
    <xf numFmtId="0" fontId="7" fillId="3" borderId="0" applyNumberFormat="0" applyBorder="0" applyAlignment="0" applyProtection="0"/>
    <xf numFmtId="0" fontId="10" fillId="6" borderId="2" applyNumberFormat="0" applyAlignment="0" applyProtection="0"/>
    <xf numFmtId="0" fontId="9" fillId="5" borderId="0" applyNumberFormat="0" applyBorder="0" applyAlignment="0" applyProtection="0"/>
    <xf numFmtId="0" fontId="1" fillId="0" borderId="0"/>
  </cellStyleXfs>
  <cellXfs count="41">
    <xf numFmtId="0" fontId="0" fillId="0" borderId="0" xfId="0"/>
    <xf numFmtId="0" fontId="3" fillId="0" borderId="0" xfId="3" applyFont="1"/>
    <xf numFmtId="0" fontId="4" fillId="0" borderId="0" xfId="3" applyFont="1"/>
    <xf numFmtId="0" fontId="5" fillId="2" borderId="0" xfId="3" applyFont="1" applyFill="1"/>
    <xf numFmtId="0" fontId="6" fillId="0" borderId="0" xfId="3" applyFont="1"/>
    <xf numFmtId="0" fontId="2" fillId="0" borderId="0" xfId="3" applyFont="1"/>
    <xf numFmtId="0" fontId="11" fillId="7" borderId="2" xfId="2"/>
    <xf numFmtId="0" fontId="14" fillId="0" borderId="0" xfId="0" applyFont="1" applyFill="1" applyBorder="1" applyAlignment="1" applyProtection="1">
      <alignment horizontal="left" readingOrder="2"/>
    </xf>
    <xf numFmtId="0" fontId="15" fillId="0" borderId="0" xfId="3" applyFont="1"/>
    <xf numFmtId="0" fontId="16" fillId="0" borderId="0" xfId="3" applyFont="1"/>
    <xf numFmtId="0" fontId="18" fillId="0" borderId="0" xfId="0" applyFont="1" applyFill="1" applyBorder="1" applyAlignment="1" applyProtection="1">
      <alignment horizontal="left" readingOrder="2"/>
    </xf>
    <xf numFmtId="0" fontId="12" fillId="10" borderId="3" xfId="3" applyFont="1" applyFill="1" applyBorder="1" applyAlignment="1">
      <alignment horizontal="right"/>
    </xf>
    <xf numFmtId="0" fontId="12" fillId="10" borderId="5" xfId="3" applyFont="1" applyFill="1" applyBorder="1" applyAlignment="1">
      <alignment horizontal="right"/>
    </xf>
    <xf numFmtId="0" fontId="12" fillId="10" borderId="4" xfId="3" applyFont="1" applyFill="1" applyBorder="1" applyAlignment="1">
      <alignment horizontal="right"/>
    </xf>
    <xf numFmtId="0" fontId="12" fillId="10" borderId="8" xfId="3" applyFont="1" applyFill="1" applyBorder="1" applyAlignment="1">
      <alignment horizontal="right"/>
    </xf>
    <xf numFmtId="0" fontId="12" fillId="10" borderId="6" xfId="3" applyFont="1" applyFill="1" applyBorder="1" applyAlignment="1">
      <alignment horizontal="right"/>
    </xf>
    <xf numFmtId="0" fontId="12" fillId="10" borderId="0" xfId="3" applyFont="1" applyFill="1" applyBorder="1" applyAlignment="1">
      <alignment horizontal="right"/>
    </xf>
    <xf numFmtId="0" fontId="12" fillId="10" borderId="7" xfId="3" applyFont="1" applyFill="1" applyBorder="1" applyAlignment="1">
      <alignment horizontal="right"/>
    </xf>
    <xf numFmtId="0" fontId="3" fillId="0" borderId="1" xfId="3" applyFont="1" applyBorder="1" applyAlignment="1">
      <alignment horizontal="right"/>
    </xf>
    <xf numFmtId="0" fontId="13" fillId="0" borderId="0" xfId="0" applyFont="1" applyBorder="1" applyAlignment="1">
      <alignment horizontal="right"/>
    </xf>
    <xf numFmtId="0" fontId="3" fillId="0" borderId="0" xfId="3" applyFont="1" applyBorder="1" applyAlignment="1">
      <alignment horizontal="right"/>
    </xf>
    <xf numFmtId="0" fontId="3" fillId="0" borderId="0" xfId="3" applyFont="1" applyAlignment="1">
      <alignment horizontal="right"/>
    </xf>
    <xf numFmtId="0" fontId="19" fillId="4" borderId="0" xfId="1" applyFont="1" applyAlignment="1">
      <alignment horizontal="right"/>
    </xf>
    <xf numFmtId="0" fontId="16" fillId="0" borderId="0" xfId="3" applyFont="1" applyFill="1" applyBorder="1" applyAlignment="1">
      <alignment horizontal="right"/>
    </xf>
    <xf numFmtId="0" fontId="16" fillId="0" borderId="0" xfId="1" applyFont="1" applyFill="1" applyBorder="1" applyAlignment="1">
      <alignment horizontal="right"/>
    </xf>
    <xf numFmtId="0" fontId="20" fillId="3" borderId="0" xfId="4" applyFont="1" applyAlignment="1">
      <alignment horizontal="right"/>
    </xf>
    <xf numFmtId="0" fontId="3" fillId="8" borderId="0" xfId="3" applyFont="1" applyFill="1" applyAlignment="1">
      <alignment horizontal="right"/>
    </xf>
    <xf numFmtId="0" fontId="3" fillId="9" borderId="0" xfId="3" applyFont="1" applyFill="1" applyAlignment="1">
      <alignment horizontal="right"/>
    </xf>
    <xf numFmtId="0" fontId="16" fillId="0" borderId="0" xfId="3" applyFont="1" applyBorder="1" applyAlignment="1">
      <alignment horizontal="right"/>
    </xf>
    <xf numFmtId="0" fontId="21" fillId="5" borderId="0" xfId="6" applyFont="1" applyAlignment="1">
      <alignment horizontal="right"/>
    </xf>
    <xf numFmtId="0" fontId="16" fillId="0" borderId="0" xfId="5" applyFont="1" applyFill="1" applyBorder="1" applyAlignment="1">
      <alignment horizontal="right"/>
    </xf>
    <xf numFmtId="0" fontId="22" fillId="6" borderId="2" xfId="5" applyFont="1" applyAlignment="1">
      <alignment horizontal="right"/>
    </xf>
    <xf numFmtId="0" fontId="16" fillId="0" borderId="1" xfId="4" applyFont="1" applyFill="1" applyBorder="1" applyAlignment="1">
      <alignment horizontal="right"/>
    </xf>
    <xf numFmtId="0" fontId="16" fillId="0" borderId="0" xfId="4" applyFont="1" applyFill="1" applyBorder="1" applyAlignment="1">
      <alignment horizontal="right"/>
    </xf>
    <xf numFmtId="0" fontId="13" fillId="0" borderId="0" xfId="0" applyFont="1" applyAlignment="1">
      <alignment horizontal="right"/>
    </xf>
    <xf numFmtId="0" fontId="16" fillId="0" borderId="0" xfId="3" applyFont="1" applyAlignment="1">
      <alignment horizontal="right"/>
    </xf>
    <xf numFmtId="0" fontId="16" fillId="0" borderId="0" xfId="7" applyFont="1" applyBorder="1" applyAlignment="1">
      <alignment horizontal="right" wrapText="1" readingOrder="2"/>
    </xf>
    <xf numFmtId="0" fontId="17" fillId="0" borderId="0" xfId="0" applyFont="1" applyAlignment="1">
      <alignment horizontal="right"/>
    </xf>
    <xf numFmtId="0" fontId="16" fillId="0" borderId="1" xfId="3" applyFont="1" applyFill="1" applyBorder="1" applyAlignment="1">
      <alignment horizontal="right"/>
    </xf>
    <xf numFmtId="0" fontId="11" fillId="7" borderId="2" xfId="2" applyBorder="1"/>
    <xf numFmtId="0" fontId="3" fillId="0" borderId="0" xfId="3" applyFont="1" applyBorder="1"/>
  </cellXfs>
  <cellStyles count="8">
    <cellStyle name="Bad" xfId="1" builtinId="27"/>
    <cellStyle name="Calculation" xfId="2" builtinId="22"/>
    <cellStyle name="Excel Built-in Normal" xfId="3"/>
    <cellStyle name="Good" xfId="4" builtinId="26"/>
    <cellStyle name="Input" xfId="5" builtinId="20"/>
    <cellStyle name="Neutral" xfId="6" builtinId="28"/>
    <cellStyle name="Normal" xfId="0" builtinId="0"/>
    <cellStyle name="Normal 23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B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763"/>
  <sheetViews>
    <sheetView tabSelected="1" zoomScale="85" zoomScaleNormal="85" workbookViewId="0">
      <selection activeCell="R19" sqref="R19"/>
    </sheetView>
  </sheetViews>
  <sheetFormatPr defaultColWidth="8.88671875" defaultRowHeight="13.8" x14ac:dyDescent="0.25"/>
  <cols>
    <col min="1" max="1" width="8.88671875" style="1"/>
    <col min="2" max="2" width="10.77734375" style="1" customWidth="1"/>
    <col min="3" max="6" width="10.77734375" style="1" hidden="1" customWidth="1"/>
    <col min="7" max="7" width="8.77734375" style="1" hidden="1" customWidth="1"/>
    <col min="8" max="8" width="10.77734375" style="1" hidden="1" customWidth="1"/>
    <col min="9" max="9" width="2.44140625" style="1" hidden="1" customWidth="1"/>
    <col min="10" max="11" width="2.6640625" style="1" hidden="1" customWidth="1"/>
    <col min="12" max="14" width="3.21875" style="1" hidden="1" customWidth="1"/>
    <col min="15" max="18" width="8.88671875" style="1"/>
    <col min="19" max="19" width="31.109375" style="1" bestFit="1" customWidth="1"/>
    <col min="20" max="21" width="8.88671875" style="1"/>
    <col min="22" max="38" width="5.109375" style="1" customWidth="1"/>
    <col min="39" max="16384" width="8.88671875" style="1"/>
  </cols>
  <sheetData>
    <row r="1" spans="1:28" ht="14.4" x14ac:dyDescent="0.3">
      <c r="A1" t="s">
        <v>735</v>
      </c>
      <c r="B1" t="s">
        <v>736</v>
      </c>
      <c r="C1" s="1" t="str">
        <f>MID(A1,1,2)</f>
        <v>גד</v>
      </c>
      <c r="D1" s="1" t="str">
        <f>MID(B1,3,2)</f>
        <v>דט</v>
      </c>
      <c r="E1" s="1" t="str">
        <f>CONCATENATE(I1,K1)</f>
        <v>גט</v>
      </c>
      <c r="F1" s="1">
        <f>VLOOKUP(I1,$U$23:$AL$40,MATCH(J1,$U$23:$AL$23,0),FALSE)</f>
        <v>3</v>
      </c>
      <c r="G1" s="1">
        <f>VLOOKUP(J1,$U$23:$AL$40,MATCH(K1,$U$23:$AL$23,0),FALSE)</f>
        <v>3</v>
      </c>
      <c r="H1" s="1">
        <f>VLOOKUP(I1,$U$23:$AL$40,MATCH(K1,$U$23:$AL$23,0),FALSE)</f>
        <v>4</v>
      </c>
      <c r="I1" s="1" t="str">
        <f>MID(A1,1,1)</f>
        <v>ג</v>
      </c>
      <c r="J1" s="1" t="str">
        <f>MID(A1,2,1)</f>
        <v>ד</v>
      </c>
      <c r="K1" s="1" t="str">
        <f>MID(A1,4,1)</f>
        <v>ט</v>
      </c>
      <c r="L1" s="1">
        <f>VLOOKUP(I1,$U:$V,2,0)</f>
        <v>14</v>
      </c>
      <c r="M1" s="1">
        <f>VLOOKUP(J1,$X:$Y,2,0)</f>
        <v>9</v>
      </c>
      <c r="N1" s="1">
        <f>VLOOKUP(K1,$AA:$AB,2,0)</f>
        <v>14</v>
      </c>
      <c r="O1" s="1">
        <f>IF(A1&lt;&gt;"",N1+M1+L1+F1+G1+H1,0)</f>
        <v>47</v>
      </c>
      <c r="Q1" s="1">
        <v>1</v>
      </c>
      <c r="R1" s="1">
        <v>1</v>
      </c>
      <c r="S1" s="39" t="s">
        <v>446</v>
      </c>
      <c r="U1" s="1" t="s">
        <v>0</v>
      </c>
      <c r="V1" s="1">
        <f>COUNTIF($A:$A,U1&amp;"*")</f>
        <v>14</v>
      </c>
      <c r="X1" s="1" t="s">
        <v>0</v>
      </c>
      <c r="Y1" s="1">
        <f>COUNTIF($A:$A,"?*"&amp;X1&amp;"?*")</f>
        <v>8</v>
      </c>
      <c r="AA1" s="1" t="s">
        <v>0</v>
      </c>
      <c r="AB1" s="1">
        <f>COUNTIF($A:$A,"*"&amp;AA1)</f>
        <v>15</v>
      </c>
    </row>
    <row r="2" spans="1:28" ht="14.4" x14ac:dyDescent="0.3">
      <c r="A2" s="1" t="s">
        <v>585</v>
      </c>
      <c r="B2" s="1" t="s">
        <v>586</v>
      </c>
      <c r="C2" s="1" t="str">
        <f>MID(A2,1,2)</f>
        <v>גח</v>
      </c>
      <c r="D2" s="1" t="str">
        <f>MID(B2,3,2)</f>
        <v>חס</v>
      </c>
      <c r="E2" s="1" t="str">
        <f>CONCATENATE(I2,K2)</f>
        <v>גס</v>
      </c>
      <c r="F2" s="1">
        <f>VLOOKUP(I2,$U$23:$AL$40,MATCH(J2,$U$23:$AL$23,0),FALSE)</f>
        <v>4</v>
      </c>
      <c r="G2" s="1">
        <f>VLOOKUP(J2,$U$23:$AL$40,MATCH(K2,$U$23:$AL$23,0),FALSE)</f>
        <v>3</v>
      </c>
      <c r="H2" s="1">
        <f>VLOOKUP(I2,$U$23:$AL$40,MATCH(K2,$U$23:$AL$23,0),FALSE)</f>
        <v>3</v>
      </c>
      <c r="I2" s="1" t="str">
        <f>MID(A2,1,1)</f>
        <v>ג</v>
      </c>
      <c r="J2" s="1" t="str">
        <f>MID(A2,2,1)</f>
        <v>ח</v>
      </c>
      <c r="K2" s="1" t="str">
        <f>MID(A2,4,1)</f>
        <v>ס</v>
      </c>
      <c r="L2" s="1">
        <f>VLOOKUP(I2,$U:$V,2,0)</f>
        <v>14</v>
      </c>
      <c r="M2" s="1">
        <f>VLOOKUP(J2,$X:$Y,2,0)</f>
        <v>9</v>
      </c>
      <c r="N2" s="1">
        <f>VLOOKUP(K2,$AA:$AB,2,0)</f>
        <v>15</v>
      </c>
      <c r="O2" s="1">
        <f>IF(A2&lt;&gt;"",N2+M2+L2+F2+G2+H2,0)</f>
        <v>48</v>
      </c>
      <c r="Q2" s="1">
        <v>1</v>
      </c>
      <c r="R2" s="1">
        <v>2</v>
      </c>
      <c r="S2" s="39" t="s">
        <v>444</v>
      </c>
      <c r="T2" s="1">
        <f>COUNTA(A:A)</f>
        <v>160</v>
      </c>
      <c r="U2" s="1" t="s">
        <v>1</v>
      </c>
      <c r="V2" s="1">
        <f>COUNTIF($A:$A,U2&amp;"*")</f>
        <v>14</v>
      </c>
      <c r="X2" s="1" t="s">
        <v>1</v>
      </c>
      <c r="Y2" s="1">
        <f>COUNTIF($A:$A,"?*"&amp;X2&amp;"?*")</f>
        <v>9</v>
      </c>
      <c r="AA2" s="1" t="s">
        <v>1</v>
      </c>
      <c r="AB2" s="1">
        <f>COUNTIF($A:$A,"*"&amp;AA2)</f>
        <v>14</v>
      </c>
    </row>
    <row r="3" spans="1:28" x14ac:dyDescent="0.25">
      <c r="A3" s="1" t="s">
        <v>563</v>
      </c>
      <c r="B3" s="1" t="s">
        <v>564</v>
      </c>
      <c r="C3" s="1" t="str">
        <f>MID(A3,1,2)</f>
        <v>גח</v>
      </c>
      <c r="D3" s="1" t="str">
        <f>MID(B3,3,2)</f>
        <v>חע</v>
      </c>
      <c r="E3" s="1" t="str">
        <f>CONCATENATE(I3,K3)</f>
        <v>גע</v>
      </c>
      <c r="F3" s="1">
        <f>VLOOKUP(I3,$U$23:$AL$40,MATCH(J3,$U$23:$AL$23,0),FALSE)</f>
        <v>4</v>
      </c>
      <c r="G3" s="1">
        <f>VLOOKUP(J3,$U$23:$AL$40,MATCH(K3,$U$23:$AL$23,0),FALSE)</f>
        <v>3</v>
      </c>
      <c r="H3" s="1">
        <f>VLOOKUP(I3,$U$23:$AL$40,MATCH(K3,$U$23:$AL$23,0),FALSE)</f>
        <v>3</v>
      </c>
      <c r="I3" s="1" t="str">
        <f>MID(A3,1,1)</f>
        <v>ג</v>
      </c>
      <c r="J3" s="1" t="str">
        <f>MID(A3,2,1)</f>
        <v>ח</v>
      </c>
      <c r="K3" s="1" t="str">
        <f>MID(A3,4,1)</f>
        <v>ע</v>
      </c>
      <c r="L3" s="1">
        <f>VLOOKUP(I3,$U:$V,2,0)</f>
        <v>14</v>
      </c>
      <c r="M3" s="1">
        <f>VLOOKUP(J3,$X:$Y,2,0)</f>
        <v>9</v>
      </c>
      <c r="N3" s="1">
        <f>VLOOKUP(K3,$AA:$AB,2,0)</f>
        <v>15</v>
      </c>
      <c r="O3" s="1">
        <f>IF(A3&lt;&gt;"",N3+M3+L3+F3+G3+H3,0)</f>
        <v>48</v>
      </c>
      <c r="Q3" s="1">
        <v>0</v>
      </c>
      <c r="R3" s="1">
        <v>1</v>
      </c>
      <c r="U3" s="1" t="s">
        <v>558</v>
      </c>
      <c r="V3" s="1">
        <f>COUNTIF($A:$A,U3&amp;"*")</f>
        <v>15</v>
      </c>
      <c r="X3" s="1" t="s">
        <v>558</v>
      </c>
      <c r="Y3" s="1">
        <f>COUNTIF($A:$A,"?*"&amp;X3&amp;"?*")</f>
        <v>7</v>
      </c>
      <c r="AA3" s="1" t="s">
        <v>558</v>
      </c>
      <c r="AB3" s="1">
        <f>COUNTIF($A:$A,"*"&amp;AA3)</f>
        <v>15</v>
      </c>
    </row>
    <row r="4" spans="1:28" x14ac:dyDescent="0.25">
      <c r="A4" t="s">
        <v>559</v>
      </c>
      <c r="B4" t="s">
        <v>560</v>
      </c>
      <c r="C4" s="1" t="str">
        <f>MID(A4,1,2)</f>
        <v>גח</v>
      </c>
      <c r="D4" s="1" t="str">
        <f>MID(B4,3,2)</f>
        <v>חק</v>
      </c>
      <c r="E4" s="1" t="str">
        <f>CONCATENATE(I4,K4)</f>
        <v>גק</v>
      </c>
      <c r="F4" s="1">
        <f>VLOOKUP(I4,$U$23:$AL$40,MATCH(J4,$U$23:$AL$23,0),FALSE)</f>
        <v>4</v>
      </c>
      <c r="G4" s="1">
        <f>VLOOKUP(J4,$U$23:$AL$40,MATCH(K4,$U$23:$AL$23,0),FALSE)</f>
        <v>3</v>
      </c>
      <c r="H4" s="1">
        <f>VLOOKUP(I4,$U$23:$AL$40,MATCH(K4,$U$23:$AL$23,0),FALSE)</f>
        <v>3</v>
      </c>
      <c r="I4" s="1" t="str">
        <f>MID(A4,1,1)</f>
        <v>ג</v>
      </c>
      <c r="J4" s="1" t="str">
        <f>MID(A4,2,1)</f>
        <v>ח</v>
      </c>
      <c r="K4" s="1" t="str">
        <f>MID(A4,4,1)</f>
        <v>ק</v>
      </c>
      <c r="L4" s="1">
        <f>VLOOKUP(I4,$U:$V,2,0)</f>
        <v>14</v>
      </c>
      <c r="M4" s="1">
        <f>VLOOKUP(J4,$X:$Y,2,0)</f>
        <v>9</v>
      </c>
      <c r="N4" s="1">
        <f>VLOOKUP(K4,$AA:$AB,2,0)</f>
        <v>15</v>
      </c>
      <c r="O4" s="1">
        <f>IF(A4&lt;&gt;"",N4+M4+L4+F4+G4+H4,0)</f>
        <v>48</v>
      </c>
      <c r="Q4" s="1">
        <v>1</v>
      </c>
      <c r="R4" s="1">
        <v>1</v>
      </c>
      <c r="U4" s="1" t="s">
        <v>2</v>
      </c>
      <c r="V4" s="1">
        <f>COUNTIF($A:$A,U4&amp;"*")</f>
        <v>14</v>
      </c>
      <c r="X4" s="1" t="s">
        <v>2</v>
      </c>
      <c r="Y4" s="1">
        <f>COUNTIF($A:$A,"?*"&amp;X4&amp;"?*")</f>
        <v>9</v>
      </c>
      <c r="AA4" s="1" t="s">
        <v>2</v>
      </c>
      <c r="AB4" s="1">
        <f>COUNTIF($A:$A,"*"&amp;AA4)</f>
        <v>14</v>
      </c>
    </row>
    <row r="5" spans="1:28" x14ac:dyDescent="0.25">
      <c r="A5" t="s">
        <v>561</v>
      </c>
      <c r="B5" t="s">
        <v>562</v>
      </c>
      <c r="C5" s="1" t="str">
        <f>MID(A5,1,2)</f>
        <v>גמ</v>
      </c>
      <c r="D5" s="1" t="str">
        <f>MID(B5,3,2)</f>
        <v>מע</v>
      </c>
      <c r="E5" s="1" t="str">
        <f>CONCATENATE(I5,K5)</f>
        <v>גע</v>
      </c>
      <c r="F5" s="1">
        <f>VLOOKUP(I5,$U$23:$AL$40,MATCH(J5,$U$23:$AL$23,0),FALSE)</f>
        <v>2</v>
      </c>
      <c r="G5" s="1">
        <f>VLOOKUP(J5,$U$23:$AL$40,MATCH(K5,$U$23:$AL$23,0),FALSE)</f>
        <v>2</v>
      </c>
      <c r="H5" s="1">
        <f>VLOOKUP(I5,$U$23:$AL$40,MATCH(K5,$U$23:$AL$23,0),FALSE)</f>
        <v>3</v>
      </c>
      <c r="I5" s="1" t="str">
        <f>MID(A5,1,1)</f>
        <v>ג</v>
      </c>
      <c r="J5" s="1" t="str">
        <f>MID(A5,2,1)</f>
        <v>מ</v>
      </c>
      <c r="K5" s="1" t="str">
        <f>MID(A5,4,1)</f>
        <v>ע</v>
      </c>
      <c r="L5" s="1">
        <f>VLOOKUP(I5,$U:$V,2,0)</f>
        <v>14</v>
      </c>
      <c r="M5" s="1">
        <f>VLOOKUP(J5,$X:$Y,2,0)</f>
        <v>12</v>
      </c>
      <c r="N5" s="1">
        <f>VLOOKUP(K5,$AA:$AB,2,0)</f>
        <v>15</v>
      </c>
      <c r="O5" s="1">
        <f>IF(A5&lt;&gt;"",N5+M5+L5+F5+G5+H5,0)</f>
        <v>48</v>
      </c>
      <c r="Q5" s="1">
        <v>0</v>
      </c>
      <c r="R5" s="1">
        <v>1</v>
      </c>
      <c r="U5" s="1" t="s">
        <v>3</v>
      </c>
      <c r="V5" s="1">
        <f>COUNTIF($A:$A,U5&amp;"*")</f>
        <v>15</v>
      </c>
      <c r="X5" s="1" t="s">
        <v>3</v>
      </c>
      <c r="Y5" s="1">
        <f>COUNTIF($A:$A,"?*"&amp;X5&amp;"?*")</f>
        <v>8</v>
      </c>
      <c r="AA5" s="1" t="s">
        <v>3</v>
      </c>
      <c r="AB5" s="1">
        <f>COUNTIF($A:$A,"*"&amp;AA5)</f>
        <v>14</v>
      </c>
    </row>
    <row r="6" spans="1:28" x14ac:dyDescent="0.25">
      <c r="A6" s="1" t="s">
        <v>751</v>
      </c>
      <c r="B6" s="1" t="s">
        <v>752</v>
      </c>
      <c r="C6" s="1" t="str">
        <f>MID(A6,1,2)</f>
        <v>גמ</v>
      </c>
      <c r="D6" s="1" t="str">
        <f>MID(B6,3,2)</f>
        <v>מק</v>
      </c>
      <c r="E6" s="1" t="str">
        <f>CONCATENATE(I6,K6)</f>
        <v>גק</v>
      </c>
      <c r="F6" s="1">
        <f>VLOOKUP(I6,$U$23:$AL$40,MATCH(J6,$U$23:$AL$23,0),FALSE)</f>
        <v>2</v>
      </c>
      <c r="G6" s="1">
        <f>VLOOKUP(J6,$U$23:$AL$40,MATCH(K6,$U$23:$AL$23,0),FALSE)</f>
        <v>1</v>
      </c>
      <c r="H6" s="1">
        <f>VLOOKUP(I6,$U$23:$AL$40,MATCH(K6,$U$23:$AL$23,0),FALSE)</f>
        <v>3</v>
      </c>
      <c r="I6" s="1" t="str">
        <f>MID(A6,1,1)</f>
        <v>ג</v>
      </c>
      <c r="J6" s="1" t="str">
        <f>MID(A6,2,1)</f>
        <v>מ</v>
      </c>
      <c r="K6" s="1" t="str">
        <f>MID(A6,4,1)</f>
        <v>ק</v>
      </c>
      <c r="L6" s="1">
        <f>VLOOKUP(I6,$U:$V,2,0)</f>
        <v>14</v>
      </c>
      <c r="M6" s="1">
        <f>VLOOKUP(J6,$X:$Y,2,0)</f>
        <v>12</v>
      </c>
      <c r="N6" s="1">
        <f>VLOOKUP(K6,$AA:$AB,2,0)</f>
        <v>15</v>
      </c>
      <c r="O6" s="1">
        <f>IF(A6&lt;&gt;"",N6+M6+L6+F6+G6+H6,0)</f>
        <v>47</v>
      </c>
      <c r="Q6" s="1">
        <v>0</v>
      </c>
      <c r="R6" s="1">
        <v>1</v>
      </c>
      <c r="U6" s="1" t="s">
        <v>4</v>
      </c>
      <c r="V6" s="1">
        <f>COUNTIF($A:$A,U6&amp;"*")</f>
        <v>0</v>
      </c>
      <c r="X6" s="1" t="s">
        <v>4</v>
      </c>
      <c r="Y6" s="1">
        <f>COUNTIF($A:$A,"?*"&amp;X6&amp;"?*")</f>
        <v>11</v>
      </c>
      <c r="AA6" s="1" t="s">
        <v>4</v>
      </c>
      <c r="AB6" s="1">
        <f>COUNTIF($A:$A,"*"&amp;AA6)</f>
        <v>0</v>
      </c>
    </row>
    <row r="7" spans="1:28" x14ac:dyDescent="0.25">
      <c r="A7" s="1" t="s">
        <v>659</v>
      </c>
      <c r="B7" s="1" t="s">
        <v>660</v>
      </c>
      <c r="C7" s="1" t="str">
        <f>MID(A7,1,2)</f>
        <v>גנ</v>
      </c>
      <c r="D7" s="1" t="str">
        <f>MID(B7,3,2)</f>
        <v>נח</v>
      </c>
      <c r="E7" s="1" t="str">
        <f>CONCATENATE(I7,K7)</f>
        <v>גח</v>
      </c>
      <c r="F7" s="1">
        <f>VLOOKUP(I7,$U$23:$AL$40,MATCH(J7,$U$23:$AL$23,0),FALSE)</f>
        <v>2</v>
      </c>
      <c r="G7" s="1">
        <f>VLOOKUP(J7,$U$23:$AL$40,MATCH(K7,$U$23:$AL$23,0),FALSE)</f>
        <v>2</v>
      </c>
      <c r="H7" s="1">
        <f>VLOOKUP(I7,$U$23:$AL$40,MATCH(K7,$U$23:$AL$23,0),FALSE)</f>
        <v>4</v>
      </c>
      <c r="I7" s="1" t="str">
        <f>MID(A7,1,1)</f>
        <v>ג</v>
      </c>
      <c r="J7" s="1" t="str">
        <f>MID(A7,2,1)</f>
        <v>נ</v>
      </c>
      <c r="K7" s="1" t="str">
        <f>MID(A7,4,1)</f>
        <v>ח</v>
      </c>
      <c r="L7" s="1">
        <f>VLOOKUP(I7,$U:$V,2,0)</f>
        <v>14</v>
      </c>
      <c r="M7" s="1">
        <f>VLOOKUP(J7,$X:$Y,2,0)</f>
        <v>12</v>
      </c>
      <c r="N7" s="1">
        <f>VLOOKUP(K7,$AA:$AB,2,0)</f>
        <v>14</v>
      </c>
      <c r="O7" s="1">
        <f>IF(A7&lt;&gt;"",N7+M7+L7+F7+G7+H7,0)</f>
        <v>48</v>
      </c>
      <c r="Q7" s="1">
        <v>1</v>
      </c>
      <c r="R7" s="1">
        <v>1</v>
      </c>
      <c r="U7" s="1" t="s">
        <v>5</v>
      </c>
      <c r="V7" s="1">
        <f>COUNTIF($A:$A,U7&amp;"*")</f>
        <v>0</v>
      </c>
      <c r="X7" s="1" t="s">
        <v>5</v>
      </c>
      <c r="Y7" s="1">
        <f>COUNTIF($A:$A,"?*"&amp;X7&amp;"?*")</f>
        <v>10</v>
      </c>
      <c r="AA7" s="1" t="s">
        <v>5</v>
      </c>
      <c r="AB7" s="1">
        <f>COUNTIF($A:$A,"*"&amp;AA7)</f>
        <v>14</v>
      </c>
    </row>
    <row r="8" spans="1:28" x14ac:dyDescent="0.25">
      <c r="A8" t="s">
        <v>791</v>
      </c>
      <c r="B8" t="s">
        <v>792</v>
      </c>
      <c r="C8" s="1" t="str">
        <f>MID(A8,1,2)</f>
        <v>גנ</v>
      </c>
      <c r="D8" s="1" t="str">
        <f>MID(B8,3,2)</f>
        <v>נש</v>
      </c>
      <c r="E8" s="1" t="str">
        <f>CONCATENATE(I8,K8)</f>
        <v>גש</v>
      </c>
      <c r="F8" s="1">
        <f>VLOOKUP(I8,$U$23:$AL$40,MATCH(J8,$U$23:$AL$23,0),FALSE)</f>
        <v>2</v>
      </c>
      <c r="G8" s="1">
        <f>VLOOKUP(J8,$U$23:$AL$40,MATCH(K8,$U$23:$AL$23,0),FALSE)</f>
        <v>2</v>
      </c>
      <c r="H8" s="1">
        <f>VLOOKUP(I8,$U$23:$AL$40,MATCH(K8,$U$23:$AL$23,0),FALSE)</f>
        <v>3</v>
      </c>
      <c r="I8" s="1" t="str">
        <f>MID(A8,1,1)</f>
        <v>ג</v>
      </c>
      <c r="J8" s="1" t="str">
        <f>MID(A8,2,1)</f>
        <v>נ</v>
      </c>
      <c r="K8" s="1" t="str">
        <f>MID(A8,4,1)</f>
        <v>ש</v>
      </c>
      <c r="L8" s="1">
        <f>VLOOKUP(I8,$U:$V,2,0)</f>
        <v>14</v>
      </c>
      <c r="M8" s="1">
        <f>VLOOKUP(J8,$X:$Y,2,0)</f>
        <v>12</v>
      </c>
      <c r="N8" s="1">
        <f>VLOOKUP(K8,$AA:$AB,2,0)</f>
        <v>15</v>
      </c>
      <c r="O8" s="1">
        <f>IF(A8&lt;&gt;"",N8+M8+L8+F8+G8+H8,0)</f>
        <v>48</v>
      </c>
      <c r="Q8" s="1">
        <v>1</v>
      </c>
      <c r="R8" s="1">
        <v>1</v>
      </c>
      <c r="U8" s="1" t="s">
        <v>6</v>
      </c>
      <c r="V8" s="1">
        <f>COUNTIF($A:$A,U8&amp;"*")</f>
        <v>0</v>
      </c>
      <c r="X8" s="1" t="s">
        <v>6</v>
      </c>
      <c r="Y8" s="1">
        <f>COUNTIF($A:$A,"?*"&amp;X8&amp;"?*")</f>
        <v>12</v>
      </c>
      <c r="AA8" s="1" t="s">
        <v>6</v>
      </c>
      <c r="AB8" s="1">
        <f>COUNTIF($A:$A,"*"&amp;AA8)</f>
        <v>0</v>
      </c>
    </row>
    <row r="9" spans="1:28" x14ac:dyDescent="0.25">
      <c r="A9" s="1" t="s">
        <v>629</v>
      </c>
      <c r="B9" s="1" t="s">
        <v>630</v>
      </c>
      <c r="C9" s="1" t="str">
        <f>MID(A9,1,2)</f>
        <v>גס</v>
      </c>
      <c r="D9" s="1" t="str">
        <f>MID(B9,3,2)</f>
        <v>סד</v>
      </c>
      <c r="E9" s="1" t="str">
        <f>CONCATENATE(I9,K9)</f>
        <v>גד</v>
      </c>
      <c r="F9" s="1">
        <f>VLOOKUP(I9,$U$23:$AL$40,MATCH(J9,$U$23:$AL$23,0),FALSE)</f>
        <v>3</v>
      </c>
      <c r="G9" s="1">
        <f>VLOOKUP(J9,$U$23:$AL$40,MATCH(K9,$U$23:$AL$23,0),FALSE)</f>
        <v>4</v>
      </c>
      <c r="H9" s="1">
        <f>VLOOKUP(I9,$U$23:$AL$40,MATCH(K9,$U$23:$AL$23,0),FALSE)</f>
        <v>3</v>
      </c>
      <c r="I9" s="1" t="str">
        <f>MID(A9,1,1)</f>
        <v>ג</v>
      </c>
      <c r="J9" s="1" t="str">
        <f>MID(A9,2,1)</f>
        <v>ס</v>
      </c>
      <c r="K9" s="1" t="str">
        <f>MID(A9,4,1)</f>
        <v>ד</v>
      </c>
      <c r="L9" s="1">
        <f>VLOOKUP(I9,$U:$V,2,0)</f>
        <v>14</v>
      </c>
      <c r="M9" s="1">
        <f>VLOOKUP(J9,$X:$Y,2,0)</f>
        <v>9</v>
      </c>
      <c r="N9" s="1">
        <f>VLOOKUP(K9,$AA:$AB,2,0)</f>
        <v>14</v>
      </c>
      <c r="O9" s="1">
        <f>IF(A9&lt;&gt;"",N9+M9+L9+F9+G9+H9,0)</f>
        <v>47</v>
      </c>
      <c r="Q9" s="1">
        <v>2</v>
      </c>
      <c r="R9" s="1">
        <v>3</v>
      </c>
      <c r="U9" s="1" t="s">
        <v>7</v>
      </c>
      <c r="V9" s="1">
        <f>COUNTIF($A:$A,U9&amp;"*")</f>
        <v>0</v>
      </c>
      <c r="X9" s="1" t="s">
        <v>7</v>
      </c>
      <c r="Y9" s="1">
        <f>COUNTIF($A:$A,"?*"&amp;X9&amp;"?*")</f>
        <v>12</v>
      </c>
      <c r="AA9" s="1" t="s">
        <v>7</v>
      </c>
      <c r="AB9" s="1">
        <f>COUNTIF($A:$A,"*"&amp;AA9)</f>
        <v>0</v>
      </c>
    </row>
    <row r="10" spans="1:28" x14ac:dyDescent="0.25">
      <c r="A10" t="s">
        <v>643</v>
      </c>
      <c r="B10" t="s">
        <v>644</v>
      </c>
      <c r="C10" s="1" t="str">
        <f>MID(A10,1,2)</f>
        <v>גפ</v>
      </c>
      <c r="D10" s="1" t="str">
        <f>MID(B10,3,2)</f>
        <v>פס</v>
      </c>
      <c r="E10" s="1" t="str">
        <f>CONCATENATE(I10,K10)</f>
        <v>גס</v>
      </c>
      <c r="F10" s="1">
        <f>VLOOKUP(I10,$U$23:$AL$40,MATCH(J10,$U$23:$AL$23,0),FALSE)</f>
        <v>1</v>
      </c>
      <c r="G10" s="1">
        <f>VLOOKUP(J10,$U$23:$AL$40,MATCH(K10,$U$23:$AL$23,0),FALSE)</f>
        <v>4</v>
      </c>
      <c r="H10" s="1">
        <f>VLOOKUP(I10,$U$23:$AL$40,MATCH(K10,$U$23:$AL$23,0),FALSE)</f>
        <v>3</v>
      </c>
      <c r="I10" s="1" t="str">
        <f>MID(A10,1,1)</f>
        <v>ג</v>
      </c>
      <c r="J10" s="1" t="str">
        <f>MID(A10,2,1)</f>
        <v>פ</v>
      </c>
      <c r="K10" s="1" t="str">
        <f>MID(A10,4,1)</f>
        <v>ס</v>
      </c>
      <c r="L10" s="1">
        <f>VLOOKUP(I10,$U:$V,2,0)</f>
        <v>14</v>
      </c>
      <c r="M10" s="1">
        <f>VLOOKUP(J10,$X:$Y,2,0)</f>
        <v>10</v>
      </c>
      <c r="N10" s="1">
        <f>VLOOKUP(K10,$AA:$AB,2,0)</f>
        <v>15</v>
      </c>
      <c r="O10" s="1">
        <f>IF(A10&lt;&gt;"",N10+M10+L10+F10+G10+H10,0)</f>
        <v>47</v>
      </c>
      <c r="Q10" s="1">
        <v>1</v>
      </c>
      <c r="R10" s="1">
        <v>2</v>
      </c>
      <c r="U10" s="1" t="s">
        <v>8</v>
      </c>
      <c r="V10" s="1">
        <f>COUNTIF($A:$A,U10&amp;"*")</f>
        <v>15</v>
      </c>
      <c r="X10" s="1" t="s">
        <v>8</v>
      </c>
      <c r="Y10" s="1">
        <f>COUNTIF($A:$A,"?*"&amp;X10&amp;"?*")</f>
        <v>9</v>
      </c>
      <c r="AA10" s="1" t="s">
        <v>8</v>
      </c>
      <c r="AB10" s="1">
        <f>COUNTIF($A:$A,"*"&amp;AA10)</f>
        <v>15</v>
      </c>
    </row>
    <row r="11" spans="1:28" x14ac:dyDescent="0.25">
      <c r="A11" t="s">
        <v>773</v>
      </c>
      <c r="B11" t="s">
        <v>774</v>
      </c>
      <c r="C11" s="1" t="str">
        <f>MID(A11,1,2)</f>
        <v>גצ</v>
      </c>
      <c r="D11" s="1" t="str">
        <f>MID(B11,3,2)</f>
        <v>צד</v>
      </c>
      <c r="E11" s="1" t="str">
        <f>CONCATENATE(I11,K11)</f>
        <v>גד</v>
      </c>
      <c r="F11" s="1">
        <f>VLOOKUP(I11,$U$23:$AL$40,MATCH(J11,$U$23:$AL$23,0),FALSE)</f>
        <v>1</v>
      </c>
      <c r="G11" s="1">
        <f>VLOOKUP(J11,$U$23:$AL$40,MATCH(K11,$U$23:$AL$23,0),FALSE)</f>
        <v>4</v>
      </c>
      <c r="H11" s="1">
        <f>VLOOKUP(I11,$U$23:$AL$40,MATCH(K11,$U$23:$AL$23,0),FALSE)</f>
        <v>3</v>
      </c>
      <c r="I11" s="1" t="str">
        <f>MID(A11,1,1)</f>
        <v>ג</v>
      </c>
      <c r="J11" s="1" t="str">
        <f>MID(A11,2,1)</f>
        <v>צ</v>
      </c>
      <c r="K11" s="1" t="str">
        <f>MID(A11,4,1)</f>
        <v>ד</v>
      </c>
      <c r="L11" s="1">
        <f>VLOOKUP(I11,$U:$V,2,0)</f>
        <v>14</v>
      </c>
      <c r="M11" s="1">
        <f>VLOOKUP(J11,$X:$Y,2,0)</f>
        <v>10</v>
      </c>
      <c r="N11" s="1">
        <f>VLOOKUP(K11,$AA:$AB,2,0)</f>
        <v>14</v>
      </c>
      <c r="O11" s="1">
        <f>IF(A11&lt;&gt;"",N11+M11+L11+F11+G11+H11,0)</f>
        <v>46</v>
      </c>
      <c r="Q11" s="1">
        <v>2</v>
      </c>
      <c r="R11" s="1">
        <v>3</v>
      </c>
      <c r="U11" s="1" t="s">
        <v>9</v>
      </c>
      <c r="V11" s="1">
        <f>COUNTIF($A:$A,U11&amp;"*")</f>
        <v>15</v>
      </c>
      <c r="X11" s="1" t="s">
        <v>9</v>
      </c>
      <c r="Y11" s="1">
        <f>COUNTIF($A:$A,"?*"&amp;X11&amp;"?*")</f>
        <v>8</v>
      </c>
      <c r="AA11" s="1" t="s">
        <v>9</v>
      </c>
      <c r="AB11" s="1">
        <f>COUNTIF($A:$A,"*"&amp;AA11)</f>
        <v>15</v>
      </c>
    </row>
    <row r="12" spans="1:28" x14ac:dyDescent="0.25">
      <c r="A12" s="1" t="s">
        <v>665</v>
      </c>
      <c r="B12" s="1" t="s">
        <v>666</v>
      </c>
      <c r="C12" s="1" t="str">
        <f>MID(A12,1,2)</f>
        <v>גר</v>
      </c>
      <c r="D12" s="1" t="str">
        <f>MID(B12,3,2)</f>
        <v>רז</v>
      </c>
      <c r="E12" s="1" t="str">
        <f>CONCATENATE(I12,K12)</f>
        <v>גז</v>
      </c>
      <c r="F12" s="1">
        <f>VLOOKUP(I12,$U$23:$AL$40,MATCH(J12,$U$23:$AL$23,0),FALSE)</f>
        <v>3</v>
      </c>
      <c r="G12" s="1">
        <f>VLOOKUP(J12,$U$23:$AL$40,MATCH(K12,$U$23:$AL$23,0),FALSE)</f>
        <v>3</v>
      </c>
      <c r="H12" s="1">
        <f>VLOOKUP(I12,$U$23:$AL$40,MATCH(K12,$U$23:$AL$23,0),FALSE)</f>
        <v>1</v>
      </c>
      <c r="I12" s="1" t="str">
        <f>MID(A12,1,1)</f>
        <v>ג</v>
      </c>
      <c r="J12" s="1" t="str">
        <f>MID(A12,2,1)</f>
        <v>ר</v>
      </c>
      <c r="K12" s="1" t="str">
        <f>MID(A12,4,1)</f>
        <v>ז</v>
      </c>
      <c r="L12" s="1">
        <f>VLOOKUP(I12,$U:$V,2,0)</f>
        <v>14</v>
      </c>
      <c r="M12" s="1">
        <f>VLOOKUP(J12,$X:$Y,2,0)</f>
        <v>8</v>
      </c>
      <c r="N12" s="1">
        <f>VLOOKUP(K12,$AA:$AB,2,0)</f>
        <v>15</v>
      </c>
      <c r="O12" s="1">
        <f>IF(A12&lt;&gt;"",N12+M12+L12+F12+G12+H12,0)</f>
        <v>44</v>
      </c>
      <c r="Q12" s="1">
        <v>4</v>
      </c>
      <c r="R12" s="1">
        <v>3</v>
      </c>
      <c r="U12" s="1" t="s">
        <v>10</v>
      </c>
      <c r="V12" s="1">
        <f>COUNTIF($A:$A,U12&amp;"*")</f>
        <v>14</v>
      </c>
      <c r="X12" s="1" t="s">
        <v>10</v>
      </c>
      <c r="Y12" s="1">
        <f>COUNTIF($A:$A,"?*"&amp;X12&amp;"?*")</f>
        <v>10</v>
      </c>
      <c r="AA12" s="1" t="s">
        <v>10</v>
      </c>
      <c r="AB12" s="1">
        <f>COUNTIF($A:$A,"*"&amp;AA12)</f>
        <v>0</v>
      </c>
    </row>
    <row r="13" spans="1:28" x14ac:dyDescent="0.25">
      <c r="A13" t="s">
        <v>552</v>
      </c>
      <c r="B13" t="s">
        <v>553</v>
      </c>
      <c r="C13" s="1" t="str">
        <f>MID(A13,1,2)</f>
        <v>גש</v>
      </c>
      <c r="D13" s="1" t="str">
        <f>MID(B13,3,2)</f>
        <v>שר</v>
      </c>
      <c r="E13" s="1" t="str">
        <f>CONCATENATE(I13,K13)</f>
        <v>גר</v>
      </c>
      <c r="F13" s="1">
        <f>VLOOKUP(I13,$U$23:$AL$40,MATCH(J13,$U$23:$AL$23,0),FALSE)</f>
        <v>3</v>
      </c>
      <c r="G13" s="1">
        <f>VLOOKUP(J13,$U$23:$AL$40,MATCH(K13,$U$23:$AL$23,0),FALSE)</f>
        <v>1</v>
      </c>
      <c r="H13" s="1">
        <f>VLOOKUP(I13,$U$23:$AL$40,MATCH(K13,$U$23:$AL$23,0),FALSE)</f>
        <v>3</v>
      </c>
      <c r="I13" s="1" t="str">
        <f>MID(A13,1,1)</f>
        <v>ג</v>
      </c>
      <c r="J13" s="1" t="str">
        <f>MID(A13,2,1)</f>
        <v>ש</v>
      </c>
      <c r="K13" s="1" t="str">
        <f>MID(A13,4,1)</f>
        <v>ר</v>
      </c>
      <c r="L13" s="1">
        <f>VLOOKUP(I13,$U:$V,2,0)</f>
        <v>14</v>
      </c>
      <c r="M13" s="1">
        <f>VLOOKUP(J13,$X:$Y,2,0)</f>
        <v>9</v>
      </c>
      <c r="N13" s="1">
        <f>VLOOKUP(K13,$AA:$AB,2,0)</f>
        <v>14</v>
      </c>
      <c r="O13" s="1">
        <f>IF(A13&lt;&gt;"",N13+M13+L13+F13+G13+H13,0)</f>
        <v>44</v>
      </c>
      <c r="Q13" s="1">
        <v>4</v>
      </c>
      <c r="R13" s="1">
        <v>3</v>
      </c>
      <c r="U13" s="1" t="s">
        <v>11</v>
      </c>
      <c r="V13" s="1">
        <f>COUNTIF($A:$A,U13&amp;"*")</f>
        <v>15</v>
      </c>
      <c r="X13" s="1" t="s">
        <v>11</v>
      </c>
      <c r="Y13" s="1">
        <f>COUNTIF($A:$A,"?*"&amp;X13&amp;"?*")</f>
        <v>10</v>
      </c>
      <c r="AA13" s="1" t="s">
        <v>11</v>
      </c>
      <c r="AB13" s="1">
        <f>COUNTIF($A:$A,"*"&amp;AA13)</f>
        <v>0</v>
      </c>
    </row>
    <row r="14" spans="1:28" x14ac:dyDescent="0.25">
      <c r="A14" s="1" t="s">
        <v>707</v>
      </c>
      <c r="B14" s="1" t="s">
        <v>708</v>
      </c>
      <c r="C14" s="1" t="str">
        <f>MID(A14,1,2)</f>
        <v>גת</v>
      </c>
      <c r="D14" s="1" t="str">
        <f>MID(B14,3,2)</f>
        <v>תק</v>
      </c>
      <c r="E14" s="1" t="str">
        <f>CONCATENATE(I14,K14)</f>
        <v>גק</v>
      </c>
      <c r="F14" s="1">
        <f>VLOOKUP(I14,$U$23:$AL$40,MATCH(J14,$U$23:$AL$23,0),FALSE)</f>
        <v>1</v>
      </c>
      <c r="G14" s="1">
        <f>VLOOKUP(J14,$U$23:$AL$40,MATCH(K14,$U$23:$AL$23,0),FALSE)</f>
        <v>2</v>
      </c>
      <c r="H14" s="1">
        <f>VLOOKUP(I14,$U$23:$AL$40,MATCH(K14,$U$23:$AL$23,0),FALSE)</f>
        <v>3</v>
      </c>
      <c r="I14" s="1" t="str">
        <f>MID(A14,1,1)</f>
        <v>ג</v>
      </c>
      <c r="J14" s="1" t="str">
        <f>MID(A14,2,1)</f>
        <v>ת</v>
      </c>
      <c r="K14" s="1" t="str">
        <f>MID(A14,4,1)</f>
        <v>ק</v>
      </c>
      <c r="L14" s="1">
        <f>VLOOKUP(I14,$U:$V,2,0)</f>
        <v>14</v>
      </c>
      <c r="M14" s="1">
        <f>VLOOKUP(J14,$X:$Y,2,0)</f>
        <v>12</v>
      </c>
      <c r="N14" s="1">
        <f>VLOOKUP(K14,$AA:$AB,2,0)</f>
        <v>15</v>
      </c>
      <c r="O14" s="1">
        <f>IF(A14&lt;&gt;"",N14+M14+L14+F14+G14+H14,0)</f>
        <v>47</v>
      </c>
      <c r="Q14" s="1">
        <v>1</v>
      </c>
      <c r="R14" s="1">
        <v>1</v>
      </c>
      <c r="U14" s="1" t="s">
        <v>12</v>
      </c>
      <c r="V14" s="1">
        <f>COUNTIF($A:$A,U14&amp;"*")</f>
        <v>14</v>
      </c>
      <c r="X14" s="1" t="s">
        <v>12</v>
      </c>
      <c r="Y14" s="1">
        <f>COUNTIF($A:$A,"?*"&amp;X14&amp;"?*")</f>
        <v>8</v>
      </c>
      <c r="AA14" s="1" t="s">
        <v>12</v>
      </c>
      <c r="AB14" s="1">
        <f>COUNTIF($A:$A,"*"&amp;AA14)</f>
        <v>15</v>
      </c>
    </row>
    <row r="15" spans="1:28" x14ac:dyDescent="0.25">
      <c r="A15" s="1" t="s">
        <v>531</v>
      </c>
      <c r="B15" s="1" t="s">
        <v>527</v>
      </c>
      <c r="C15" s="1" t="str">
        <f>MID(A15,1,2)</f>
        <v>דג</v>
      </c>
      <c r="D15" s="1" t="str">
        <f>MID(B15,3,2)</f>
        <v>גש</v>
      </c>
      <c r="E15" s="1" t="str">
        <f>CONCATENATE(I15,K15)</f>
        <v>דש</v>
      </c>
      <c r="F15" s="1">
        <f>VLOOKUP(I15,$U$23:$AL$40,MATCH(J15,$U$23:$AL$23,0),FALSE)</f>
        <v>3</v>
      </c>
      <c r="G15" s="1">
        <f>VLOOKUP(J15,$U$23:$AL$40,MATCH(K15,$U$23:$AL$23,0),FALSE)</f>
        <v>3</v>
      </c>
      <c r="H15" s="1">
        <f>VLOOKUP(I15,$U$23:$AL$40,MATCH(K15,$U$23:$AL$23,0),FALSE)</f>
        <v>3</v>
      </c>
      <c r="I15" s="1" t="str">
        <f>MID(A15,1,1)</f>
        <v>ד</v>
      </c>
      <c r="J15" s="1" t="str">
        <f>MID(A15,2,1)</f>
        <v>ג</v>
      </c>
      <c r="K15" s="1" t="str">
        <f>MID(A15,4,1)</f>
        <v>ש</v>
      </c>
      <c r="L15" s="1">
        <f>VLOOKUP(I15,$U:$V,2,0)</f>
        <v>14</v>
      </c>
      <c r="M15" s="1">
        <f>VLOOKUP(J15,$X:$Y,2,0)</f>
        <v>8</v>
      </c>
      <c r="N15" s="1">
        <f>VLOOKUP(K15,$AA:$AB,2,0)</f>
        <v>15</v>
      </c>
      <c r="O15" s="1">
        <f>IF(A15&lt;&gt;"",N15+M15+L15+F15+G15+H15,0)</f>
        <v>46</v>
      </c>
      <c r="Q15" s="1">
        <v>2</v>
      </c>
      <c r="R15" s="1">
        <v>1</v>
      </c>
      <c r="U15" s="1" t="s">
        <v>13</v>
      </c>
      <c r="V15" s="1">
        <f>COUNTIF($A:$A,U15&amp;"*")</f>
        <v>15</v>
      </c>
      <c r="X15" s="1" t="s">
        <v>13</v>
      </c>
      <c r="Y15" s="1">
        <f>COUNTIF($A:$A,"?*"&amp;X15&amp;"?*")</f>
        <v>8</v>
      </c>
      <c r="AA15" s="1" t="s">
        <v>13</v>
      </c>
      <c r="AB15" s="1">
        <f>COUNTIF($A:$A,"*"&amp;AA15)</f>
        <v>14</v>
      </c>
    </row>
    <row r="16" spans="1:28" x14ac:dyDescent="0.25">
      <c r="A16" s="1" t="s">
        <v>711</v>
      </c>
      <c r="B16" s="1" t="s">
        <v>712</v>
      </c>
      <c r="C16" s="1" t="str">
        <f>MID(A16,1,2)</f>
        <v>דז</v>
      </c>
      <c r="D16" s="1" t="str">
        <f>MID(B16,3,2)</f>
        <v>זט</v>
      </c>
      <c r="E16" s="1" t="str">
        <f>CONCATENATE(I16,K16)</f>
        <v>דט</v>
      </c>
      <c r="F16" s="1">
        <f>VLOOKUP(I16,$U$23:$AL$40,MATCH(J16,$U$23:$AL$23,0),FALSE)</f>
        <v>3</v>
      </c>
      <c r="G16" s="1">
        <f>VLOOKUP(J16,$U$23:$AL$40,MATCH(K16,$U$23:$AL$23,0),FALSE)</f>
        <v>3</v>
      </c>
      <c r="H16" s="1">
        <f>VLOOKUP(I16,$U$23:$AL$40,MATCH(K16,$U$23:$AL$23,0),FALSE)</f>
        <v>3</v>
      </c>
      <c r="I16" s="1" t="str">
        <f>MID(A16,1,1)</f>
        <v>ד</v>
      </c>
      <c r="J16" s="1" t="str">
        <f>MID(A16,2,1)</f>
        <v>ז</v>
      </c>
      <c r="K16" s="1" t="str">
        <f>MID(A16,4,1)</f>
        <v>ט</v>
      </c>
      <c r="L16" s="1">
        <f>VLOOKUP(I16,$U:$V,2,0)</f>
        <v>14</v>
      </c>
      <c r="M16" s="1">
        <f>VLOOKUP(J16,$X:$Y,2,0)</f>
        <v>7</v>
      </c>
      <c r="N16" s="1">
        <f>VLOOKUP(K16,$AA:$AB,2,0)</f>
        <v>14</v>
      </c>
      <c r="O16" s="1">
        <f>IF(A16&lt;&gt;"",N16+M16+L16+F16+G16+H16,0)</f>
        <v>44</v>
      </c>
      <c r="Q16" s="1">
        <v>1</v>
      </c>
      <c r="R16" s="1">
        <v>1</v>
      </c>
      <c r="U16" s="1" t="s">
        <v>14</v>
      </c>
      <c r="V16" s="1">
        <f>COUNTIF($A:$A,U16&amp;"*")</f>
        <v>0</v>
      </c>
      <c r="X16" s="1" t="s">
        <v>14</v>
      </c>
      <c r="Y16" s="1">
        <f>COUNTIF($A:$A,"?*"&amp;X16&amp;"?*")</f>
        <v>9</v>
      </c>
      <c r="AA16" s="1" t="s">
        <v>14</v>
      </c>
      <c r="AB16" s="1">
        <f>COUNTIF($A:$A,"*"&amp;AA16)</f>
        <v>15</v>
      </c>
    </row>
    <row r="17" spans="1:38" x14ac:dyDescent="0.25">
      <c r="A17" s="1" t="s">
        <v>755</v>
      </c>
      <c r="B17" s="1" t="s">
        <v>756</v>
      </c>
      <c r="C17" s="1" t="str">
        <f>MID(A17,1,2)</f>
        <v>דכ</v>
      </c>
      <c r="D17" s="1" t="str">
        <f>MID(B17,3,2)</f>
        <v>כע</v>
      </c>
      <c r="E17" s="1" t="str">
        <f>CONCATENATE(I17,K17)</f>
        <v>דע</v>
      </c>
      <c r="F17" s="1">
        <f>VLOOKUP(I17,$U$23:$AL$40,MATCH(J17,$U$23:$AL$23,0),FALSE)</f>
        <v>1</v>
      </c>
      <c r="G17" s="1">
        <f>VLOOKUP(J17,$U$23:$AL$40,MATCH(K17,$U$23:$AL$23,0),FALSE)</f>
        <v>1</v>
      </c>
      <c r="H17" s="1">
        <f>VLOOKUP(I17,$U$23:$AL$40,MATCH(K17,$U$23:$AL$23,0),FALSE)</f>
        <v>2</v>
      </c>
      <c r="I17" s="1" t="str">
        <f>MID(A17,1,1)</f>
        <v>ד</v>
      </c>
      <c r="J17" s="1" t="str">
        <f>MID(A17,2,1)</f>
        <v>כ</v>
      </c>
      <c r="K17" s="1" t="str">
        <f>MID(A17,4,1)</f>
        <v>ע</v>
      </c>
      <c r="L17" s="1">
        <f>VLOOKUP(I17,$U:$V,2,0)</f>
        <v>14</v>
      </c>
      <c r="M17" s="1">
        <f>VLOOKUP(J17,$X:$Y,2,0)</f>
        <v>11</v>
      </c>
      <c r="N17" s="1">
        <f>VLOOKUP(K17,$AA:$AB,2,0)</f>
        <v>15</v>
      </c>
      <c r="O17" s="1">
        <f>IF(A17&lt;&gt;"",N17+M17+L17+F17+G17+H17,0)</f>
        <v>44</v>
      </c>
      <c r="Q17" s="1">
        <v>0</v>
      </c>
      <c r="R17" s="1">
        <v>1</v>
      </c>
      <c r="U17" s="1" t="s">
        <v>15</v>
      </c>
      <c r="V17" s="1">
        <f>COUNTIF($A:$A,U17&amp;"*")</f>
        <v>0</v>
      </c>
      <c r="X17" s="1" t="s">
        <v>15</v>
      </c>
      <c r="Y17" s="1">
        <f>COUNTIF($A:$A,"?*"&amp;X17&amp;"?*")</f>
        <v>12</v>
      </c>
      <c r="AA17" s="1" t="s">
        <v>15</v>
      </c>
      <c r="AB17" s="1">
        <f>COUNTIF($A:$A,"*"&amp;AA17)</f>
        <v>0</v>
      </c>
    </row>
    <row r="18" spans="1:38" x14ac:dyDescent="0.25">
      <c r="A18" t="s">
        <v>839</v>
      </c>
      <c r="B18" t="s">
        <v>840</v>
      </c>
      <c r="C18" s="1" t="str">
        <f>MID(A18,1,2)</f>
        <v>דל</v>
      </c>
      <c r="D18" s="1" t="str">
        <f>MID(B18,3,2)</f>
        <v>לק</v>
      </c>
      <c r="E18" s="1" t="str">
        <f>CONCATENATE(I18,K18)</f>
        <v>דק</v>
      </c>
      <c r="F18" s="1">
        <f>VLOOKUP(I18,$U$23:$AL$40,MATCH(J18,$U$23:$AL$23,0),FALSE)</f>
        <v>3</v>
      </c>
      <c r="G18" s="1">
        <f>VLOOKUP(J18,$U$23:$AL$40,MATCH(K18,$U$23:$AL$23,0),FALSE)</f>
        <v>2</v>
      </c>
      <c r="H18" s="1">
        <f>VLOOKUP(I18,$U$23:$AL$40,MATCH(K18,$U$23:$AL$23,0),FALSE)</f>
        <v>4</v>
      </c>
      <c r="I18" s="1" t="str">
        <f>MID(A18,1,1)</f>
        <v>ד</v>
      </c>
      <c r="J18" s="1" t="str">
        <f>MID(A18,2,1)</f>
        <v>ל</v>
      </c>
      <c r="K18" s="1" t="str">
        <f>MID(A18,4,1)</f>
        <v>ק</v>
      </c>
      <c r="L18" s="1">
        <f>VLOOKUP(I18,$U:$V,2,0)</f>
        <v>14</v>
      </c>
      <c r="M18" s="1">
        <f>VLOOKUP(J18,$X:$Y,2,0)</f>
        <v>10</v>
      </c>
      <c r="N18" s="1">
        <f>VLOOKUP(K18,$AA:$AB,2,0)</f>
        <v>15</v>
      </c>
      <c r="O18" s="1">
        <f>IF(A18&lt;&gt;"",N18+M18+L18+F18+G18+H18,0)</f>
        <v>48</v>
      </c>
      <c r="Q18" s="1">
        <v>1</v>
      </c>
      <c r="R18" s="1">
        <v>2</v>
      </c>
    </row>
    <row r="19" spans="1:38" x14ac:dyDescent="0.25">
      <c r="A19" s="1" t="s">
        <v>727</v>
      </c>
      <c r="B19" s="1" t="s">
        <v>728</v>
      </c>
      <c r="C19" s="1" t="str">
        <f>MID(A19,1,2)</f>
        <v>דל</v>
      </c>
      <c r="D19" s="1" t="str">
        <f>MID(B19,3,2)</f>
        <v>לר</v>
      </c>
      <c r="E19" s="1" t="str">
        <f>CONCATENATE(I19,K19)</f>
        <v>דר</v>
      </c>
      <c r="F19" s="1">
        <f>VLOOKUP(I19,$U$23:$AL$40,MATCH(J19,$U$23:$AL$23,0),FALSE)</f>
        <v>3</v>
      </c>
      <c r="G19" s="1">
        <f>VLOOKUP(J19,$U$23:$AL$40,MATCH(K19,$U$23:$AL$23,0),FALSE)</f>
        <v>1</v>
      </c>
      <c r="H19" s="1">
        <f>VLOOKUP(I19,$U$23:$AL$40,MATCH(K19,$U$23:$AL$23,0),FALSE)</f>
        <v>3</v>
      </c>
      <c r="I19" s="1" t="str">
        <f>MID(A19,1,1)</f>
        <v>ד</v>
      </c>
      <c r="J19" s="1" t="str">
        <f>MID(A19,2,1)</f>
        <v>ל</v>
      </c>
      <c r="K19" s="1" t="str">
        <f>MID(A19,4,1)</f>
        <v>ר</v>
      </c>
      <c r="L19" s="1">
        <f>VLOOKUP(I19,$U:$V,2,0)</f>
        <v>14</v>
      </c>
      <c r="M19" s="1">
        <f>VLOOKUP(J19,$X:$Y,2,0)</f>
        <v>10</v>
      </c>
      <c r="N19" s="1">
        <f>VLOOKUP(K19,$AA:$AB,2,0)</f>
        <v>14</v>
      </c>
      <c r="O19" s="1">
        <f>IF(A19&lt;&gt;"",N19+M19+L19+F19+G19+H19,0)</f>
        <v>45</v>
      </c>
    </row>
    <row r="20" spans="1:38" x14ac:dyDescent="0.25">
      <c r="A20" s="1" t="s">
        <v>737</v>
      </c>
      <c r="B20" s="1" t="s">
        <v>738</v>
      </c>
      <c r="C20" s="1" t="str">
        <f>MID(A20,1,2)</f>
        <v>דמ</v>
      </c>
      <c r="D20" s="1" t="str">
        <f>MID(B20,3,2)</f>
        <v>מש</v>
      </c>
      <c r="E20" s="1" t="str">
        <f>CONCATENATE(I20,K20)</f>
        <v>דש</v>
      </c>
      <c r="F20" s="1">
        <f>VLOOKUP(I20,$U$23:$AL$40,MATCH(J20,$U$23:$AL$23,0),FALSE)</f>
        <v>1</v>
      </c>
      <c r="G20" s="1">
        <f>VLOOKUP(J20,$U$23:$AL$40,MATCH(K20,$U$23:$AL$23,0),FALSE)</f>
        <v>1</v>
      </c>
      <c r="H20" s="1">
        <f>VLOOKUP(I20,$U$23:$AL$40,MATCH(K20,$U$23:$AL$23,0),FALSE)</f>
        <v>3</v>
      </c>
      <c r="I20" s="1" t="str">
        <f>MID(A20,1,1)</f>
        <v>ד</v>
      </c>
      <c r="J20" s="1" t="str">
        <f>MID(A20,2,1)</f>
        <v>מ</v>
      </c>
      <c r="K20" s="1" t="str">
        <f>MID(A20,4,1)</f>
        <v>ש</v>
      </c>
      <c r="L20" s="1">
        <f>VLOOKUP(I20,$U:$V,2,0)</f>
        <v>14</v>
      </c>
      <c r="M20" s="1">
        <f>VLOOKUP(J20,$X:$Y,2,0)</f>
        <v>12</v>
      </c>
      <c r="N20" s="1">
        <f>VLOOKUP(K20,$AA:$AB,2,0)</f>
        <v>15</v>
      </c>
      <c r="O20" s="1">
        <f>IF(A20&lt;&gt;"",N20+M20+L20+F20+G20+H20,0)</f>
        <v>46</v>
      </c>
    </row>
    <row r="21" spans="1:38" x14ac:dyDescent="0.25">
      <c r="A21" t="s">
        <v>821</v>
      </c>
      <c r="B21" t="s">
        <v>822</v>
      </c>
      <c r="C21" s="1" t="str">
        <f>MID(A21,1,2)</f>
        <v>דנ</v>
      </c>
      <c r="D21" s="1" t="str">
        <f>MID(B21,3,2)</f>
        <v>נז</v>
      </c>
      <c r="E21" s="1" t="str">
        <f>CONCATENATE(I21,K21)</f>
        <v>דז</v>
      </c>
      <c r="F21" s="1">
        <f>VLOOKUP(I21,$U$23:$AL$40,MATCH(J21,$U$23:$AL$23,0),FALSE)</f>
        <v>2</v>
      </c>
      <c r="G21" s="1">
        <f>VLOOKUP(J21,$U$23:$AL$40,MATCH(K21,$U$23:$AL$23,0),FALSE)</f>
        <v>2</v>
      </c>
      <c r="H21" s="1">
        <f>VLOOKUP(I21,$U$23:$AL$40,MATCH(K21,$U$23:$AL$23,0),FALSE)</f>
        <v>3</v>
      </c>
      <c r="I21" s="1" t="str">
        <f>MID(A21,1,1)</f>
        <v>ד</v>
      </c>
      <c r="J21" s="1" t="str">
        <f>MID(A21,2,1)</f>
        <v>נ</v>
      </c>
      <c r="K21" s="1" t="str">
        <f>MID(A21,4,1)</f>
        <v>ז</v>
      </c>
      <c r="L21" s="1">
        <f>VLOOKUP(I21,$U:$V,2,0)</f>
        <v>14</v>
      </c>
      <c r="M21" s="1">
        <f>VLOOKUP(J21,$X:$Y,2,0)</f>
        <v>12</v>
      </c>
      <c r="N21" s="1">
        <f>VLOOKUP(K21,$AA:$AB,2,0)</f>
        <v>15</v>
      </c>
      <c r="O21" s="1">
        <f>IF(A21&lt;&gt;"",N21+M21+L21+F21+G21+H21,0)</f>
        <v>48</v>
      </c>
    </row>
    <row r="22" spans="1:38" x14ac:dyDescent="0.25">
      <c r="A22" s="1" t="s">
        <v>679</v>
      </c>
      <c r="B22" s="1" t="s">
        <v>680</v>
      </c>
      <c r="C22" s="1" t="str">
        <f>MID(A22,1,2)</f>
        <v>דנ</v>
      </c>
      <c r="D22" s="1" t="str">
        <f>MID(B22,3,2)</f>
        <v>נט</v>
      </c>
      <c r="E22" s="1" t="str">
        <f>CONCATENATE(I22,K22)</f>
        <v>דט</v>
      </c>
      <c r="F22" s="1">
        <f>VLOOKUP(I22,$U$23:$AL$40,MATCH(J22,$U$23:$AL$23,0),FALSE)</f>
        <v>2</v>
      </c>
      <c r="G22" s="1">
        <f>VLOOKUP(J22,$U$23:$AL$40,MATCH(K22,$U$23:$AL$23,0),FALSE)</f>
        <v>1</v>
      </c>
      <c r="H22" s="1">
        <f>VLOOKUP(I22,$U$23:$AL$40,MATCH(K22,$U$23:$AL$23,0),FALSE)</f>
        <v>3</v>
      </c>
      <c r="I22" s="1" t="str">
        <f>MID(A22,1,1)</f>
        <v>ד</v>
      </c>
      <c r="J22" s="1" t="str">
        <f>MID(A22,2,1)</f>
        <v>נ</v>
      </c>
      <c r="K22" s="1" t="str">
        <f>MID(A22,4,1)</f>
        <v>ט</v>
      </c>
      <c r="L22" s="1">
        <f>VLOOKUP(I22,$U:$V,2,0)</f>
        <v>14</v>
      </c>
      <c r="M22" s="1">
        <f>VLOOKUP(J22,$X:$Y,2,0)</f>
        <v>12</v>
      </c>
      <c r="N22" s="1">
        <f>VLOOKUP(K22,$AA:$AB,2,0)</f>
        <v>14</v>
      </c>
      <c r="O22" s="1">
        <f>IF(A22&lt;&gt;"",N22+M22+L22+F22+G22+H22,0)</f>
        <v>46</v>
      </c>
    </row>
    <row r="23" spans="1:38" x14ac:dyDescent="0.25">
      <c r="A23" t="s">
        <v>657</v>
      </c>
      <c r="B23" t="s">
        <v>658</v>
      </c>
      <c r="C23" s="1" t="str">
        <f>MID(A23,1,2)</f>
        <v>דס</v>
      </c>
      <c r="D23" s="1" t="str">
        <f>MID(B23,3,2)</f>
        <v>סח</v>
      </c>
      <c r="E23" s="1" t="str">
        <f>CONCATENATE(I23,K23)</f>
        <v>דח</v>
      </c>
      <c r="F23" s="1">
        <f>VLOOKUP(I23,$U$23:$AL$40,MATCH(J23,$U$23:$AL$23,0),FALSE)</f>
        <v>3</v>
      </c>
      <c r="G23" s="1">
        <f>VLOOKUP(J23,$U$23:$AL$40,MATCH(K23,$U$23:$AL$23,0),FALSE)</f>
        <v>3</v>
      </c>
      <c r="H23" s="1">
        <f>VLOOKUP(I23,$U$23:$AL$40,MATCH(K23,$U$23:$AL$23,0),FALSE)</f>
        <v>3</v>
      </c>
      <c r="I23" s="1" t="str">
        <f>MID(A23,1,1)</f>
        <v>ד</v>
      </c>
      <c r="J23" s="1" t="str">
        <f>MID(A23,2,1)</f>
        <v>ס</v>
      </c>
      <c r="K23" s="1" t="str">
        <f>MID(A23,4,1)</f>
        <v>ח</v>
      </c>
      <c r="L23" s="1">
        <f>VLOOKUP(I23,$U:$V,2,0)</f>
        <v>14</v>
      </c>
      <c r="M23" s="1">
        <f>VLOOKUP(J23,$X:$Y,2,0)</f>
        <v>9</v>
      </c>
      <c r="N23" s="1">
        <f>VLOOKUP(K23,$AA:$AB,2,0)</f>
        <v>14</v>
      </c>
      <c r="O23" s="1">
        <f>IF(A23&lt;&gt;"",N23+M23+L23+F23+G23+H23,0)</f>
        <v>46</v>
      </c>
      <c r="V23" s="1" t="s">
        <v>0</v>
      </c>
      <c r="W23" s="1" t="s">
        <v>1</v>
      </c>
      <c r="X23" s="1" t="s">
        <v>558</v>
      </c>
      <c r="Y23" s="1" t="s">
        <v>2</v>
      </c>
      <c r="Z23" s="1" t="s">
        <v>3</v>
      </c>
      <c r="AA23" s="1" t="s">
        <v>4</v>
      </c>
      <c r="AB23" s="1" t="s">
        <v>5</v>
      </c>
      <c r="AC23" s="1" t="s">
        <v>6</v>
      </c>
      <c r="AD23" s="1" t="s">
        <v>7</v>
      </c>
      <c r="AE23" s="1" t="s">
        <v>8</v>
      </c>
      <c r="AF23" s="1" t="s">
        <v>9</v>
      </c>
      <c r="AG23" s="1" t="s">
        <v>10</v>
      </c>
      <c r="AH23" s="1" t="s">
        <v>11</v>
      </c>
      <c r="AI23" s="1" t="s">
        <v>12</v>
      </c>
      <c r="AJ23" s="1" t="s">
        <v>13</v>
      </c>
      <c r="AK23" s="1" t="s">
        <v>14</v>
      </c>
      <c r="AL23" s="1" t="s">
        <v>15</v>
      </c>
    </row>
    <row r="24" spans="1:38" x14ac:dyDescent="0.25">
      <c r="A24" t="s">
        <v>599</v>
      </c>
      <c r="B24" t="s">
        <v>600</v>
      </c>
      <c r="C24" s="1" t="str">
        <f>MID(A24,1,2)</f>
        <v>דס</v>
      </c>
      <c r="D24" s="1" t="str">
        <f>MID(B24,3,2)</f>
        <v>סר</v>
      </c>
      <c r="E24" s="1" t="str">
        <f>CONCATENATE(I24,K24)</f>
        <v>דר</v>
      </c>
      <c r="F24" s="1">
        <f>VLOOKUP(I24,$U$23:$AL$40,MATCH(J24,$U$23:$AL$23,0),FALSE)</f>
        <v>3</v>
      </c>
      <c r="G24" s="1">
        <f>VLOOKUP(J24,$U$23:$AL$40,MATCH(K24,$U$23:$AL$23,0),FALSE)</f>
        <v>3</v>
      </c>
      <c r="H24" s="1">
        <f>VLOOKUP(I24,$U$23:$AL$40,MATCH(K24,$U$23:$AL$23,0),FALSE)</f>
        <v>3</v>
      </c>
      <c r="I24" s="1" t="str">
        <f>MID(A24,1,1)</f>
        <v>ד</v>
      </c>
      <c r="J24" s="1" t="str">
        <f>MID(A24,2,1)</f>
        <v>ס</v>
      </c>
      <c r="K24" s="1" t="str">
        <f>MID(A24,4,1)</f>
        <v>ר</v>
      </c>
      <c r="L24" s="1">
        <f>VLOOKUP(I24,$U:$V,2,0)</f>
        <v>14</v>
      </c>
      <c r="M24" s="1">
        <f>VLOOKUP(J24,$X:$Y,2,0)</f>
        <v>9</v>
      </c>
      <c r="N24" s="1">
        <f>VLOOKUP(K24,$AA:$AB,2,0)</f>
        <v>14</v>
      </c>
      <c r="O24" s="1">
        <f>IF(A24&lt;&gt;"",N24+M24+L24+F24+G24+H24,0)</f>
        <v>46</v>
      </c>
      <c r="U24" s="1" t="s">
        <v>0</v>
      </c>
      <c r="V24" s="1">
        <f>COUNTIF($C:$E,CONCATENATE($U24,V$23))</f>
        <v>0</v>
      </c>
      <c r="W24" s="1">
        <f>COUNTIF($C:$E,CONCATENATE($U24,W$23))</f>
        <v>3</v>
      </c>
      <c r="X24" s="1">
        <f>COUNTIF($C:$E,CONCATENATE($U24,X$23))</f>
        <v>1</v>
      </c>
      <c r="Y24" s="1">
        <f>COUNTIF($C:$E,CONCATENATE($U24,Y$23))</f>
        <v>4</v>
      </c>
      <c r="Z24" s="1">
        <f>COUNTIF($C:$E,CONCATENATE($U24,Z$23))</f>
        <v>4</v>
      </c>
      <c r="AA24" s="1">
        <f>COUNTIF($C:$E,CONCATENATE($U24,AA$23))</f>
        <v>0</v>
      </c>
      <c r="AB24" s="1">
        <f>COUNTIF($C:$E,CONCATENATE($U24,AB$23))</f>
        <v>2</v>
      </c>
      <c r="AC24" s="1">
        <f>COUNTIF($C:$E,CONCATENATE($U24,AC$23))</f>
        <v>2</v>
      </c>
      <c r="AD24" s="1">
        <f>COUNTIF($C:$E,CONCATENATE($U24,AD$23))</f>
        <v>2</v>
      </c>
      <c r="AE24" s="1">
        <f>COUNTIF($C:$E,CONCATENATE($U24,AE$23))</f>
        <v>3</v>
      </c>
      <c r="AF24" s="1">
        <f>COUNTIF($C:$E,CONCATENATE($U24,AF$23))</f>
        <v>3</v>
      </c>
      <c r="AG24" s="1">
        <f>COUNTIF($C:$E,CONCATENATE($U24,AG$23))</f>
        <v>1</v>
      </c>
      <c r="AH24" s="1">
        <f>COUNTIF($C:$E,CONCATENATE($U24,AH$23))</f>
        <v>1</v>
      </c>
      <c r="AI24" s="1">
        <f>COUNTIF($C:$E,CONCATENATE($U24,AI$23))</f>
        <v>3</v>
      </c>
      <c r="AJ24" s="1">
        <f>COUNTIF($C:$E,CONCATENATE($U24,AJ$23))</f>
        <v>3</v>
      </c>
      <c r="AK24" s="1">
        <f>COUNTIF($C:$E,CONCATENATE($U24,AK$23))</f>
        <v>3</v>
      </c>
      <c r="AL24" s="1">
        <f>COUNTIF($C:$E,CONCATENATE($U24,AL$23))</f>
        <v>1</v>
      </c>
    </row>
    <row r="25" spans="1:38" x14ac:dyDescent="0.25">
      <c r="A25" t="s">
        <v>575</v>
      </c>
      <c r="B25" t="s">
        <v>576</v>
      </c>
      <c r="C25" s="1" t="str">
        <f>MID(A25,1,2)</f>
        <v>דפ</v>
      </c>
      <c r="D25" s="1" t="str">
        <f>MID(B25,3,2)</f>
        <v>פז</v>
      </c>
      <c r="E25" s="1" t="str">
        <f>CONCATENATE(I25,K25)</f>
        <v>דז</v>
      </c>
      <c r="F25" s="1">
        <f>VLOOKUP(I25,$U$23:$AL$40,MATCH(J25,$U$23:$AL$23,0),FALSE)</f>
        <v>1</v>
      </c>
      <c r="G25" s="1">
        <f>VLOOKUP(J25,$U$23:$AL$40,MATCH(K25,$U$23:$AL$23,0),FALSE)</f>
        <v>3</v>
      </c>
      <c r="H25" s="1">
        <f>VLOOKUP(I25,$U$23:$AL$40,MATCH(K25,$U$23:$AL$23,0),FALSE)</f>
        <v>3</v>
      </c>
      <c r="I25" s="1" t="str">
        <f>MID(A25,1,1)</f>
        <v>ד</v>
      </c>
      <c r="J25" s="1" t="str">
        <f>MID(A25,2,1)</f>
        <v>פ</v>
      </c>
      <c r="K25" s="1" t="str">
        <f>MID(A25,4,1)</f>
        <v>ז</v>
      </c>
      <c r="L25" s="1">
        <f>VLOOKUP(I25,$U:$V,2,0)</f>
        <v>14</v>
      </c>
      <c r="M25" s="1">
        <f>VLOOKUP(J25,$X:$Y,2,0)</f>
        <v>10</v>
      </c>
      <c r="N25" s="1">
        <f>VLOOKUP(K25,$AA:$AB,2,0)</f>
        <v>15</v>
      </c>
      <c r="O25" s="1">
        <f>IF(A25&lt;&gt;"",N25+M25+L25+F25+G25+H25,0)</f>
        <v>46</v>
      </c>
      <c r="U25" s="1" t="s">
        <v>1</v>
      </c>
      <c r="V25" s="1">
        <f>COUNTIF($C:$E,CONCATENATE($U25,V$23))</f>
        <v>3</v>
      </c>
      <c r="W25" s="1">
        <f>COUNTIF($C:$E,CONCATENATE($U25,W$23))</f>
        <v>0</v>
      </c>
      <c r="X25" s="1">
        <f>COUNTIF($C:$E,CONCATENATE($U25,X$23))</f>
        <v>3</v>
      </c>
      <c r="Y25" s="1">
        <f>COUNTIF($C:$E,CONCATENATE($U25,Y$23))</f>
        <v>3</v>
      </c>
      <c r="Z25" s="1">
        <f>COUNTIF($C:$E,CONCATENATE($U25,Z$23))</f>
        <v>3</v>
      </c>
      <c r="AA25" s="1">
        <f>COUNTIF($C:$E,CONCATENATE($U25,AA$23))</f>
        <v>1</v>
      </c>
      <c r="AB25" s="1">
        <f>COUNTIF($C:$E,CONCATENATE($U25,AB$23))</f>
        <v>3</v>
      </c>
      <c r="AC25" s="1">
        <f>COUNTIF($C:$E,CONCATENATE($U25,AC$23))</f>
        <v>1</v>
      </c>
      <c r="AD25" s="1">
        <f>COUNTIF($C:$E,CONCATENATE($U25,AD$23))</f>
        <v>2</v>
      </c>
      <c r="AE25" s="1">
        <f>COUNTIF($C:$E,CONCATENATE($U25,AE$23))</f>
        <v>3</v>
      </c>
      <c r="AF25" s="1">
        <f>COUNTIF($C:$E,CONCATENATE($U25,AF$23))</f>
        <v>2</v>
      </c>
      <c r="AG25" s="1">
        <f>COUNTIF($C:$E,CONCATENATE($U25,AG$23))</f>
        <v>1</v>
      </c>
      <c r="AH25" s="1">
        <f>COUNTIF($C:$E,CONCATENATE($U25,AH$23))</f>
        <v>1</v>
      </c>
      <c r="AI25" s="1">
        <f>COUNTIF($C:$E,CONCATENATE($U25,AI$23))</f>
        <v>4</v>
      </c>
      <c r="AJ25" s="1">
        <f>COUNTIF($C:$E,CONCATENATE($U25,AJ$23))</f>
        <v>3</v>
      </c>
      <c r="AK25" s="1">
        <f>COUNTIF($C:$E,CONCATENATE($U25,AK$23))</f>
        <v>3</v>
      </c>
      <c r="AL25" s="1">
        <f>COUNTIF($C:$E,CONCATENATE($U25,AL$23))</f>
        <v>1</v>
      </c>
    </row>
    <row r="26" spans="1:38" ht="14.4" x14ac:dyDescent="0.3">
      <c r="A26" t="s">
        <v>777</v>
      </c>
      <c r="B26" t="s">
        <v>778</v>
      </c>
      <c r="C26" s="1" t="str">
        <f>MID(A26,1,2)</f>
        <v>דצ</v>
      </c>
      <c r="D26" s="1" t="str">
        <f>MID(B26,3,2)</f>
        <v>צק</v>
      </c>
      <c r="E26" s="1" t="str">
        <f>CONCATENATE(I26,K26)</f>
        <v>דק</v>
      </c>
      <c r="F26" s="1">
        <f>VLOOKUP(I26,$U$23:$AL$40,MATCH(J26,$U$23:$AL$23,0),FALSE)</f>
        <v>1</v>
      </c>
      <c r="G26" s="1">
        <f>VLOOKUP(J26,$U$23:$AL$40,MATCH(K26,$U$23:$AL$23,0),FALSE)</f>
        <v>2</v>
      </c>
      <c r="H26" s="1">
        <f>VLOOKUP(I26,$U$23:$AL$40,MATCH(K26,$U$23:$AL$23,0),FALSE)</f>
        <v>4</v>
      </c>
      <c r="I26" s="1" t="str">
        <f>MID(A26,1,1)</f>
        <v>ד</v>
      </c>
      <c r="J26" s="1" t="str">
        <f>MID(A26,2,1)</f>
        <v>צ</v>
      </c>
      <c r="K26" s="1" t="str">
        <f>MID(A26,4,1)</f>
        <v>ק</v>
      </c>
      <c r="L26" s="1">
        <f>VLOOKUP(I26,$U:$V,2,0)</f>
        <v>14</v>
      </c>
      <c r="M26" s="1">
        <f>VLOOKUP(J26,$X:$Y,2,0)</f>
        <v>10</v>
      </c>
      <c r="N26" s="1">
        <f>VLOOKUP(K26,$AA:$AB,2,0)</f>
        <v>15</v>
      </c>
      <c r="O26" s="1">
        <f>IF(A26&lt;&gt;"",N26+M26+L26+F26+G26+H26,0)</f>
        <v>46</v>
      </c>
      <c r="S26" s="39" t="s">
        <v>445</v>
      </c>
      <c r="U26" s="1" t="s">
        <v>558</v>
      </c>
      <c r="V26" s="1">
        <f>COUNTIF($C:$E,CONCATENATE($U26,V$23))</f>
        <v>3</v>
      </c>
      <c r="W26" s="1">
        <f>COUNTIF($C:$E,CONCATENATE($U26,W$23))</f>
        <v>3</v>
      </c>
      <c r="X26" s="1">
        <f>COUNTIF($C:$E,CONCATENATE($U26,X$23))</f>
        <v>0</v>
      </c>
      <c r="Y26" s="1">
        <f>COUNTIF($C:$E,CONCATENATE($U26,Y$23))</f>
        <v>3</v>
      </c>
      <c r="Z26" s="1">
        <f>COUNTIF($C:$E,CONCATENATE($U26,Z$23))</f>
        <v>3</v>
      </c>
      <c r="AA26" s="1">
        <f>COUNTIF($C:$E,CONCATENATE($U26,AA$23))</f>
        <v>1</v>
      </c>
      <c r="AB26" s="1">
        <f>COUNTIF($C:$E,CONCATENATE($U26,AB$23))</f>
        <v>3</v>
      </c>
      <c r="AC26" s="1">
        <f>COUNTIF($C:$E,CONCATENATE($U26,AC$23))</f>
        <v>1</v>
      </c>
      <c r="AD26" s="1">
        <f>COUNTIF($C:$E,CONCATENATE($U26,AD$23))</f>
        <v>1</v>
      </c>
      <c r="AE26" s="1">
        <f>COUNTIF($C:$E,CONCATENATE($U26,AE$23))</f>
        <v>3</v>
      </c>
      <c r="AF26" s="1">
        <f>COUNTIF($C:$E,CONCATENATE($U26,AF$23))</f>
        <v>3</v>
      </c>
      <c r="AG26" s="1">
        <f>COUNTIF($C:$E,CONCATENATE($U26,AG$23))</f>
        <v>1</v>
      </c>
      <c r="AH26" s="1">
        <f>COUNTIF($C:$E,CONCATENATE($U26,AH$23))</f>
        <v>1</v>
      </c>
      <c r="AI26" s="1">
        <f>COUNTIF($C:$E,CONCATENATE($U26,AI$23))</f>
        <v>4</v>
      </c>
      <c r="AJ26" s="1">
        <f>COUNTIF($C:$E,CONCATENATE($U26,AJ$23))</f>
        <v>3</v>
      </c>
      <c r="AK26" s="1">
        <f>COUNTIF($C:$E,CONCATENATE($U26,AK$23))</f>
        <v>3</v>
      </c>
      <c r="AL26" s="1">
        <f>COUNTIF($C:$E,CONCATENATE($U26,AL$23))</f>
        <v>1</v>
      </c>
    </row>
    <row r="27" spans="1:38" x14ac:dyDescent="0.25">
      <c r="A27" s="1" t="s">
        <v>691</v>
      </c>
      <c r="B27" s="1" t="s">
        <v>692</v>
      </c>
      <c r="C27" s="1" t="str">
        <f>MID(A27,1,2)</f>
        <v>דר</v>
      </c>
      <c r="D27" s="1" t="str">
        <f>MID(B27,3,2)</f>
        <v>רס</v>
      </c>
      <c r="E27" s="1" t="str">
        <f>CONCATENATE(I27,K27)</f>
        <v>דס</v>
      </c>
      <c r="F27" s="1">
        <f>VLOOKUP(I27,$U$23:$AL$40,MATCH(J27,$U$23:$AL$23,0),FALSE)</f>
        <v>3</v>
      </c>
      <c r="G27" s="1">
        <f>VLOOKUP(J27,$U$23:$AL$40,MATCH(K27,$U$23:$AL$23,0),FALSE)</f>
        <v>4</v>
      </c>
      <c r="H27" s="1">
        <f>VLOOKUP(I27,$U$23:$AL$40,MATCH(K27,$U$23:$AL$23,0),FALSE)</f>
        <v>3</v>
      </c>
      <c r="I27" s="1" t="str">
        <f>MID(A27,1,1)</f>
        <v>ד</v>
      </c>
      <c r="J27" s="1" t="str">
        <f>MID(A27,2,1)</f>
        <v>ר</v>
      </c>
      <c r="K27" s="1" t="str">
        <f>MID(A27,4,1)</f>
        <v>ס</v>
      </c>
      <c r="L27" s="1">
        <f>VLOOKUP(I27,$U:$V,2,0)</f>
        <v>14</v>
      </c>
      <c r="M27" s="1">
        <f>VLOOKUP(J27,$X:$Y,2,0)</f>
        <v>8</v>
      </c>
      <c r="N27" s="1">
        <f>VLOOKUP(K27,$AA:$AB,2,0)</f>
        <v>15</v>
      </c>
      <c r="O27" s="1">
        <f>IF(A27&lt;&gt;"",N27+M27+L27+F27+G27+H27,0)</f>
        <v>47</v>
      </c>
      <c r="U27" s="1" t="s">
        <v>2</v>
      </c>
      <c r="V27" s="1">
        <f>COUNTIF($C:$E,CONCATENATE($U27,V$23))</f>
        <v>3</v>
      </c>
      <c r="W27" s="1">
        <f>COUNTIF($C:$E,CONCATENATE($U27,W$23))</f>
        <v>4</v>
      </c>
      <c r="X27" s="1">
        <f>COUNTIF($C:$E,CONCATENATE($U27,X$23))</f>
        <v>4</v>
      </c>
      <c r="Y27" s="1">
        <f>COUNTIF($C:$E,CONCATENATE($U27,Y$23))</f>
        <v>0</v>
      </c>
      <c r="Z27" s="1">
        <f>COUNTIF($C:$E,CONCATENATE($U27,Z$23))</f>
        <v>3</v>
      </c>
      <c r="AA27" s="1">
        <f>COUNTIF($C:$E,CONCATENATE($U27,AA$23))</f>
        <v>1</v>
      </c>
      <c r="AB27" s="1">
        <f>COUNTIF($C:$E,CONCATENATE($U27,AB$23))</f>
        <v>3</v>
      </c>
      <c r="AC27" s="1">
        <f>COUNTIF($C:$E,CONCATENATE($U27,AC$23))</f>
        <v>2</v>
      </c>
      <c r="AD27" s="1">
        <f>COUNTIF($C:$E,CONCATENATE($U27,AD$23))</f>
        <v>0</v>
      </c>
      <c r="AE27" s="1">
        <f>COUNTIF($C:$E,CONCATENATE($U27,AE$23))</f>
        <v>3</v>
      </c>
      <c r="AF27" s="1">
        <f>COUNTIF($C:$E,CONCATENATE($U27,AF$23))</f>
        <v>3</v>
      </c>
      <c r="AG27" s="1">
        <f>COUNTIF($C:$E,CONCATENATE($U27,AG$23))</f>
        <v>1</v>
      </c>
      <c r="AH27" s="1">
        <f>COUNTIF($C:$E,CONCATENATE($U27,AH$23))</f>
        <v>1</v>
      </c>
      <c r="AI27" s="1">
        <f>COUNTIF($C:$E,CONCATENATE($U27,AI$23))</f>
        <v>3</v>
      </c>
      <c r="AJ27" s="1">
        <f>COUNTIF($C:$E,CONCATENATE($U27,AJ$23))</f>
        <v>2</v>
      </c>
      <c r="AK27" s="1">
        <f>COUNTIF($C:$E,CONCATENATE($U27,AK$23))</f>
        <v>3</v>
      </c>
      <c r="AL27" s="1">
        <f>COUNTIF($C:$E,CONCATENATE($U27,AL$23))</f>
        <v>1</v>
      </c>
    </row>
    <row r="28" spans="1:38" x14ac:dyDescent="0.25">
      <c r="A28" t="s">
        <v>635</v>
      </c>
      <c r="B28" t="s">
        <v>636</v>
      </c>
      <c r="C28" s="1" t="str">
        <f>MID(A28,1,2)</f>
        <v>דת</v>
      </c>
      <c r="D28" s="1" t="str">
        <f>MID(B28,3,2)</f>
        <v>תל</v>
      </c>
      <c r="E28" s="1" t="str">
        <f>CONCATENATE(I28,K28)</f>
        <v>דל</v>
      </c>
      <c r="F28" s="1">
        <f>VLOOKUP(I28,$U$23:$AL$40,MATCH(J28,$U$23:$AL$23,0),FALSE)</f>
        <v>1</v>
      </c>
      <c r="G28" s="1">
        <f>VLOOKUP(J28,$U$23:$AL$40,MATCH(K28,$U$23:$AL$23,0),FALSE)</f>
        <v>2</v>
      </c>
      <c r="H28" s="1">
        <f>VLOOKUP(I28,$U$23:$AL$40,MATCH(K28,$U$23:$AL$23,0),FALSE)</f>
        <v>3</v>
      </c>
      <c r="I28" s="1" t="str">
        <f>MID(A28,1,1)</f>
        <v>ד</v>
      </c>
      <c r="J28" s="1" t="str">
        <f>MID(A28,2,1)</f>
        <v>ת</v>
      </c>
      <c r="K28" s="1" t="str">
        <f>MID(A28,4,1)</f>
        <v>ל</v>
      </c>
      <c r="L28" s="1">
        <f>VLOOKUP(I28,$U:$V,2,0)</f>
        <v>14</v>
      </c>
      <c r="M28" s="1">
        <f>VLOOKUP(J28,$X:$Y,2,0)</f>
        <v>12</v>
      </c>
      <c r="N28" s="1">
        <f>VLOOKUP(K28,$AA:$AB,2,0)</f>
        <v>14</v>
      </c>
      <c r="O28" s="1">
        <f>IF(A28&lt;&gt;"",N28+M28+L28+F28+G28+H28,0)</f>
        <v>46</v>
      </c>
      <c r="U28" s="1" t="s">
        <v>3</v>
      </c>
      <c r="V28" s="1">
        <f>COUNTIF($C:$E,CONCATENATE($U28,V$23))</f>
        <v>4</v>
      </c>
      <c r="W28" s="1">
        <f>COUNTIF($C:$E,CONCATENATE($U28,W$23))</f>
        <v>3</v>
      </c>
      <c r="X28" s="1">
        <f>COUNTIF($C:$E,CONCATENATE($U28,X$23))</f>
        <v>3</v>
      </c>
      <c r="Y28" s="1">
        <f>COUNTIF($C:$E,CONCATENATE($U28,Y$23))</f>
        <v>3</v>
      </c>
      <c r="Z28" s="1">
        <f>COUNTIF($C:$E,CONCATENATE($U28,Z$23))</f>
        <v>0</v>
      </c>
      <c r="AA28" s="1">
        <f>COUNTIF($C:$E,CONCATENATE($U28,AA$23))</f>
        <v>2</v>
      </c>
      <c r="AB28" s="1">
        <f>COUNTIF($C:$E,CONCATENATE($U28,AB$23))</f>
        <v>3</v>
      </c>
      <c r="AC28" s="1">
        <f>COUNTIF($C:$E,CONCATENATE($U28,AC$23))</f>
        <v>2</v>
      </c>
      <c r="AD28" s="1">
        <f>COUNTIF($C:$E,CONCATENATE($U28,AD$23))</f>
        <v>1</v>
      </c>
      <c r="AE28" s="1">
        <f>COUNTIF($C:$E,CONCATENATE($U28,AE$23))</f>
        <v>4</v>
      </c>
      <c r="AF28" s="1">
        <f>COUNTIF($C:$E,CONCATENATE($U28,AF$23))</f>
        <v>3</v>
      </c>
      <c r="AG28" s="1">
        <f>COUNTIF($C:$E,CONCATENATE($U28,AG$23))</f>
        <v>1</v>
      </c>
      <c r="AH28" s="1">
        <f>COUNTIF($C:$E,CONCATENATE($U28,AH$23))</f>
        <v>1</v>
      </c>
      <c r="AI28" s="1">
        <f>COUNTIF($C:$E,CONCATENATE($U28,AI$23))</f>
        <v>2</v>
      </c>
      <c r="AJ28" s="1">
        <f>COUNTIF($C:$E,CONCATENATE($U28,AJ$23))</f>
        <v>3</v>
      </c>
      <c r="AK28" s="1">
        <f>COUNTIF($C:$E,CONCATENATE($U28,AK$23))</f>
        <v>2</v>
      </c>
      <c r="AL28" s="1">
        <f>COUNTIF($C:$E,CONCATENATE($U28,AL$23))</f>
        <v>1</v>
      </c>
    </row>
    <row r="29" spans="1:38" x14ac:dyDescent="0.25">
      <c r="A29" s="1" t="s">
        <v>713</v>
      </c>
      <c r="B29" s="1" t="s">
        <v>714</v>
      </c>
      <c r="C29" s="1" t="str">
        <f>MID(A29,1,2)</f>
        <v>זד</v>
      </c>
      <c r="D29" s="1" t="str">
        <f>MID(B29,3,2)</f>
        <v>דע</v>
      </c>
      <c r="E29" s="1" t="str">
        <f>CONCATENATE(I29,K29)</f>
        <v>זע</v>
      </c>
      <c r="F29" s="1">
        <f>VLOOKUP(I29,$U$23:$AL$40,MATCH(J29,$U$23:$AL$23,0),FALSE)</f>
        <v>3</v>
      </c>
      <c r="G29" s="1">
        <f>VLOOKUP(J29,$U$23:$AL$40,MATCH(K29,$U$23:$AL$23,0),FALSE)</f>
        <v>2</v>
      </c>
      <c r="H29" s="1">
        <f>VLOOKUP(I29,$U$23:$AL$40,MATCH(K29,$U$23:$AL$23,0),FALSE)</f>
        <v>3</v>
      </c>
      <c r="I29" s="1" t="str">
        <f>MID(A29,1,1)</f>
        <v>ז</v>
      </c>
      <c r="J29" s="1" t="str">
        <f>MID(A29,2,1)</f>
        <v>ד</v>
      </c>
      <c r="K29" s="1" t="str">
        <f>MID(A29,4,1)</f>
        <v>ע</v>
      </c>
      <c r="L29" s="1">
        <f>VLOOKUP(I29,$U:$V,2,0)</f>
        <v>15</v>
      </c>
      <c r="M29" s="1">
        <f>VLOOKUP(J29,$X:$Y,2,0)</f>
        <v>9</v>
      </c>
      <c r="N29" s="1">
        <f>VLOOKUP(K29,$AA:$AB,2,0)</f>
        <v>15</v>
      </c>
      <c r="O29" s="1">
        <f>IF(A29&lt;&gt;"",N29+M29+L29+F29+G29+H29,0)</f>
        <v>47</v>
      </c>
      <c r="U29" s="1" t="s">
        <v>4</v>
      </c>
      <c r="V29" s="1">
        <f>COUNTIF($C:$E,CONCATENATE($U29,V$23))</f>
        <v>1</v>
      </c>
      <c r="W29" s="1">
        <f>COUNTIF($C:$E,CONCATENATE($U29,W$23))</f>
        <v>2</v>
      </c>
      <c r="X29" s="1">
        <f>COUNTIF($C:$E,CONCATENATE($U29,X$23))</f>
        <v>1</v>
      </c>
      <c r="Y29" s="1">
        <f>COUNTIF($C:$E,CONCATENATE($U29,Y$23))</f>
        <v>0</v>
      </c>
      <c r="Z29" s="1">
        <f>COUNTIF($C:$E,CONCATENATE($U29,Z$23))</f>
        <v>0</v>
      </c>
      <c r="AA29" s="1">
        <f>COUNTIF($C:$E,CONCATENATE($U29,AA$23))</f>
        <v>0</v>
      </c>
      <c r="AB29" s="1">
        <f>COUNTIF($C:$E,CONCATENATE($U29,AB$23))</f>
        <v>1</v>
      </c>
      <c r="AC29" s="1">
        <f>COUNTIF($C:$E,CONCATENATE($U29,AC$23))</f>
        <v>0</v>
      </c>
      <c r="AD29" s="1">
        <f>COUNTIF($C:$E,CONCATENATE($U29,AD$23))</f>
        <v>0</v>
      </c>
      <c r="AE29" s="1">
        <f>COUNTIF($C:$E,CONCATENATE($U29,AE$23))</f>
        <v>1</v>
      </c>
      <c r="AF29" s="1">
        <f>COUNTIF($C:$E,CONCATENATE($U29,AF$23))</f>
        <v>1</v>
      </c>
      <c r="AG29" s="1">
        <f>COUNTIF($C:$E,CONCATENATE($U29,AG$23))</f>
        <v>0</v>
      </c>
      <c r="AH29" s="1">
        <f>COUNTIF($C:$E,CONCATENATE($U29,AH$23))</f>
        <v>0</v>
      </c>
      <c r="AI29" s="1">
        <f>COUNTIF($C:$E,CONCATENATE($U29,AI$23))</f>
        <v>1</v>
      </c>
      <c r="AJ29" s="1">
        <f>COUNTIF($C:$E,CONCATENATE($U29,AJ$23))</f>
        <v>1</v>
      </c>
      <c r="AK29" s="1">
        <f>COUNTIF($C:$E,CONCATENATE($U29,AK$23))</f>
        <v>2</v>
      </c>
      <c r="AL29" s="1">
        <f>COUNTIF($C:$E,CONCATENATE($U29,AL$23))</f>
        <v>0</v>
      </c>
    </row>
    <row r="30" spans="1:38" x14ac:dyDescent="0.25">
      <c r="A30" t="s">
        <v>767</v>
      </c>
      <c r="B30" t="s">
        <v>768</v>
      </c>
      <c r="C30" s="1" t="str">
        <f>MID(A30,1,2)</f>
        <v>זח</v>
      </c>
      <c r="D30" s="1" t="str">
        <f>MID(B30,3,2)</f>
        <v>חט</v>
      </c>
      <c r="E30" s="1" t="str">
        <f>CONCATENATE(I30,K30)</f>
        <v>זט</v>
      </c>
      <c r="F30" s="1">
        <f>VLOOKUP(I30,$U$23:$AL$40,MATCH(J30,$U$23:$AL$23,0),FALSE)</f>
        <v>3</v>
      </c>
      <c r="G30" s="1">
        <f>VLOOKUP(J30,$U$23:$AL$40,MATCH(K30,$U$23:$AL$23,0),FALSE)</f>
        <v>3</v>
      </c>
      <c r="H30" s="1">
        <f>VLOOKUP(I30,$U$23:$AL$40,MATCH(K30,$U$23:$AL$23,0),FALSE)</f>
        <v>3</v>
      </c>
      <c r="I30" s="1" t="str">
        <f>MID(A30,1,1)</f>
        <v>ז</v>
      </c>
      <c r="J30" s="1" t="str">
        <f>MID(A30,2,1)</f>
        <v>ח</v>
      </c>
      <c r="K30" s="1" t="str">
        <f>MID(A30,4,1)</f>
        <v>ט</v>
      </c>
      <c r="L30" s="1">
        <f>VLOOKUP(I30,$U:$V,2,0)</f>
        <v>15</v>
      </c>
      <c r="M30" s="1">
        <f>VLOOKUP(J30,$X:$Y,2,0)</f>
        <v>9</v>
      </c>
      <c r="N30" s="1">
        <f>VLOOKUP(K30,$AA:$AB,2,0)</f>
        <v>14</v>
      </c>
      <c r="O30" s="1">
        <f>IF(A30&lt;&gt;"",N30+M30+L30+F30+G30+H30,0)</f>
        <v>47</v>
      </c>
      <c r="U30" s="1" t="s">
        <v>5</v>
      </c>
      <c r="V30" s="1">
        <f>COUNTIF($C:$E,CONCATENATE($U30,V$23))</f>
        <v>1</v>
      </c>
      <c r="W30" s="1">
        <f>COUNTIF($C:$E,CONCATENATE($U30,W$23))</f>
        <v>1</v>
      </c>
      <c r="X30" s="1">
        <f>COUNTIF($C:$E,CONCATENATE($U30,X$23))</f>
        <v>1</v>
      </c>
      <c r="Y30" s="1">
        <f>COUNTIF($C:$E,CONCATENATE($U30,Y$23))</f>
        <v>1</v>
      </c>
      <c r="Z30" s="1">
        <f>COUNTIF($C:$E,CONCATENATE($U30,Z$23))</f>
        <v>0</v>
      </c>
      <c r="AA30" s="1">
        <f>COUNTIF($C:$E,CONCATENATE($U30,AA$23))</f>
        <v>0</v>
      </c>
      <c r="AB30" s="1">
        <f>COUNTIF($C:$E,CONCATENATE($U30,AB$23))</f>
        <v>0</v>
      </c>
      <c r="AC30" s="1">
        <f>COUNTIF($C:$E,CONCATENATE($U30,AC$23))</f>
        <v>0</v>
      </c>
      <c r="AD30" s="1">
        <f>COUNTIF($C:$E,CONCATENATE($U30,AD$23))</f>
        <v>0</v>
      </c>
      <c r="AE30" s="1">
        <f>COUNTIF($C:$E,CONCATENATE($U30,AE$23))</f>
        <v>1</v>
      </c>
      <c r="AF30" s="1">
        <f>COUNTIF($C:$E,CONCATENATE($U30,AF$23))</f>
        <v>1</v>
      </c>
      <c r="AG30" s="1">
        <f>COUNTIF($C:$E,CONCATENATE($U30,AG$23))</f>
        <v>0</v>
      </c>
      <c r="AH30" s="1">
        <f>COUNTIF($C:$E,CONCATENATE($U30,AH$23))</f>
        <v>0</v>
      </c>
      <c r="AI30" s="1">
        <f>COUNTIF($C:$E,CONCATENATE($U30,AI$23))</f>
        <v>2</v>
      </c>
      <c r="AJ30" s="1">
        <f>COUNTIF($C:$E,CONCATENATE($U30,AJ$23))</f>
        <v>1</v>
      </c>
      <c r="AK30" s="1">
        <f>COUNTIF($C:$E,CONCATENATE($U30,AK$23))</f>
        <v>1</v>
      </c>
      <c r="AL30" s="1">
        <f>COUNTIF($C:$E,CONCATENATE($U30,AL$23))</f>
        <v>0</v>
      </c>
    </row>
    <row r="31" spans="1:38" x14ac:dyDescent="0.25">
      <c r="A31" t="s">
        <v>745</v>
      </c>
      <c r="B31" t="s">
        <v>746</v>
      </c>
      <c r="C31" s="1" t="str">
        <f>MID(A31,1,2)</f>
        <v>זט</v>
      </c>
      <c r="D31" s="1" t="str">
        <f>MID(B31,3,2)</f>
        <v>טד</v>
      </c>
      <c r="E31" s="1" t="str">
        <f>CONCATENATE(I31,K31)</f>
        <v>זד</v>
      </c>
      <c r="F31" s="1">
        <f>VLOOKUP(I31,$U$23:$AL$40,MATCH(J31,$U$23:$AL$23,0),FALSE)</f>
        <v>3</v>
      </c>
      <c r="G31" s="1">
        <f>VLOOKUP(J31,$U$23:$AL$40,MATCH(K31,$U$23:$AL$23,0),FALSE)</f>
        <v>3</v>
      </c>
      <c r="H31" s="1">
        <f>VLOOKUP(I31,$U$23:$AL$40,MATCH(K31,$U$23:$AL$23,0),FALSE)</f>
        <v>3</v>
      </c>
      <c r="I31" s="1" t="str">
        <f>MID(A31,1,1)</f>
        <v>ז</v>
      </c>
      <c r="J31" s="1" t="str">
        <f>MID(A31,2,1)</f>
        <v>ט</v>
      </c>
      <c r="K31" s="1" t="str">
        <f>MID(A31,4,1)</f>
        <v>ד</v>
      </c>
      <c r="L31" s="1">
        <f>VLOOKUP(I31,$U:$V,2,0)</f>
        <v>15</v>
      </c>
      <c r="M31" s="1">
        <f>VLOOKUP(J31,$X:$Y,2,0)</f>
        <v>8</v>
      </c>
      <c r="N31" s="1">
        <f>VLOOKUP(K31,$AA:$AB,2,0)</f>
        <v>14</v>
      </c>
      <c r="O31" s="1">
        <f>IF(A31&lt;&gt;"",N31+M31+L31+F31+G31+H31,0)</f>
        <v>46</v>
      </c>
      <c r="U31" s="1" t="s">
        <v>6</v>
      </c>
      <c r="V31" s="1">
        <f>COUNTIF($C:$E,CONCATENATE($U31,V$23))</f>
        <v>2</v>
      </c>
      <c r="W31" s="1">
        <f>COUNTIF($C:$E,CONCATENATE($U31,W$23))</f>
        <v>2</v>
      </c>
      <c r="X31" s="1">
        <f>COUNTIF($C:$E,CONCATENATE($U31,X$23))</f>
        <v>1</v>
      </c>
      <c r="Y31" s="1">
        <f>COUNTIF($C:$E,CONCATENATE($U31,Y$23))</f>
        <v>1</v>
      </c>
      <c r="Z31" s="1">
        <f>COUNTIF($C:$E,CONCATENATE($U31,Z$23))</f>
        <v>1</v>
      </c>
      <c r="AA31" s="1">
        <f>COUNTIF($C:$E,CONCATENATE($U31,AA$23))</f>
        <v>0</v>
      </c>
      <c r="AB31" s="1">
        <f>COUNTIF($C:$E,CONCATENATE($U31,AB$23))</f>
        <v>0</v>
      </c>
      <c r="AC31" s="1">
        <f>COUNTIF($C:$E,CONCATENATE($U31,AC$23))</f>
        <v>0</v>
      </c>
      <c r="AD31" s="1">
        <f>COUNTIF($C:$E,CONCATENATE($U31,AD$23))</f>
        <v>0</v>
      </c>
      <c r="AE31" s="1">
        <f>COUNTIF($C:$E,CONCATENATE($U31,AE$23))</f>
        <v>1</v>
      </c>
      <c r="AF31" s="1">
        <f>COUNTIF($C:$E,CONCATENATE($U31,AF$23))</f>
        <v>2</v>
      </c>
      <c r="AG31" s="1">
        <f>COUNTIF($C:$E,CONCATENATE($U31,AG$23))</f>
        <v>0</v>
      </c>
      <c r="AH31" s="1">
        <f>COUNTIF($C:$E,CONCATENATE($U31,AH$23))</f>
        <v>0</v>
      </c>
      <c r="AI31" s="1">
        <f>COUNTIF($C:$E,CONCATENATE($U31,AI$23))</f>
        <v>1</v>
      </c>
      <c r="AJ31" s="1">
        <f>COUNTIF($C:$E,CONCATENATE($U31,AJ$23))</f>
        <v>0</v>
      </c>
      <c r="AK31" s="1">
        <f>COUNTIF($C:$E,CONCATENATE($U31,AK$23))</f>
        <v>1</v>
      </c>
      <c r="AL31" s="1">
        <f>COUNTIF($C:$E,CONCATENATE($U31,AL$23))</f>
        <v>0</v>
      </c>
    </row>
    <row r="32" spans="1:38" x14ac:dyDescent="0.25">
      <c r="A32" s="1" t="s">
        <v>741</v>
      </c>
      <c r="B32" s="1" t="s">
        <v>742</v>
      </c>
      <c r="C32" s="1" t="str">
        <f>MID(A32,1,2)</f>
        <v>זכ</v>
      </c>
      <c r="D32" s="1" t="str">
        <f>MID(B32,3,2)</f>
        <v>כג</v>
      </c>
      <c r="E32" s="1" t="str">
        <f>CONCATENATE(I32,K32)</f>
        <v>זג</v>
      </c>
      <c r="F32" s="1">
        <f>VLOOKUP(I32,$U$23:$AL$40,MATCH(J32,$U$23:$AL$23,0),FALSE)</f>
        <v>1</v>
      </c>
      <c r="G32" s="1">
        <f>VLOOKUP(J32,$U$23:$AL$40,MATCH(K32,$U$23:$AL$23,0),FALSE)</f>
        <v>1</v>
      </c>
      <c r="H32" s="1">
        <f>VLOOKUP(I32,$U$23:$AL$40,MATCH(K32,$U$23:$AL$23,0),FALSE)</f>
        <v>3</v>
      </c>
      <c r="I32" s="1" t="str">
        <f>MID(A32,1,1)</f>
        <v>ז</v>
      </c>
      <c r="J32" s="1" t="str">
        <f>MID(A32,2,1)</f>
        <v>כ</v>
      </c>
      <c r="K32" s="1" t="str">
        <f>MID(A32,4,1)</f>
        <v>ג</v>
      </c>
      <c r="L32" s="1">
        <f>VLOOKUP(I32,$U:$V,2,0)</f>
        <v>15</v>
      </c>
      <c r="M32" s="1">
        <f>VLOOKUP(J32,$X:$Y,2,0)</f>
        <v>11</v>
      </c>
      <c r="N32" s="1">
        <f>VLOOKUP(K32,$AA:$AB,2,0)</f>
        <v>15</v>
      </c>
      <c r="O32" s="1">
        <f>IF(A32&lt;&gt;"",N32+M32+L32+F32+G32+H32,0)</f>
        <v>46</v>
      </c>
      <c r="U32" s="1" t="s">
        <v>7</v>
      </c>
      <c r="V32" s="1">
        <f>COUNTIF($C:$E,CONCATENATE($U32,V$23))</f>
        <v>1</v>
      </c>
      <c r="W32" s="1">
        <f>COUNTIF($C:$E,CONCATENATE($U32,W$23))</f>
        <v>0</v>
      </c>
      <c r="X32" s="1">
        <f>COUNTIF($C:$E,CONCATENATE($U32,X$23))</f>
        <v>2</v>
      </c>
      <c r="Y32" s="1">
        <f>COUNTIF($C:$E,CONCATENATE($U32,Y$23))</f>
        <v>2</v>
      </c>
      <c r="Z32" s="1">
        <f>COUNTIF($C:$E,CONCATENATE($U32,Z$23))</f>
        <v>1</v>
      </c>
      <c r="AA32" s="1">
        <f>COUNTIF($C:$E,CONCATENATE($U32,AA$23))</f>
        <v>0</v>
      </c>
      <c r="AB32" s="1">
        <f>COUNTIF($C:$E,CONCATENATE($U32,AB$23))</f>
        <v>2</v>
      </c>
      <c r="AC32" s="1">
        <f>COUNTIF($C:$E,CONCATENATE($U32,AC$23))</f>
        <v>0</v>
      </c>
      <c r="AD32" s="1">
        <f>COUNTIF($C:$E,CONCATENATE($U32,AD$23))</f>
        <v>0</v>
      </c>
      <c r="AE32" s="1">
        <f>COUNTIF($C:$E,CONCATENATE($U32,AE$23))</f>
        <v>0</v>
      </c>
      <c r="AF32" s="1">
        <f>COUNTIF($C:$E,CONCATENATE($U32,AF$23))</f>
        <v>0</v>
      </c>
      <c r="AG32" s="1">
        <f>COUNTIF($C:$E,CONCATENATE($U32,AG$23))</f>
        <v>0</v>
      </c>
      <c r="AH32" s="1">
        <f>COUNTIF($C:$E,CONCATENATE($U32,AH$23))</f>
        <v>0</v>
      </c>
      <c r="AI32" s="1">
        <f>COUNTIF($C:$E,CONCATENATE($U32,AI$23))</f>
        <v>1</v>
      </c>
      <c r="AJ32" s="1">
        <f>COUNTIF($C:$E,CONCATENATE($U32,AJ$23))</f>
        <v>1</v>
      </c>
      <c r="AK32" s="1">
        <f>COUNTIF($C:$E,CONCATENATE($U32,AK$23))</f>
        <v>2</v>
      </c>
      <c r="AL32" s="1">
        <f>COUNTIF($C:$E,CONCATENATE($U32,AL$23))</f>
        <v>0</v>
      </c>
    </row>
    <row r="33" spans="1:38" x14ac:dyDescent="0.25">
      <c r="A33" s="1" t="s">
        <v>749</v>
      </c>
      <c r="B33" s="1" t="s">
        <v>750</v>
      </c>
      <c r="C33" s="1" t="str">
        <f>MID(A33,1,2)</f>
        <v>זמ</v>
      </c>
      <c r="D33" s="1" t="str">
        <f>MID(B33,3,2)</f>
        <v>מד</v>
      </c>
      <c r="E33" s="1" t="str">
        <f>CONCATENATE(I33,K33)</f>
        <v>זד</v>
      </c>
      <c r="F33" s="1">
        <f>VLOOKUP(I33,$U$23:$AL$40,MATCH(J33,$U$23:$AL$23,0),FALSE)</f>
        <v>1</v>
      </c>
      <c r="G33" s="1">
        <f>VLOOKUP(J33,$U$23:$AL$40,MATCH(K33,$U$23:$AL$23,0),FALSE)</f>
        <v>2</v>
      </c>
      <c r="H33" s="1">
        <f>VLOOKUP(I33,$U$23:$AL$40,MATCH(K33,$U$23:$AL$23,0),FALSE)</f>
        <v>3</v>
      </c>
      <c r="I33" s="1" t="str">
        <f>MID(A33,1,1)</f>
        <v>ז</v>
      </c>
      <c r="J33" s="1" t="str">
        <f>MID(A33,2,1)</f>
        <v>מ</v>
      </c>
      <c r="K33" s="1" t="str">
        <f>MID(A33,4,1)</f>
        <v>ד</v>
      </c>
      <c r="L33" s="1">
        <f>VLOOKUP(I33,$U:$V,2,0)</f>
        <v>15</v>
      </c>
      <c r="M33" s="1">
        <f>VLOOKUP(J33,$X:$Y,2,0)</f>
        <v>12</v>
      </c>
      <c r="N33" s="1">
        <f>VLOOKUP(K33,$AA:$AB,2,0)</f>
        <v>14</v>
      </c>
      <c r="O33" s="1">
        <f>IF(A33&lt;&gt;"",N33+M33+L33+F33+G33+H33,0)</f>
        <v>47</v>
      </c>
      <c r="U33" s="1" t="s">
        <v>8</v>
      </c>
      <c r="V33" s="1">
        <f>COUNTIF($C:$E,CONCATENATE($U33,V$23))</f>
        <v>3</v>
      </c>
      <c r="W33" s="1">
        <f>COUNTIF($C:$E,CONCATENATE($U33,W$23))</f>
        <v>4</v>
      </c>
      <c r="X33" s="1">
        <f>COUNTIF($C:$E,CONCATENATE($U33,X$23))</f>
        <v>3</v>
      </c>
      <c r="Y33" s="1">
        <f>COUNTIF($C:$E,CONCATENATE($U33,Y$23))</f>
        <v>3</v>
      </c>
      <c r="Z33" s="1">
        <f>COUNTIF($C:$E,CONCATENATE($U33,Z$23))</f>
        <v>4</v>
      </c>
      <c r="AA33" s="1">
        <f>COUNTIF($C:$E,CONCATENATE($U33,AA$23))</f>
        <v>0</v>
      </c>
      <c r="AB33" s="1">
        <f>COUNTIF($C:$E,CONCATENATE($U33,AB$23))</f>
        <v>3</v>
      </c>
      <c r="AC33" s="1">
        <f>COUNTIF($C:$E,CONCATENATE($U33,AC$23))</f>
        <v>1</v>
      </c>
      <c r="AD33" s="1">
        <f>COUNTIF($C:$E,CONCATENATE($U33,AD$23))</f>
        <v>1</v>
      </c>
      <c r="AE33" s="1">
        <f>COUNTIF($C:$E,CONCATENATE($U33,AE$23))</f>
        <v>0</v>
      </c>
      <c r="AF33" s="1">
        <f>COUNTIF($C:$E,CONCATENATE($U33,AF$23))</f>
        <v>4</v>
      </c>
      <c r="AG33" s="1">
        <f>COUNTIF($C:$E,CONCATENATE($U33,AG$23))</f>
        <v>2</v>
      </c>
      <c r="AH33" s="1">
        <f>COUNTIF($C:$E,CONCATENATE($U33,AH$23))</f>
        <v>1</v>
      </c>
      <c r="AI33" s="1">
        <f>COUNTIF($C:$E,CONCATENATE($U33,AI$23))</f>
        <v>3</v>
      </c>
      <c r="AJ33" s="1">
        <f>COUNTIF($C:$E,CONCATENATE($U33,AJ$23))</f>
        <v>3</v>
      </c>
      <c r="AK33" s="1">
        <f>COUNTIF($C:$E,CONCATENATE($U33,AK$23))</f>
        <v>3</v>
      </c>
      <c r="AL33" s="1">
        <f>COUNTIF($C:$E,CONCATENATE($U33,AL$23))</f>
        <v>1</v>
      </c>
    </row>
    <row r="34" spans="1:38" x14ac:dyDescent="0.25">
      <c r="A34" t="s">
        <v>538</v>
      </c>
      <c r="B34" t="s">
        <v>539</v>
      </c>
      <c r="C34" s="1" t="str">
        <f>MID(A34,1,2)</f>
        <v>זנ</v>
      </c>
      <c r="D34" s="1" t="str">
        <f>MID(B34,3,2)</f>
        <v>נל</v>
      </c>
      <c r="E34" s="1" t="str">
        <f>CONCATENATE(I34,K34)</f>
        <v>זל</v>
      </c>
      <c r="F34" s="1">
        <f>VLOOKUP(I34,$U$23:$AL$40,MATCH(J34,$U$23:$AL$23,0),FALSE)</f>
        <v>1</v>
      </c>
      <c r="G34" s="1">
        <f>VLOOKUP(J34,$U$23:$AL$40,MATCH(K34,$U$23:$AL$23,0),FALSE)</f>
        <v>2</v>
      </c>
      <c r="H34" s="1">
        <f>VLOOKUP(I34,$U$23:$AL$40,MATCH(K34,$U$23:$AL$23,0),FALSE)</f>
        <v>3</v>
      </c>
      <c r="I34" s="1" t="str">
        <f>MID(A34,1,1)</f>
        <v>ז</v>
      </c>
      <c r="J34" s="1" t="str">
        <f>MID(A34,2,1)</f>
        <v>נ</v>
      </c>
      <c r="K34" s="1" t="str">
        <f>MID(A34,4,1)</f>
        <v>ל</v>
      </c>
      <c r="L34" s="1">
        <f>VLOOKUP(I34,$U:$V,2,0)</f>
        <v>15</v>
      </c>
      <c r="M34" s="1">
        <f>VLOOKUP(J34,$X:$Y,2,0)</f>
        <v>12</v>
      </c>
      <c r="N34" s="1">
        <f>VLOOKUP(K34,$AA:$AB,2,0)</f>
        <v>14</v>
      </c>
      <c r="O34" s="1">
        <f>IF(A34&lt;&gt;"",N34+M34+L34+F34+G34+H34,0)</f>
        <v>47</v>
      </c>
      <c r="U34" s="1" t="s">
        <v>9</v>
      </c>
      <c r="V34" s="1">
        <f>COUNTIF($C:$E,CONCATENATE($U34,V$23))</f>
        <v>4</v>
      </c>
      <c r="W34" s="1">
        <f>COUNTIF($C:$E,CONCATENATE($U34,W$23))</f>
        <v>2</v>
      </c>
      <c r="X34" s="1">
        <f>COUNTIF($C:$E,CONCATENATE($U34,X$23))</f>
        <v>4</v>
      </c>
      <c r="Y34" s="1">
        <f>COUNTIF($C:$E,CONCATENATE($U34,Y$23))</f>
        <v>3</v>
      </c>
      <c r="Z34" s="1">
        <f>COUNTIF($C:$E,CONCATENATE($U34,Z$23))</f>
        <v>4</v>
      </c>
      <c r="AA34" s="1">
        <f>COUNTIF($C:$E,CONCATENATE($U34,AA$23))</f>
        <v>0</v>
      </c>
      <c r="AB34" s="1">
        <f>COUNTIF($C:$E,CONCATENATE($U34,AB$23))</f>
        <v>3</v>
      </c>
      <c r="AC34" s="1">
        <f>COUNTIF($C:$E,CONCATENATE($U34,AC$23))</f>
        <v>1</v>
      </c>
      <c r="AD34" s="1">
        <f>COUNTIF($C:$E,CONCATENATE($U34,AD$23))</f>
        <v>1</v>
      </c>
      <c r="AE34" s="1">
        <f>COUNTIF($C:$E,CONCATENATE($U34,AE$23))</f>
        <v>3</v>
      </c>
      <c r="AF34" s="1">
        <f>COUNTIF($C:$E,CONCATENATE($U34,AF$23))</f>
        <v>0</v>
      </c>
      <c r="AG34" s="1">
        <f>COUNTIF($C:$E,CONCATENATE($U34,AG$23))</f>
        <v>1</v>
      </c>
      <c r="AH34" s="1">
        <f>COUNTIF($C:$E,CONCATENATE($U34,AH$23))</f>
        <v>2</v>
      </c>
      <c r="AI34" s="1">
        <f>COUNTIF($C:$E,CONCATENATE($U34,AI$23))</f>
        <v>3</v>
      </c>
      <c r="AJ34" s="1">
        <f>COUNTIF($C:$E,CONCATENATE($U34,AJ$23))</f>
        <v>3</v>
      </c>
      <c r="AK34" s="1">
        <f>COUNTIF($C:$E,CONCATENATE($U34,AK$23))</f>
        <v>4</v>
      </c>
      <c r="AL34" s="1">
        <f>COUNTIF($C:$E,CONCATENATE($U34,AL$23))</f>
        <v>0</v>
      </c>
    </row>
    <row r="35" spans="1:38" x14ac:dyDescent="0.25">
      <c r="A35" s="1" t="s">
        <v>651</v>
      </c>
      <c r="B35" s="1" t="s">
        <v>652</v>
      </c>
      <c r="C35" s="1" t="str">
        <f>MID(A35,1,2)</f>
        <v>זס</v>
      </c>
      <c r="D35" s="1" t="str">
        <f>MID(B35,3,2)</f>
        <v>סע</v>
      </c>
      <c r="E35" s="1" t="str">
        <f>CONCATENATE(I35,K35)</f>
        <v>זע</v>
      </c>
      <c r="F35" s="1">
        <f>VLOOKUP(I35,$U$23:$AL$40,MATCH(J35,$U$23:$AL$23,0),FALSE)</f>
        <v>3</v>
      </c>
      <c r="G35" s="1">
        <f>VLOOKUP(J35,$U$23:$AL$40,MATCH(K35,$U$23:$AL$23,0),FALSE)</f>
        <v>4</v>
      </c>
      <c r="H35" s="1">
        <f>VLOOKUP(I35,$U$23:$AL$40,MATCH(K35,$U$23:$AL$23,0),FALSE)</f>
        <v>3</v>
      </c>
      <c r="I35" s="1" t="str">
        <f>MID(A35,1,1)</f>
        <v>ז</v>
      </c>
      <c r="J35" s="1" t="str">
        <f>MID(A35,2,1)</f>
        <v>ס</v>
      </c>
      <c r="K35" s="1" t="str">
        <f>MID(A35,4,1)</f>
        <v>ע</v>
      </c>
      <c r="L35" s="1">
        <f>VLOOKUP(I35,$U:$V,2,0)</f>
        <v>15</v>
      </c>
      <c r="M35" s="1">
        <f>VLOOKUP(J35,$X:$Y,2,0)</f>
        <v>9</v>
      </c>
      <c r="N35" s="1">
        <f>VLOOKUP(K35,$AA:$AB,2,0)</f>
        <v>15</v>
      </c>
      <c r="O35" s="1">
        <f>IF(A35&lt;&gt;"",N35+M35+L35+F35+G35+H35,0)</f>
        <v>49</v>
      </c>
      <c r="U35" s="1" t="s">
        <v>10</v>
      </c>
      <c r="V35" s="1">
        <f>COUNTIF($C:$E,CONCATENATE($U35,V$23))</f>
        <v>2</v>
      </c>
      <c r="W35" s="1">
        <f>COUNTIF($C:$E,CONCATENATE($U35,W$23))</f>
        <v>3</v>
      </c>
      <c r="X35" s="1">
        <f>COUNTIF($C:$E,CONCATENATE($U35,X$23))</f>
        <v>3</v>
      </c>
      <c r="Y35" s="1">
        <f>COUNTIF($C:$E,CONCATENATE($U35,Y$23))</f>
        <v>3</v>
      </c>
      <c r="Z35" s="1">
        <f>COUNTIF($C:$E,CONCATENATE($U35,Z$23))</f>
        <v>3</v>
      </c>
      <c r="AA35" s="1">
        <f>COUNTIF($C:$E,CONCATENATE($U35,AA$23))</f>
        <v>2</v>
      </c>
      <c r="AB35" s="1">
        <f>COUNTIF($C:$E,CONCATENATE($U35,AB$23))</f>
        <v>3</v>
      </c>
      <c r="AC35" s="1">
        <f>COUNTIF($C:$E,CONCATENATE($U35,AC$23))</f>
        <v>0</v>
      </c>
      <c r="AD35" s="1">
        <f>COUNTIF($C:$E,CONCATENATE($U35,AD$23))</f>
        <v>2</v>
      </c>
      <c r="AE35" s="1">
        <f>COUNTIF($C:$E,CONCATENATE($U35,AE$23))</f>
        <v>4</v>
      </c>
      <c r="AF35" s="1">
        <f>COUNTIF($C:$E,CONCATENATE($U35,AF$23))</f>
        <v>3</v>
      </c>
      <c r="AG35" s="1">
        <f>COUNTIF($C:$E,CONCATENATE($U35,AG$23))</f>
        <v>0</v>
      </c>
      <c r="AH35" s="1">
        <f>COUNTIF($C:$E,CONCATENATE($U35,AH$23))</f>
        <v>1</v>
      </c>
      <c r="AI35" s="1">
        <f>COUNTIF($C:$E,CONCATENATE($U35,AI$23))</f>
        <v>3</v>
      </c>
      <c r="AJ35" s="1">
        <f>COUNTIF($C:$E,CONCATENATE($U35,AJ$23))</f>
        <v>3</v>
      </c>
      <c r="AK35" s="1">
        <f>COUNTIF($C:$E,CONCATENATE($U35,AK$23))</f>
        <v>3</v>
      </c>
      <c r="AL35" s="1">
        <f>COUNTIF($C:$E,CONCATENATE($U35,AL$23))</f>
        <v>0</v>
      </c>
    </row>
    <row r="36" spans="1:38" x14ac:dyDescent="0.25">
      <c r="A36" t="s">
        <v>759</v>
      </c>
      <c r="B36" t="s">
        <v>760</v>
      </c>
      <c r="C36" s="1" t="str">
        <f>MID(A36,1,2)</f>
        <v>זס</v>
      </c>
      <c r="D36" s="1" t="str">
        <f>MID(B36,3,2)</f>
        <v>סק</v>
      </c>
      <c r="E36" s="1" t="str">
        <f>CONCATENATE(I36,K36)</f>
        <v>זק</v>
      </c>
      <c r="F36" s="1">
        <f>VLOOKUP(I36,$U$23:$AL$40,MATCH(J36,$U$23:$AL$23,0),FALSE)</f>
        <v>3</v>
      </c>
      <c r="G36" s="1">
        <f>VLOOKUP(J36,$U$23:$AL$40,MATCH(K36,$U$23:$AL$23,0),FALSE)</f>
        <v>3</v>
      </c>
      <c r="H36" s="1">
        <f>VLOOKUP(I36,$U$23:$AL$40,MATCH(K36,$U$23:$AL$23,0),FALSE)</f>
        <v>4</v>
      </c>
      <c r="I36" s="1" t="str">
        <f>MID(A36,1,1)</f>
        <v>ז</v>
      </c>
      <c r="J36" s="1" t="str">
        <f>MID(A36,2,1)</f>
        <v>ס</v>
      </c>
      <c r="K36" s="1" t="str">
        <f>MID(A36,4,1)</f>
        <v>ק</v>
      </c>
      <c r="L36" s="1">
        <f>VLOOKUP(I36,$U:$V,2,0)</f>
        <v>15</v>
      </c>
      <c r="M36" s="1">
        <f>VLOOKUP(J36,$X:$Y,2,0)</f>
        <v>9</v>
      </c>
      <c r="N36" s="1">
        <f>VLOOKUP(K36,$AA:$AB,2,0)</f>
        <v>15</v>
      </c>
      <c r="O36" s="1">
        <f>IF(A36&lt;&gt;"",N36+M36+L36+F36+G36+H36,0)</f>
        <v>49</v>
      </c>
      <c r="U36" s="1" t="s">
        <v>11</v>
      </c>
      <c r="V36" s="1">
        <f>COUNTIF($C:$E,CONCATENATE($U36,V$23))</f>
        <v>3</v>
      </c>
      <c r="W36" s="1">
        <f>COUNTIF($C:$E,CONCATENATE($U36,W$23))</f>
        <v>4</v>
      </c>
      <c r="X36" s="1">
        <f>COUNTIF($C:$E,CONCATENATE($U36,X$23))</f>
        <v>4</v>
      </c>
      <c r="Y36" s="1">
        <f>COUNTIF($C:$E,CONCATENATE($U36,Y$23))</f>
        <v>3</v>
      </c>
      <c r="Z36" s="1">
        <f>COUNTIF($C:$E,CONCATENATE($U36,Z$23))</f>
        <v>3</v>
      </c>
      <c r="AA36" s="1">
        <f>COUNTIF($C:$E,CONCATENATE($U36,AA$23))</f>
        <v>1</v>
      </c>
      <c r="AB36" s="1">
        <f>COUNTIF($C:$E,CONCATENATE($U36,AB$23))</f>
        <v>3</v>
      </c>
      <c r="AC36" s="1">
        <f>COUNTIF($C:$E,CONCATENATE($U36,AC$23))</f>
        <v>0</v>
      </c>
      <c r="AD36" s="1">
        <f>COUNTIF($C:$E,CONCATENATE($U36,AD$23))</f>
        <v>1</v>
      </c>
      <c r="AE36" s="1">
        <f>COUNTIF($C:$E,CONCATENATE($U36,AE$23))</f>
        <v>4</v>
      </c>
      <c r="AF36" s="1">
        <f>COUNTIF($C:$E,CONCATENATE($U36,AF$23))</f>
        <v>4</v>
      </c>
      <c r="AG36" s="1">
        <f>COUNTIF($C:$E,CONCATENATE($U36,AG$23))</f>
        <v>0</v>
      </c>
      <c r="AH36" s="1">
        <f>COUNTIF($C:$E,CONCATENATE($U36,AH$23))</f>
        <v>0</v>
      </c>
      <c r="AI36" s="1">
        <f>COUNTIF($C:$E,CONCATENATE($U36,AI$23))</f>
        <v>2</v>
      </c>
      <c r="AJ36" s="1">
        <f>COUNTIF($C:$E,CONCATENATE($U36,AJ$23))</f>
        <v>4</v>
      </c>
      <c r="AK36" s="1">
        <f>COUNTIF($C:$E,CONCATENATE($U36,AK$23))</f>
        <v>2</v>
      </c>
      <c r="AL36" s="1">
        <f>COUNTIF($C:$E,CONCATENATE($U36,AL$23))</f>
        <v>2</v>
      </c>
    </row>
    <row r="37" spans="1:38" x14ac:dyDescent="0.25">
      <c r="A37" t="s">
        <v>829</v>
      </c>
      <c r="B37" t="s">
        <v>830</v>
      </c>
      <c r="C37" s="1" t="str">
        <f>MID(A37,1,2)</f>
        <v>זע</v>
      </c>
      <c r="D37" s="1" t="str">
        <f>MID(B37,3,2)</f>
        <v>עג</v>
      </c>
      <c r="E37" s="1" t="str">
        <f>CONCATENATE(I37,K37)</f>
        <v>זג</v>
      </c>
      <c r="F37" s="1">
        <f>VLOOKUP(I37,$U$23:$AL$40,MATCH(J37,$U$23:$AL$23,0),FALSE)</f>
        <v>3</v>
      </c>
      <c r="G37" s="1">
        <f>VLOOKUP(J37,$U$23:$AL$40,MATCH(K37,$U$23:$AL$23,0),FALSE)</f>
        <v>4</v>
      </c>
      <c r="H37" s="1">
        <f>VLOOKUP(I37,$U$23:$AL$40,MATCH(K37,$U$23:$AL$23,0),FALSE)</f>
        <v>3</v>
      </c>
      <c r="I37" s="1" t="str">
        <f>MID(A37,1,1)</f>
        <v>ז</v>
      </c>
      <c r="J37" s="1" t="str">
        <f>MID(A37,2,1)</f>
        <v>ע</v>
      </c>
      <c r="K37" s="1" t="str">
        <f>MID(A37,4,1)</f>
        <v>ג</v>
      </c>
      <c r="L37" s="1">
        <f>VLOOKUP(I37,$U:$V,2,0)</f>
        <v>15</v>
      </c>
      <c r="M37" s="1">
        <f>VLOOKUP(J37,$X:$Y,2,0)</f>
        <v>8</v>
      </c>
      <c r="N37" s="1">
        <f>VLOOKUP(K37,$AA:$AB,2,0)</f>
        <v>15</v>
      </c>
      <c r="O37" s="1">
        <f>IF(A37&lt;&gt;"",N37+M37+L37+F37+G37+H37,0)</f>
        <v>48</v>
      </c>
      <c r="U37" s="1" t="s">
        <v>12</v>
      </c>
      <c r="V37" s="1">
        <f>COUNTIF($C:$E,CONCATENATE($U37,V$23))</f>
        <v>3</v>
      </c>
      <c r="W37" s="1">
        <f>COUNTIF($C:$E,CONCATENATE($U37,W$23))</f>
        <v>3</v>
      </c>
      <c r="X37" s="1">
        <f>COUNTIF($C:$E,CONCATENATE($U37,X$23))</f>
        <v>3</v>
      </c>
      <c r="Y37" s="1">
        <f>COUNTIF($C:$E,CONCATENATE($U37,Y$23))</f>
        <v>3</v>
      </c>
      <c r="Z37" s="1">
        <f>COUNTIF($C:$E,CONCATENATE($U37,Z$23))</f>
        <v>3</v>
      </c>
      <c r="AA37" s="1">
        <f>COUNTIF($C:$E,CONCATENATE($U37,AA$23))</f>
        <v>1</v>
      </c>
      <c r="AB37" s="1">
        <f>COUNTIF($C:$E,CONCATENATE($U37,AB$23))</f>
        <v>2</v>
      </c>
      <c r="AC37" s="1">
        <f>COUNTIF($C:$E,CONCATENATE($U37,AC$23))</f>
        <v>1</v>
      </c>
      <c r="AD37" s="1">
        <f>COUNTIF($C:$E,CONCATENATE($U37,AD$23))</f>
        <v>0</v>
      </c>
      <c r="AE37" s="1">
        <f>COUNTIF($C:$E,CONCATENATE($U37,AE$23))</f>
        <v>3</v>
      </c>
      <c r="AF37" s="1">
        <f>COUNTIF($C:$E,CONCATENATE($U37,AF$23))</f>
        <v>3</v>
      </c>
      <c r="AG37" s="1">
        <f>COUNTIF($C:$E,CONCATENATE($U37,AG$23))</f>
        <v>2</v>
      </c>
      <c r="AH37" s="1">
        <f>COUNTIF($C:$E,CONCATENATE($U37,AH$23))</f>
        <v>1</v>
      </c>
      <c r="AI37" s="1">
        <f>COUNTIF($C:$E,CONCATENATE($U37,AI$23))</f>
        <v>0</v>
      </c>
      <c r="AJ37" s="1">
        <f>COUNTIF($C:$E,CONCATENATE($U37,AJ$23))</f>
        <v>3</v>
      </c>
      <c r="AK37" s="1">
        <f>COUNTIF($C:$E,CONCATENATE($U37,AK$23))</f>
        <v>3</v>
      </c>
      <c r="AL37" s="1">
        <f>COUNTIF($C:$E,CONCATENATE($U37,AL$23))</f>
        <v>2</v>
      </c>
    </row>
    <row r="38" spans="1:38" x14ac:dyDescent="0.25">
      <c r="A38" s="1" t="s">
        <v>661</v>
      </c>
      <c r="B38" s="1" t="s">
        <v>662</v>
      </c>
      <c r="C38" s="1" t="str">
        <f>MID(A38,1,2)</f>
        <v>זפ</v>
      </c>
      <c r="D38" s="1" t="str">
        <f>MID(B38,3,2)</f>
        <v>פג</v>
      </c>
      <c r="E38" s="1" t="str">
        <f>CONCATENATE(I38,K38)</f>
        <v>זג</v>
      </c>
      <c r="F38" s="1">
        <f>VLOOKUP(I38,$U$23:$AL$40,MATCH(J38,$U$23:$AL$23,0),FALSE)</f>
        <v>1</v>
      </c>
      <c r="G38" s="1">
        <f>VLOOKUP(J38,$U$23:$AL$40,MATCH(K38,$U$23:$AL$23,0),FALSE)</f>
        <v>2</v>
      </c>
      <c r="H38" s="1">
        <f>VLOOKUP(I38,$U$23:$AL$40,MATCH(K38,$U$23:$AL$23,0),FALSE)</f>
        <v>3</v>
      </c>
      <c r="I38" s="1" t="str">
        <f>MID(A38,1,1)</f>
        <v>ז</v>
      </c>
      <c r="J38" s="1" t="str">
        <f>MID(A38,2,1)</f>
        <v>פ</v>
      </c>
      <c r="K38" s="1" t="str">
        <f>MID(A38,4,1)</f>
        <v>ג</v>
      </c>
      <c r="L38" s="1">
        <f>VLOOKUP(I38,$U:$V,2,0)</f>
        <v>15</v>
      </c>
      <c r="M38" s="1">
        <f>VLOOKUP(J38,$X:$Y,2,0)</f>
        <v>10</v>
      </c>
      <c r="N38" s="1">
        <f>VLOOKUP(K38,$AA:$AB,2,0)</f>
        <v>15</v>
      </c>
      <c r="O38" s="1">
        <f>IF(A38&lt;&gt;"",N38+M38+L38+F38+G38+H38,0)</f>
        <v>46</v>
      </c>
      <c r="U38" s="1" t="s">
        <v>13</v>
      </c>
      <c r="V38" s="1">
        <f>COUNTIF($C:$E,CONCATENATE($U38,V$23))</f>
        <v>4</v>
      </c>
      <c r="W38" s="1">
        <f>COUNTIF($C:$E,CONCATENATE($U38,W$23))</f>
        <v>2</v>
      </c>
      <c r="X38" s="1">
        <f>COUNTIF($C:$E,CONCATENATE($U38,X$23))</f>
        <v>3</v>
      </c>
      <c r="Y38" s="1">
        <f>COUNTIF($C:$E,CONCATENATE($U38,Y$23))</f>
        <v>3</v>
      </c>
      <c r="Z38" s="1">
        <f>COUNTIF($C:$E,CONCATENATE($U38,Z$23))</f>
        <v>3</v>
      </c>
      <c r="AA38" s="1">
        <f>COUNTIF($C:$E,CONCATENATE($U38,AA$23))</f>
        <v>2</v>
      </c>
      <c r="AB38" s="1">
        <f>COUNTIF($C:$E,CONCATENATE($U38,AB$23))</f>
        <v>4</v>
      </c>
      <c r="AC38" s="1">
        <f>COUNTIF($C:$E,CONCATENATE($U38,AC$23))</f>
        <v>1</v>
      </c>
      <c r="AD38" s="1">
        <f>COUNTIF($C:$E,CONCATENATE($U38,AD$23))</f>
        <v>1</v>
      </c>
      <c r="AE38" s="1">
        <f>COUNTIF($C:$E,CONCATENATE($U38,AE$23))</f>
        <v>4</v>
      </c>
      <c r="AF38" s="1">
        <f>COUNTIF($C:$E,CONCATENATE($U38,AF$23))</f>
        <v>3</v>
      </c>
      <c r="AG38" s="1">
        <f>COUNTIF($C:$E,CONCATENATE($U38,AG$23))</f>
        <v>0</v>
      </c>
      <c r="AH38" s="1">
        <f>COUNTIF($C:$E,CONCATENATE($U38,AH$23))</f>
        <v>0</v>
      </c>
      <c r="AI38" s="1">
        <f>COUNTIF($C:$E,CONCATENATE($U38,AI$23))</f>
        <v>3</v>
      </c>
      <c r="AJ38" s="1">
        <f>COUNTIF($C:$E,CONCATENATE($U38,AJ$23))</f>
        <v>0</v>
      </c>
      <c r="AK38" s="1">
        <f>COUNTIF($C:$E,CONCATENATE($U38,AK$23))</f>
        <v>3</v>
      </c>
      <c r="AL38" s="1">
        <f>COUNTIF($C:$E,CONCATENATE($U38,AL$23))</f>
        <v>2</v>
      </c>
    </row>
    <row r="39" spans="1:38" x14ac:dyDescent="0.25">
      <c r="A39" s="1" t="s">
        <v>532</v>
      </c>
      <c r="B39" s="1" t="s">
        <v>533</v>
      </c>
      <c r="C39" s="1" t="str">
        <f>MID(A39,1,2)</f>
        <v>זצ</v>
      </c>
      <c r="D39" s="1" t="str">
        <f>MID(B39,3,2)</f>
        <v>צר</v>
      </c>
      <c r="E39" s="1" t="str">
        <f>CONCATENATE(I39,K39)</f>
        <v>זר</v>
      </c>
      <c r="F39" s="1">
        <f>VLOOKUP(I39,$U$23:$AL$40,MATCH(J39,$U$23:$AL$23,0),FALSE)</f>
        <v>1</v>
      </c>
      <c r="G39" s="1">
        <f>VLOOKUP(J39,$U$23:$AL$40,MATCH(K39,$U$23:$AL$23,0),FALSE)</f>
        <v>4</v>
      </c>
      <c r="H39" s="1">
        <f>VLOOKUP(I39,$U$23:$AL$40,MATCH(K39,$U$23:$AL$23,0),FALSE)</f>
        <v>3</v>
      </c>
      <c r="I39" s="1" t="str">
        <f>MID(A39,1,1)</f>
        <v>ז</v>
      </c>
      <c r="J39" s="1" t="str">
        <f>MID(A39,2,1)</f>
        <v>צ</v>
      </c>
      <c r="K39" s="1" t="str">
        <f>MID(A39,4,1)</f>
        <v>ר</v>
      </c>
      <c r="L39" s="1">
        <f>VLOOKUP(I39,$U:$V,2,0)</f>
        <v>15</v>
      </c>
      <c r="M39" s="1">
        <f>VLOOKUP(J39,$X:$Y,2,0)</f>
        <v>10</v>
      </c>
      <c r="N39" s="1">
        <f>VLOOKUP(K39,$AA:$AB,2,0)</f>
        <v>14</v>
      </c>
      <c r="O39" s="1">
        <f>IF(A39&lt;&gt;"",N39+M39+L39+F39+G39+H39,0)</f>
        <v>47</v>
      </c>
      <c r="U39" s="1" t="s">
        <v>14</v>
      </c>
      <c r="V39" s="1">
        <f>COUNTIF($C:$E,CONCATENATE($U39,V$23))</f>
        <v>1</v>
      </c>
      <c r="W39" s="1">
        <f>COUNTIF($C:$E,CONCATENATE($U39,W$23))</f>
        <v>0</v>
      </c>
      <c r="X39" s="1">
        <f>COUNTIF($C:$E,CONCATENATE($U39,X$23))</f>
        <v>1</v>
      </c>
      <c r="Y39" s="1">
        <f>COUNTIF($C:$E,CONCATENATE($U39,Y$23))</f>
        <v>1</v>
      </c>
      <c r="Z39" s="1">
        <f>COUNTIF($C:$E,CONCATENATE($U39,Z$23))</f>
        <v>0</v>
      </c>
      <c r="AA39" s="1">
        <f>COUNTIF($C:$E,CONCATENATE($U39,AA$23))</f>
        <v>0</v>
      </c>
      <c r="AB39" s="1">
        <f>COUNTIF($C:$E,CONCATENATE($U39,AB$23))</f>
        <v>1</v>
      </c>
      <c r="AC39" s="1">
        <f>COUNTIF($C:$E,CONCATENATE($U39,AC$23))</f>
        <v>0</v>
      </c>
      <c r="AD39" s="1">
        <f>COUNTIF($C:$E,CONCATENATE($U39,AD$23))</f>
        <v>0</v>
      </c>
      <c r="AE39" s="1">
        <f>COUNTIF($C:$E,CONCATENATE($U39,AE$23))</f>
        <v>1</v>
      </c>
      <c r="AF39" s="1">
        <f>COUNTIF($C:$E,CONCATENATE($U39,AF$23))</f>
        <v>2</v>
      </c>
      <c r="AG39" s="1">
        <f>COUNTIF($C:$E,CONCATENATE($U39,AG$23))</f>
        <v>0</v>
      </c>
      <c r="AH39" s="1">
        <f>COUNTIF($C:$E,CONCATENATE($U39,AH$23))</f>
        <v>0</v>
      </c>
      <c r="AI39" s="1">
        <f>COUNTIF($C:$E,CONCATENATE($U39,AI$23))</f>
        <v>1</v>
      </c>
      <c r="AJ39" s="1">
        <f>COUNTIF($C:$E,CONCATENATE($U39,AJ$23))</f>
        <v>1</v>
      </c>
      <c r="AK39" s="1">
        <f>COUNTIF($C:$E,CONCATENATE($U39,AK$23))</f>
        <v>0</v>
      </c>
      <c r="AL39" s="1">
        <f>COUNTIF($C:$E,CONCATENATE($U39,AL$23))</f>
        <v>0</v>
      </c>
    </row>
    <row r="40" spans="1:38" x14ac:dyDescent="0.25">
      <c r="A40" s="1" t="s">
        <v>685</v>
      </c>
      <c r="B40" s="1" t="s">
        <v>686</v>
      </c>
      <c r="C40" s="1" t="str">
        <f>MID(A40,1,2)</f>
        <v>זק</v>
      </c>
      <c r="D40" s="1" t="str">
        <f>MID(B40,3,2)</f>
        <v>קח</v>
      </c>
      <c r="E40" s="1" t="str">
        <f>CONCATENATE(I40,K40)</f>
        <v>זח</v>
      </c>
      <c r="F40" s="1">
        <f>VLOOKUP(I40,$U$23:$AL$40,MATCH(J40,$U$23:$AL$23,0),FALSE)</f>
        <v>4</v>
      </c>
      <c r="G40" s="1">
        <f>VLOOKUP(J40,$U$23:$AL$40,MATCH(K40,$U$23:$AL$23,0),FALSE)</f>
        <v>3</v>
      </c>
      <c r="H40" s="1">
        <f>VLOOKUP(I40,$U$23:$AL$40,MATCH(K40,$U$23:$AL$23,0),FALSE)</f>
        <v>3</v>
      </c>
      <c r="I40" s="1" t="str">
        <f>MID(A40,1,1)</f>
        <v>ז</v>
      </c>
      <c r="J40" s="1" t="str">
        <f>MID(A40,2,1)</f>
        <v>ק</v>
      </c>
      <c r="K40" s="1" t="str">
        <f>MID(A40,4,1)</f>
        <v>ח</v>
      </c>
      <c r="L40" s="1">
        <f>VLOOKUP(I40,$U:$V,2,0)</f>
        <v>15</v>
      </c>
      <c r="M40" s="1">
        <f>VLOOKUP(J40,$X:$Y,2,0)</f>
        <v>8</v>
      </c>
      <c r="N40" s="1">
        <f>VLOOKUP(K40,$AA:$AB,2,0)</f>
        <v>14</v>
      </c>
      <c r="O40" s="1">
        <f>IF(A40&lt;&gt;"",N40+M40+L40+F40+G40+H40,0)</f>
        <v>47</v>
      </c>
      <c r="U40" s="1" t="s">
        <v>15</v>
      </c>
      <c r="V40" s="1">
        <f>COUNTIF($C:$E,CONCATENATE($U40,V$23))</f>
        <v>0</v>
      </c>
      <c r="W40" s="1">
        <f>COUNTIF($C:$E,CONCATENATE($U40,W$23))</f>
        <v>1</v>
      </c>
      <c r="X40" s="1">
        <f>COUNTIF($C:$E,CONCATENATE($U40,X$23))</f>
        <v>0</v>
      </c>
      <c r="Y40" s="1">
        <f>COUNTIF($C:$E,CONCATENATE($U40,Y$23))</f>
        <v>1</v>
      </c>
      <c r="Z40" s="1">
        <f>COUNTIF($C:$E,CONCATENATE($U40,Z$23))</f>
        <v>1</v>
      </c>
      <c r="AA40" s="1">
        <f>COUNTIF($C:$E,CONCATENATE($U40,AA$23))</f>
        <v>0</v>
      </c>
      <c r="AB40" s="1">
        <f>COUNTIF($C:$E,CONCATENATE($U40,AB$23))</f>
        <v>2</v>
      </c>
      <c r="AC40" s="1">
        <f>COUNTIF($C:$E,CONCATENATE($U40,AC$23))</f>
        <v>0</v>
      </c>
      <c r="AD40" s="1">
        <f>COUNTIF($C:$E,CONCATENATE($U40,AD$23))</f>
        <v>0</v>
      </c>
      <c r="AE40" s="1">
        <f>COUNTIF($C:$E,CONCATENATE($U40,AE$23))</f>
        <v>1</v>
      </c>
      <c r="AF40" s="1">
        <f>COUNTIF($C:$E,CONCATENATE($U40,AF$23))</f>
        <v>1</v>
      </c>
      <c r="AG40" s="1">
        <f>COUNTIF($C:$E,CONCATENATE($U40,AG$23))</f>
        <v>0</v>
      </c>
      <c r="AH40" s="1">
        <f>COUNTIF($C:$E,CONCATENATE($U40,AH$23))</f>
        <v>0</v>
      </c>
      <c r="AI40" s="1">
        <f>COUNTIF($C:$E,CONCATENATE($U40,AI$23))</f>
        <v>2</v>
      </c>
      <c r="AJ40" s="1">
        <f>COUNTIF($C:$E,CONCATENATE($U40,AJ$23))</f>
        <v>2</v>
      </c>
      <c r="AK40" s="1">
        <f>COUNTIF($C:$E,CONCATENATE($U40,AK$23))</f>
        <v>1</v>
      </c>
      <c r="AL40" s="1">
        <f>COUNTIF($C:$E,CONCATENATE($U40,AL$23))</f>
        <v>0</v>
      </c>
    </row>
    <row r="41" spans="1:38" x14ac:dyDescent="0.25">
      <c r="A41" t="s">
        <v>546</v>
      </c>
      <c r="B41" t="s">
        <v>547</v>
      </c>
      <c r="C41" s="1" t="str">
        <f>MID(A41,1,2)</f>
        <v>זק</v>
      </c>
      <c r="D41" s="1" t="str">
        <f>MID(B41,3,2)</f>
        <v>קר</v>
      </c>
      <c r="E41" s="1" t="str">
        <f>CONCATENATE(I41,K41)</f>
        <v>זר</v>
      </c>
      <c r="F41" s="1">
        <f>VLOOKUP(I41,$U$23:$AL$40,MATCH(J41,$U$23:$AL$23,0),FALSE)</f>
        <v>4</v>
      </c>
      <c r="G41" s="1">
        <f>VLOOKUP(J41,$U$23:$AL$40,MATCH(K41,$U$23:$AL$23,0),FALSE)</f>
        <v>3</v>
      </c>
      <c r="H41" s="1">
        <f>VLOOKUP(I41,$U$23:$AL$40,MATCH(K41,$U$23:$AL$23,0),FALSE)</f>
        <v>3</v>
      </c>
      <c r="I41" s="1" t="str">
        <f>MID(A41,1,1)</f>
        <v>ז</v>
      </c>
      <c r="J41" s="1" t="str">
        <f>MID(A41,2,1)</f>
        <v>ק</v>
      </c>
      <c r="K41" s="1" t="str">
        <f>MID(A41,4,1)</f>
        <v>ר</v>
      </c>
      <c r="L41" s="1">
        <f>VLOOKUP(I41,$U:$V,2,0)</f>
        <v>15</v>
      </c>
      <c r="M41" s="1">
        <f>VLOOKUP(J41,$X:$Y,2,0)</f>
        <v>8</v>
      </c>
      <c r="N41" s="1">
        <f>VLOOKUP(K41,$AA:$AB,2,0)</f>
        <v>14</v>
      </c>
      <c r="O41" s="1">
        <f>IF(A41&lt;&gt;"",N41+M41+L41+F41+G41+H41,0)</f>
        <v>47</v>
      </c>
    </row>
    <row r="42" spans="1:38" x14ac:dyDescent="0.25">
      <c r="A42" t="s">
        <v>807</v>
      </c>
      <c r="B42" t="s">
        <v>808</v>
      </c>
      <c r="C42" s="1" t="str">
        <f>MID(A42,1,2)</f>
        <v>זר</v>
      </c>
      <c r="D42" s="1" t="str">
        <f>MID(B42,3,2)</f>
        <v>רק</v>
      </c>
      <c r="E42" s="1" t="str">
        <f>CONCATENATE(I42,K42)</f>
        <v>זק</v>
      </c>
      <c r="F42" s="1">
        <f>VLOOKUP(I42,$U$23:$AL$40,MATCH(J42,$U$23:$AL$23,0),FALSE)</f>
        <v>3</v>
      </c>
      <c r="G42" s="1">
        <f>VLOOKUP(J42,$U$23:$AL$40,MATCH(K42,$U$23:$AL$23,0),FALSE)</f>
        <v>3</v>
      </c>
      <c r="H42" s="1">
        <f>VLOOKUP(I42,$U$23:$AL$40,MATCH(K42,$U$23:$AL$23,0),FALSE)</f>
        <v>4</v>
      </c>
      <c r="I42" s="1" t="str">
        <f>MID(A42,1,1)</f>
        <v>ז</v>
      </c>
      <c r="J42" s="1" t="str">
        <f>MID(A42,2,1)</f>
        <v>ר</v>
      </c>
      <c r="K42" s="1" t="str">
        <f>MID(A42,4,1)</f>
        <v>ק</v>
      </c>
      <c r="L42" s="1">
        <f>VLOOKUP(I42,$U:$V,2,0)</f>
        <v>15</v>
      </c>
      <c r="M42" s="1">
        <f>VLOOKUP(J42,$X:$Y,2,0)</f>
        <v>8</v>
      </c>
      <c r="N42" s="1">
        <f>VLOOKUP(K42,$AA:$AB,2,0)</f>
        <v>15</v>
      </c>
      <c r="O42" s="1">
        <f>IF(A42&lt;&gt;"",N42+M42+L42+F42+G42+H42,0)</f>
        <v>48</v>
      </c>
    </row>
    <row r="43" spans="1:38" x14ac:dyDescent="0.25">
      <c r="A43" s="1" t="s">
        <v>693</v>
      </c>
      <c r="B43" s="1" t="s">
        <v>694</v>
      </c>
      <c r="C43" s="1" t="str">
        <f>MID(A43,1,2)</f>
        <v>זת</v>
      </c>
      <c r="D43" s="1" t="str">
        <f>MID(B43,3,2)</f>
        <v>תל</v>
      </c>
      <c r="E43" s="1" t="str">
        <f>CONCATENATE(I43,K43)</f>
        <v>זל</v>
      </c>
      <c r="F43" s="1">
        <f>VLOOKUP(I43,$U$23:$AL$40,MATCH(J43,$U$23:$AL$23,0),FALSE)</f>
        <v>1</v>
      </c>
      <c r="G43" s="1">
        <f>VLOOKUP(J43,$U$23:$AL$40,MATCH(K43,$U$23:$AL$23,0),FALSE)</f>
        <v>2</v>
      </c>
      <c r="H43" s="1">
        <f>VLOOKUP(I43,$U$23:$AL$40,MATCH(K43,$U$23:$AL$23,0),FALSE)</f>
        <v>3</v>
      </c>
      <c r="I43" s="1" t="str">
        <f>MID(A43,1,1)</f>
        <v>ז</v>
      </c>
      <c r="J43" s="1" t="str">
        <f>MID(A43,2,1)</f>
        <v>ת</v>
      </c>
      <c r="K43" s="1" t="str">
        <f>MID(A43,4,1)</f>
        <v>ל</v>
      </c>
      <c r="L43" s="1">
        <f>VLOOKUP(I43,$U:$V,2,0)</f>
        <v>15</v>
      </c>
      <c r="M43" s="1">
        <f>VLOOKUP(J43,$X:$Y,2,0)</f>
        <v>12</v>
      </c>
      <c r="N43" s="1">
        <f>VLOOKUP(K43,$AA:$AB,2,0)</f>
        <v>14</v>
      </c>
      <c r="O43" s="1">
        <f>IF(A43&lt;&gt;"",N43+M43+L43+F43+G43+H43,0)</f>
        <v>47</v>
      </c>
    </row>
    <row r="44" spans="1:38" x14ac:dyDescent="0.25">
      <c r="A44" t="s">
        <v>615</v>
      </c>
      <c r="B44" t="s">
        <v>616</v>
      </c>
      <c r="C44" s="1" t="str">
        <f>MID(A44,1,2)</f>
        <v>חז</v>
      </c>
      <c r="D44" s="1" t="str">
        <f>MID(B44,3,2)</f>
        <v>זס</v>
      </c>
      <c r="E44" s="1" t="str">
        <f>CONCATENATE(I44,K44)</f>
        <v>חס</v>
      </c>
      <c r="F44" s="1">
        <f>VLOOKUP(I44,$U$23:$AL$40,MATCH(J44,$U$23:$AL$23,0),FALSE)</f>
        <v>4</v>
      </c>
      <c r="G44" s="1">
        <f>VLOOKUP(J44,$U$23:$AL$40,MATCH(K44,$U$23:$AL$23,0),FALSE)</f>
        <v>3</v>
      </c>
      <c r="H44" s="1">
        <f>VLOOKUP(I44,$U$23:$AL$40,MATCH(K44,$U$23:$AL$23,0),FALSE)</f>
        <v>3</v>
      </c>
      <c r="I44" s="1" t="str">
        <f>MID(A44,1,1)</f>
        <v>ח</v>
      </c>
      <c r="J44" s="1" t="str">
        <f>MID(A44,2,1)</f>
        <v>ז</v>
      </c>
      <c r="K44" s="1" t="str">
        <f>MID(A44,4,1)</f>
        <v>ס</v>
      </c>
      <c r="L44" s="1">
        <f>VLOOKUP(I44,$U:$V,2,0)</f>
        <v>14</v>
      </c>
      <c r="M44" s="1">
        <f>VLOOKUP(J44,$X:$Y,2,0)</f>
        <v>7</v>
      </c>
      <c r="N44" s="1">
        <f>VLOOKUP(K44,$AA:$AB,2,0)</f>
        <v>15</v>
      </c>
      <c r="O44" s="1">
        <f>IF(A44&lt;&gt;"",N44+M44+L44+F44+G44+H44,0)</f>
        <v>46</v>
      </c>
    </row>
    <row r="45" spans="1:38" x14ac:dyDescent="0.25">
      <c r="A45" s="1" t="s">
        <v>699</v>
      </c>
      <c r="B45" s="1" t="s">
        <v>700</v>
      </c>
      <c r="C45" s="1" t="str">
        <f>MID(A45,1,2)</f>
        <v>חכ</v>
      </c>
      <c r="D45" s="1" t="str">
        <f>MID(B45,3,2)</f>
        <v>כד</v>
      </c>
      <c r="E45" s="1" t="str">
        <f>CONCATENATE(I45,K45)</f>
        <v>חד</v>
      </c>
      <c r="F45" s="1">
        <f>VLOOKUP(I45,$U$23:$AL$40,MATCH(J45,$U$23:$AL$23,0),FALSE)</f>
        <v>1</v>
      </c>
      <c r="G45" s="1">
        <f>VLOOKUP(J45,$U$23:$AL$40,MATCH(K45,$U$23:$AL$23,0),FALSE)</f>
        <v>2</v>
      </c>
      <c r="H45" s="1">
        <f>VLOOKUP(I45,$U$23:$AL$40,MATCH(K45,$U$23:$AL$23,0),FALSE)</f>
        <v>4</v>
      </c>
      <c r="I45" s="1" t="str">
        <f>MID(A45,1,1)</f>
        <v>ח</v>
      </c>
      <c r="J45" s="1" t="str">
        <f>MID(A45,2,1)</f>
        <v>כ</v>
      </c>
      <c r="K45" s="1" t="str">
        <f>MID(A45,4,1)</f>
        <v>ד</v>
      </c>
      <c r="L45" s="1">
        <f>VLOOKUP(I45,$U:$V,2,0)</f>
        <v>14</v>
      </c>
      <c r="M45" s="1">
        <f>VLOOKUP(J45,$X:$Y,2,0)</f>
        <v>11</v>
      </c>
      <c r="N45" s="1">
        <f>VLOOKUP(K45,$AA:$AB,2,0)</f>
        <v>14</v>
      </c>
      <c r="O45" s="1">
        <f>IF(A45&lt;&gt;"",N45+M45+L45+F45+G45+H45,0)</f>
        <v>46</v>
      </c>
    </row>
    <row r="46" spans="1:38" x14ac:dyDescent="0.25">
      <c r="A46" s="1" t="s">
        <v>663</v>
      </c>
      <c r="B46" s="1" t="s">
        <v>664</v>
      </c>
      <c r="C46" s="1" t="str">
        <f>MID(A46,1,2)</f>
        <v>חל</v>
      </c>
      <c r="D46" s="1" t="str">
        <f>MID(B46,3,2)</f>
        <v>לק</v>
      </c>
      <c r="E46" s="1" t="str">
        <f>CONCATENATE(I46,K46)</f>
        <v>חק</v>
      </c>
      <c r="F46" s="1">
        <f>VLOOKUP(I46,$U$23:$AL$40,MATCH(J46,$U$23:$AL$23,0),FALSE)</f>
        <v>3</v>
      </c>
      <c r="G46" s="1">
        <f>VLOOKUP(J46,$U$23:$AL$40,MATCH(K46,$U$23:$AL$23,0),FALSE)</f>
        <v>2</v>
      </c>
      <c r="H46" s="1">
        <f>VLOOKUP(I46,$U$23:$AL$40,MATCH(K46,$U$23:$AL$23,0),FALSE)</f>
        <v>3</v>
      </c>
      <c r="I46" s="1" t="str">
        <f>MID(A46,1,1)</f>
        <v>ח</v>
      </c>
      <c r="J46" s="1" t="str">
        <f>MID(A46,2,1)</f>
        <v>ל</v>
      </c>
      <c r="K46" s="1" t="str">
        <f>MID(A46,4,1)</f>
        <v>ק</v>
      </c>
      <c r="L46" s="1">
        <f>VLOOKUP(I46,$U:$V,2,0)</f>
        <v>14</v>
      </c>
      <c r="M46" s="1">
        <f>VLOOKUP(J46,$X:$Y,2,0)</f>
        <v>10</v>
      </c>
      <c r="N46" s="1">
        <f>VLOOKUP(K46,$AA:$AB,2,0)</f>
        <v>15</v>
      </c>
      <c r="O46" s="1">
        <f>IF(A46&lt;&gt;"",N46+M46+L46+F46+G46+H46,0)</f>
        <v>47</v>
      </c>
    </row>
    <row r="47" spans="1:38" x14ac:dyDescent="0.25">
      <c r="A47" t="s">
        <v>819</v>
      </c>
      <c r="B47" t="s">
        <v>820</v>
      </c>
      <c r="C47" s="1" t="str">
        <f>MID(A47,1,2)</f>
        <v>חמ</v>
      </c>
      <c r="D47" s="1" t="str">
        <f>MID(B47,3,2)</f>
        <v>מג</v>
      </c>
      <c r="E47" s="1" t="str">
        <f>CONCATENATE(I47,K47)</f>
        <v>חג</v>
      </c>
      <c r="F47" s="1">
        <f>VLOOKUP(I47,$U$23:$AL$40,MATCH(J47,$U$23:$AL$23,0),FALSE)</f>
        <v>2</v>
      </c>
      <c r="G47" s="1">
        <f>VLOOKUP(J47,$U$23:$AL$40,MATCH(K47,$U$23:$AL$23,0),FALSE)</f>
        <v>2</v>
      </c>
      <c r="H47" s="1">
        <f>VLOOKUP(I47,$U$23:$AL$40,MATCH(K47,$U$23:$AL$23,0),FALSE)</f>
        <v>3</v>
      </c>
      <c r="I47" s="1" t="str">
        <f>MID(A47,1,1)</f>
        <v>ח</v>
      </c>
      <c r="J47" s="1" t="str">
        <f>MID(A47,2,1)</f>
        <v>מ</v>
      </c>
      <c r="K47" s="1" t="str">
        <f>MID(A47,4,1)</f>
        <v>ג</v>
      </c>
      <c r="L47" s="1">
        <f>VLOOKUP(I47,$U:$V,2,0)</f>
        <v>14</v>
      </c>
      <c r="M47" s="1">
        <f>VLOOKUP(J47,$X:$Y,2,0)</f>
        <v>12</v>
      </c>
      <c r="N47" s="1">
        <f>VLOOKUP(K47,$AA:$AB,2,0)</f>
        <v>15</v>
      </c>
      <c r="O47" s="1">
        <f>IF(A47&lt;&gt;"",N47+M47+L47+F47+G47+H47,0)</f>
        <v>48</v>
      </c>
    </row>
    <row r="48" spans="1:38" x14ac:dyDescent="0.25">
      <c r="A48" s="1" t="s">
        <v>607</v>
      </c>
      <c r="B48" s="1" t="s">
        <v>608</v>
      </c>
      <c r="C48" s="1" t="str">
        <f>MID(A48,1,2)</f>
        <v>חמ</v>
      </c>
      <c r="D48" s="1" t="str">
        <f>MID(B48,3,2)</f>
        <v>מד</v>
      </c>
      <c r="E48" s="1" t="str">
        <f>CONCATENATE(I48,K48)</f>
        <v>חד</v>
      </c>
      <c r="F48" s="1">
        <f>VLOOKUP(I48,$U$23:$AL$40,MATCH(J48,$U$23:$AL$23,0),FALSE)</f>
        <v>2</v>
      </c>
      <c r="G48" s="1">
        <f>VLOOKUP(J48,$U$23:$AL$40,MATCH(K48,$U$23:$AL$23,0),FALSE)</f>
        <v>2</v>
      </c>
      <c r="H48" s="1">
        <f>VLOOKUP(I48,$U$23:$AL$40,MATCH(K48,$U$23:$AL$23,0),FALSE)</f>
        <v>4</v>
      </c>
      <c r="I48" s="1" t="str">
        <f>MID(A48,1,1)</f>
        <v>ח</v>
      </c>
      <c r="J48" s="1" t="str">
        <f>MID(A48,2,1)</f>
        <v>מ</v>
      </c>
      <c r="K48" s="1" t="str">
        <f>MID(A48,4,1)</f>
        <v>ד</v>
      </c>
      <c r="L48" s="1">
        <f>VLOOKUP(I48,$U:$V,2,0)</f>
        <v>14</v>
      </c>
      <c r="M48" s="1">
        <f>VLOOKUP(J48,$X:$Y,2,0)</f>
        <v>12</v>
      </c>
      <c r="N48" s="1">
        <f>VLOOKUP(K48,$AA:$AB,2,0)</f>
        <v>14</v>
      </c>
      <c r="O48" s="1">
        <f>IF(A48&lt;&gt;"",N48+M48+L48+F48+G48+H48,0)</f>
        <v>48</v>
      </c>
    </row>
    <row r="49" spans="1:15" x14ac:dyDescent="0.25">
      <c r="A49" t="s">
        <v>811</v>
      </c>
      <c r="B49" t="s">
        <v>812</v>
      </c>
      <c r="C49" s="1" t="str">
        <f>MID(A49,1,2)</f>
        <v>חס</v>
      </c>
      <c r="D49" s="1" t="str">
        <f>MID(B49,3,2)</f>
        <v>סט</v>
      </c>
      <c r="E49" s="1" t="str">
        <f>CONCATENATE(I49,K49)</f>
        <v>חט</v>
      </c>
      <c r="F49" s="1">
        <f>VLOOKUP(I49,$U$23:$AL$40,MATCH(J49,$U$23:$AL$23,0),FALSE)</f>
        <v>3</v>
      </c>
      <c r="G49" s="1">
        <f>VLOOKUP(J49,$U$23:$AL$40,MATCH(K49,$U$23:$AL$23,0),FALSE)</f>
        <v>4</v>
      </c>
      <c r="H49" s="1">
        <f>VLOOKUP(I49,$U$23:$AL$40,MATCH(K49,$U$23:$AL$23,0),FALSE)</f>
        <v>3</v>
      </c>
      <c r="I49" s="1" t="str">
        <f>MID(A49,1,1)</f>
        <v>ח</v>
      </c>
      <c r="J49" s="1" t="str">
        <f>MID(A49,2,1)</f>
        <v>ס</v>
      </c>
      <c r="K49" s="1" t="str">
        <f>MID(A49,4,1)</f>
        <v>ט</v>
      </c>
      <c r="L49" s="1">
        <f>VLOOKUP(I49,$U:$V,2,0)</f>
        <v>14</v>
      </c>
      <c r="M49" s="1">
        <f>VLOOKUP(J49,$X:$Y,2,0)</f>
        <v>9</v>
      </c>
      <c r="N49" s="1">
        <f>VLOOKUP(K49,$AA:$AB,2,0)</f>
        <v>14</v>
      </c>
      <c r="O49" s="1">
        <f>IF(A49&lt;&gt;"",N49+M49+L49+F49+G49+H49,0)</f>
        <v>47</v>
      </c>
    </row>
    <row r="50" spans="1:15" x14ac:dyDescent="0.25">
      <c r="A50" t="s">
        <v>825</v>
      </c>
      <c r="B50" t="s">
        <v>826</v>
      </c>
      <c r="C50" s="1" t="str">
        <f>MID(A50,1,2)</f>
        <v>חע</v>
      </c>
      <c r="D50" s="1" t="str">
        <f>MID(B50,3,2)</f>
        <v>עד</v>
      </c>
      <c r="E50" s="1" t="str">
        <f>CONCATENATE(I50,K50)</f>
        <v>חד</v>
      </c>
      <c r="F50" s="1">
        <f>VLOOKUP(I50,$U$23:$AL$40,MATCH(J50,$U$23:$AL$23,0),FALSE)</f>
        <v>3</v>
      </c>
      <c r="G50" s="1">
        <f>VLOOKUP(J50,$U$23:$AL$40,MATCH(K50,$U$23:$AL$23,0),FALSE)</f>
        <v>2</v>
      </c>
      <c r="H50" s="1">
        <f>VLOOKUP(I50,$U$23:$AL$40,MATCH(K50,$U$23:$AL$23,0),FALSE)</f>
        <v>4</v>
      </c>
      <c r="I50" s="1" t="str">
        <f>MID(A50,1,1)</f>
        <v>ח</v>
      </c>
      <c r="J50" s="1" t="str">
        <f>MID(A50,2,1)</f>
        <v>ע</v>
      </c>
      <c r="K50" s="1" t="str">
        <f>MID(A50,4,1)</f>
        <v>ד</v>
      </c>
      <c r="L50" s="1">
        <f>VLOOKUP(I50,$U:$V,2,0)</f>
        <v>14</v>
      </c>
      <c r="M50" s="1">
        <f>VLOOKUP(J50,$X:$Y,2,0)</f>
        <v>8</v>
      </c>
      <c r="N50" s="1">
        <f>VLOOKUP(K50,$AA:$AB,2,0)</f>
        <v>14</v>
      </c>
      <c r="O50" s="1">
        <f>IF(A50&lt;&gt;"",N50+M50+L50+F50+G50+H50,0)</f>
        <v>45</v>
      </c>
    </row>
    <row r="51" spans="1:15" x14ac:dyDescent="0.25">
      <c r="A51" t="s">
        <v>841</v>
      </c>
      <c r="B51" t="s">
        <v>842</v>
      </c>
      <c r="C51" s="1" t="str">
        <f>MID(A51,1,2)</f>
        <v>חפ</v>
      </c>
      <c r="D51" s="1" t="str">
        <f>MID(B51,3,2)</f>
        <v>פד</v>
      </c>
      <c r="E51" s="1" t="str">
        <f>CONCATENATE(I51,K51)</f>
        <v>חד</v>
      </c>
      <c r="F51" s="1">
        <f>VLOOKUP(I51,$U$23:$AL$40,MATCH(J51,$U$23:$AL$23,0),FALSE)</f>
        <v>1</v>
      </c>
      <c r="G51" s="1">
        <f>VLOOKUP(J51,$U$23:$AL$40,MATCH(K51,$U$23:$AL$23,0),FALSE)</f>
        <v>3</v>
      </c>
      <c r="H51" s="1">
        <f>VLOOKUP(I51,$U$23:$AL$40,MATCH(K51,$U$23:$AL$23,0),FALSE)</f>
        <v>4</v>
      </c>
      <c r="I51" s="1" t="str">
        <f>MID(A51,1,1)</f>
        <v>ח</v>
      </c>
      <c r="J51" s="1" t="str">
        <f>MID(A51,2,1)</f>
        <v>פ</v>
      </c>
      <c r="K51" s="1" t="str">
        <f>MID(A51,4,1)</f>
        <v>ד</v>
      </c>
      <c r="L51" s="1">
        <f>VLOOKUP(I51,$U:$V,2,0)</f>
        <v>14</v>
      </c>
      <c r="M51" s="1">
        <f>VLOOKUP(J51,$X:$Y,2,0)</f>
        <v>10</v>
      </c>
      <c r="N51" s="1">
        <f>VLOOKUP(K51,$AA:$AB,2,0)</f>
        <v>14</v>
      </c>
      <c r="O51" s="1">
        <f>IF(A51&lt;&gt;"",N51+M51+L51+F51+G51+H51,0)</f>
        <v>46</v>
      </c>
    </row>
    <row r="52" spans="1:15" x14ac:dyDescent="0.25">
      <c r="A52" t="s">
        <v>803</v>
      </c>
      <c r="B52" t="s">
        <v>804</v>
      </c>
      <c r="C52" s="1" t="str">
        <f>MID(A52,1,2)</f>
        <v>חצ</v>
      </c>
      <c r="D52" s="1" t="str">
        <f>MID(B52,3,2)</f>
        <v>צל</v>
      </c>
      <c r="E52" s="1" t="str">
        <f>CONCATENATE(I52,K52)</f>
        <v>חל</v>
      </c>
      <c r="F52" s="1">
        <f>VLOOKUP(I52,$U$23:$AL$40,MATCH(J52,$U$23:$AL$23,0),FALSE)</f>
        <v>1</v>
      </c>
      <c r="G52" s="1">
        <f>VLOOKUP(J52,$U$23:$AL$40,MATCH(K52,$U$23:$AL$23,0),FALSE)</f>
        <v>3</v>
      </c>
      <c r="H52" s="1">
        <f>VLOOKUP(I52,$U$23:$AL$40,MATCH(K52,$U$23:$AL$23,0),FALSE)</f>
        <v>3</v>
      </c>
      <c r="I52" s="1" t="str">
        <f>MID(A52,1,1)</f>
        <v>ח</v>
      </c>
      <c r="J52" s="1" t="str">
        <f>MID(A52,2,1)</f>
        <v>צ</v>
      </c>
      <c r="K52" s="1" t="str">
        <f>MID(A52,4,1)</f>
        <v>ל</v>
      </c>
      <c r="L52" s="1">
        <f>VLOOKUP(I52,$U:$V,2,0)</f>
        <v>14</v>
      </c>
      <c r="M52" s="1">
        <f>VLOOKUP(J52,$X:$Y,2,0)</f>
        <v>10</v>
      </c>
      <c r="N52" s="1">
        <f>VLOOKUP(K52,$AA:$AB,2,0)</f>
        <v>14</v>
      </c>
      <c r="O52" s="1">
        <f>IF(A52&lt;&gt;"",N52+M52+L52+F52+G52+H52,0)</f>
        <v>45</v>
      </c>
    </row>
    <row r="53" spans="1:15" x14ac:dyDescent="0.25">
      <c r="A53" t="s">
        <v>591</v>
      </c>
      <c r="B53" t="s">
        <v>592</v>
      </c>
      <c r="C53" s="1" t="str">
        <f>MID(A53,1,2)</f>
        <v>חק</v>
      </c>
      <c r="D53" s="1" t="str">
        <f>MID(B53,3,2)</f>
        <v>קל</v>
      </c>
      <c r="E53" s="1" t="str">
        <f>CONCATENATE(I53,K53)</f>
        <v>חל</v>
      </c>
      <c r="F53" s="1">
        <f>VLOOKUP(I53,$U$23:$AL$40,MATCH(J53,$U$23:$AL$23,0),FALSE)</f>
        <v>3</v>
      </c>
      <c r="G53" s="1">
        <f>VLOOKUP(J53,$U$23:$AL$40,MATCH(K53,$U$23:$AL$23,0),FALSE)</f>
        <v>2</v>
      </c>
      <c r="H53" s="1">
        <f>VLOOKUP(I53,$U$23:$AL$40,MATCH(K53,$U$23:$AL$23,0),FALSE)</f>
        <v>3</v>
      </c>
      <c r="I53" s="1" t="str">
        <f>MID(A53,1,1)</f>
        <v>ח</v>
      </c>
      <c r="J53" s="1" t="str">
        <f>MID(A53,2,1)</f>
        <v>ק</v>
      </c>
      <c r="K53" s="1" t="str">
        <f>MID(A53,4,1)</f>
        <v>ל</v>
      </c>
      <c r="L53" s="1">
        <f>VLOOKUP(I53,$U:$V,2,0)</f>
        <v>14</v>
      </c>
      <c r="M53" s="1">
        <f>VLOOKUP(J53,$X:$Y,2,0)</f>
        <v>8</v>
      </c>
      <c r="N53" s="1">
        <f>VLOOKUP(K53,$AA:$AB,2,0)</f>
        <v>14</v>
      </c>
      <c r="O53" s="1">
        <f>IF(A53&lt;&gt;"",N53+M53+L53+F53+G53+H53,0)</f>
        <v>44</v>
      </c>
    </row>
    <row r="54" spans="1:15" x14ac:dyDescent="0.25">
      <c r="A54" t="s">
        <v>785</v>
      </c>
      <c r="B54" t="s">
        <v>786</v>
      </c>
      <c r="C54" s="1" t="str">
        <f>MID(A54,1,2)</f>
        <v>חר</v>
      </c>
      <c r="D54" s="1" t="str">
        <f>MID(B54,3,2)</f>
        <v>רג</v>
      </c>
      <c r="E54" s="1" t="str">
        <f>CONCATENATE(I54,K54)</f>
        <v>חג</v>
      </c>
      <c r="F54" s="1">
        <f>VLOOKUP(I54,$U$23:$AL$40,MATCH(J54,$U$23:$AL$23,0),FALSE)</f>
        <v>2</v>
      </c>
      <c r="G54" s="1">
        <f>VLOOKUP(J54,$U$23:$AL$40,MATCH(K54,$U$23:$AL$23,0),FALSE)</f>
        <v>4</v>
      </c>
      <c r="H54" s="1">
        <f>VLOOKUP(I54,$U$23:$AL$40,MATCH(K54,$U$23:$AL$23,0),FALSE)</f>
        <v>3</v>
      </c>
      <c r="I54" s="1" t="str">
        <f>MID(A54,1,1)</f>
        <v>ח</v>
      </c>
      <c r="J54" s="1" t="str">
        <f>MID(A54,2,1)</f>
        <v>ר</v>
      </c>
      <c r="K54" s="1" t="str">
        <f>MID(A54,4,1)</f>
        <v>ג</v>
      </c>
      <c r="L54" s="1">
        <f>VLOOKUP(I54,$U:$V,2,0)</f>
        <v>14</v>
      </c>
      <c r="M54" s="1">
        <f>VLOOKUP(J54,$X:$Y,2,0)</f>
        <v>8</v>
      </c>
      <c r="N54" s="1">
        <f>VLOOKUP(K54,$AA:$AB,2,0)</f>
        <v>15</v>
      </c>
      <c r="O54" s="1">
        <f>IF(A54&lt;&gt;"",N54+M54+L54+F54+G54+H54,0)</f>
        <v>46</v>
      </c>
    </row>
    <row r="55" spans="1:15" x14ac:dyDescent="0.25">
      <c r="A55" s="1" t="s">
        <v>544</v>
      </c>
      <c r="B55" s="1" t="s">
        <v>545</v>
      </c>
      <c r="C55" s="1" t="str">
        <f>MID(A55,1,2)</f>
        <v>חר</v>
      </c>
      <c r="D55" s="1" t="str">
        <f>MID(B55,3,2)</f>
        <v>רז</v>
      </c>
      <c r="E55" s="1" t="str">
        <f>CONCATENATE(I55,K55)</f>
        <v>חז</v>
      </c>
      <c r="F55" s="1">
        <f>VLOOKUP(I55,$U$23:$AL$40,MATCH(J55,$U$23:$AL$23,0),FALSE)</f>
        <v>2</v>
      </c>
      <c r="G55" s="1">
        <f>VLOOKUP(J55,$U$23:$AL$40,MATCH(K55,$U$23:$AL$23,0),FALSE)</f>
        <v>3</v>
      </c>
      <c r="H55" s="1">
        <f>VLOOKUP(I55,$U$23:$AL$40,MATCH(K55,$U$23:$AL$23,0),FALSE)</f>
        <v>4</v>
      </c>
      <c r="I55" s="1" t="str">
        <f>MID(A55,1,1)</f>
        <v>ח</v>
      </c>
      <c r="J55" s="1" t="str">
        <f>MID(A55,2,1)</f>
        <v>ר</v>
      </c>
      <c r="K55" s="1" t="str">
        <f>MID(A55,4,1)</f>
        <v>ז</v>
      </c>
      <c r="L55" s="1">
        <f>VLOOKUP(I55,$U:$V,2,0)</f>
        <v>14</v>
      </c>
      <c r="M55" s="1">
        <f>VLOOKUP(J55,$X:$Y,2,0)</f>
        <v>8</v>
      </c>
      <c r="N55" s="1">
        <f>VLOOKUP(K55,$AA:$AB,2,0)</f>
        <v>15</v>
      </c>
      <c r="O55" s="1">
        <f>IF(A55&lt;&gt;"",N55+M55+L55+F55+G55+H55,0)</f>
        <v>46</v>
      </c>
    </row>
    <row r="56" spans="1:15" x14ac:dyDescent="0.25">
      <c r="A56" s="1" t="s">
        <v>687</v>
      </c>
      <c r="B56" s="1" t="s">
        <v>688</v>
      </c>
      <c r="C56" s="1" t="str">
        <f>MID(A56,1,2)</f>
        <v>חש</v>
      </c>
      <c r="D56" s="1" t="str">
        <f>MID(B56,3,2)</f>
        <v>שע</v>
      </c>
      <c r="E56" s="1" t="str">
        <f>CONCATENATE(I56,K56)</f>
        <v>חע</v>
      </c>
      <c r="F56" s="1">
        <f>VLOOKUP(I56,$U$23:$AL$40,MATCH(J56,$U$23:$AL$23,0),FALSE)</f>
        <v>3</v>
      </c>
      <c r="G56" s="1">
        <f>VLOOKUP(J56,$U$23:$AL$40,MATCH(K56,$U$23:$AL$23,0),FALSE)</f>
        <v>2</v>
      </c>
      <c r="H56" s="1">
        <f>VLOOKUP(I56,$U$23:$AL$40,MATCH(K56,$U$23:$AL$23,0),FALSE)</f>
        <v>3</v>
      </c>
      <c r="I56" s="1" t="str">
        <f>MID(A56,1,1)</f>
        <v>ח</v>
      </c>
      <c r="J56" s="1" t="str">
        <f>MID(A56,2,1)</f>
        <v>ש</v>
      </c>
      <c r="K56" s="1" t="str">
        <f>MID(A56,4,1)</f>
        <v>ע</v>
      </c>
      <c r="L56" s="1">
        <f>VLOOKUP(I56,$U:$V,2,0)</f>
        <v>14</v>
      </c>
      <c r="M56" s="1">
        <f>VLOOKUP(J56,$X:$Y,2,0)</f>
        <v>9</v>
      </c>
      <c r="N56" s="1">
        <f>VLOOKUP(K56,$AA:$AB,2,0)</f>
        <v>15</v>
      </c>
      <c r="O56" s="1">
        <f>IF(A56&lt;&gt;"",N56+M56+L56+F56+G56+H56,0)</f>
        <v>46</v>
      </c>
    </row>
    <row r="57" spans="1:15" x14ac:dyDescent="0.25">
      <c r="A57" s="1" t="s">
        <v>703</v>
      </c>
      <c r="B57" s="1" t="s">
        <v>704</v>
      </c>
      <c r="C57" s="1" t="str">
        <f>MID(A57,1,2)</f>
        <v>חת</v>
      </c>
      <c r="D57" s="1" t="str">
        <f>MID(B57,3,2)</f>
        <v>תט</v>
      </c>
      <c r="E57" s="1" t="str">
        <f>CONCATENATE(I57,K57)</f>
        <v>חט</v>
      </c>
      <c r="F57" s="1">
        <f>VLOOKUP(I57,$U$23:$AL$40,MATCH(J57,$U$23:$AL$23,0),FALSE)</f>
        <v>1</v>
      </c>
      <c r="G57" s="1">
        <f>VLOOKUP(J57,$U$23:$AL$40,MATCH(K57,$U$23:$AL$23,0),FALSE)</f>
        <v>1</v>
      </c>
      <c r="H57" s="1">
        <f>VLOOKUP(I57,$U$23:$AL$40,MATCH(K57,$U$23:$AL$23,0),FALSE)</f>
        <v>3</v>
      </c>
      <c r="I57" s="1" t="str">
        <f>MID(A57,1,1)</f>
        <v>ח</v>
      </c>
      <c r="J57" s="1" t="str">
        <f>MID(A57,2,1)</f>
        <v>ת</v>
      </c>
      <c r="K57" s="1" t="str">
        <f>MID(A57,4,1)</f>
        <v>ט</v>
      </c>
      <c r="L57" s="1">
        <f>VLOOKUP(I57,$U:$V,2,0)</f>
        <v>14</v>
      </c>
      <c r="M57" s="1">
        <f>VLOOKUP(J57,$X:$Y,2,0)</f>
        <v>12</v>
      </c>
      <c r="N57" s="1">
        <f>VLOOKUP(K57,$AA:$AB,2,0)</f>
        <v>14</v>
      </c>
      <c r="O57" s="1">
        <f>IF(A57&lt;&gt;"",N57+M57+L57+F57+G57+H57,0)</f>
        <v>45</v>
      </c>
    </row>
    <row r="58" spans="1:15" x14ac:dyDescent="0.25">
      <c r="A58" s="1" t="s">
        <v>609</v>
      </c>
      <c r="B58" s="1" t="s">
        <v>610</v>
      </c>
      <c r="C58" s="1" t="str">
        <f>MID(A58,1,2)</f>
        <v>טד</v>
      </c>
      <c r="D58" s="1" t="str">
        <f>MID(B58,3,2)</f>
        <v>דג</v>
      </c>
      <c r="E58" s="1" t="str">
        <f>CONCATENATE(I58,K58)</f>
        <v>טג</v>
      </c>
      <c r="F58" s="1">
        <f>VLOOKUP(I58,$U$23:$AL$40,MATCH(J58,$U$23:$AL$23,0),FALSE)</f>
        <v>3</v>
      </c>
      <c r="G58" s="1">
        <f>VLOOKUP(J58,$U$23:$AL$40,MATCH(K58,$U$23:$AL$23,0),FALSE)</f>
        <v>3</v>
      </c>
      <c r="H58" s="1">
        <f>VLOOKUP(I58,$U$23:$AL$40,MATCH(K58,$U$23:$AL$23,0),FALSE)</f>
        <v>4</v>
      </c>
      <c r="I58" s="1" t="str">
        <f>MID(A58,1,1)</f>
        <v>ט</v>
      </c>
      <c r="J58" s="1" t="str">
        <f>MID(A58,2,1)</f>
        <v>ד</v>
      </c>
      <c r="K58" s="1" t="str">
        <f>MID(A58,4,1)</f>
        <v>ג</v>
      </c>
      <c r="L58" s="1">
        <f>VLOOKUP(I58,$U:$V,2,0)</f>
        <v>15</v>
      </c>
      <c r="M58" s="1">
        <f>VLOOKUP(J58,$X:$Y,2,0)</f>
        <v>9</v>
      </c>
      <c r="N58" s="1">
        <f>VLOOKUP(K58,$AA:$AB,2,0)</f>
        <v>15</v>
      </c>
      <c r="O58" s="1">
        <f>IF(A58&lt;&gt;"",N58+M58+L58+F58+G58+H58,0)</f>
        <v>49</v>
      </c>
    </row>
    <row r="59" spans="1:15" x14ac:dyDescent="0.25">
      <c r="A59" t="s">
        <v>645</v>
      </c>
      <c r="B59" t="s">
        <v>646</v>
      </c>
      <c r="C59" s="1" t="str">
        <f>MID(A59,1,2)</f>
        <v>טז</v>
      </c>
      <c r="D59" s="1" t="str">
        <f>MID(B59,3,2)</f>
        <v>זל</v>
      </c>
      <c r="E59" s="1" t="str">
        <f>CONCATENATE(I59,K59)</f>
        <v>טל</v>
      </c>
      <c r="F59" s="1">
        <f>VLOOKUP(I59,$U$23:$AL$40,MATCH(J59,$U$23:$AL$23,0),FALSE)</f>
        <v>3</v>
      </c>
      <c r="G59" s="1">
        <f>VLOOKUP(J59,$U$23:$AL$40,MATCH(K59,$U$23:$AL$23,0),FALSE)</f>
        <v>3</v>
      </c>
      <c r="H59" s="1">
        <f>VLOOKUP(I59,$U$23:$AL$40,MATCH(K59,$U$23:$AL$23,0),FALSE)</f>
        <v>3</v>
      </c>
      <c r="I59" s="1" t="str">
        <f>MID(A59,1,1)</f>
        <v>ט</v>
      </c>
      <c r="J59" s="1" t="str">
        <f>MID(A59,2,1)</f>
        <v>ז</v>
      </c>
      <c r="K59" s="1" t="str">
        <f>MID(A59,4,1)</f>
        <v>ל</v>
      </c>
      <c r="L59" s="1">
        <f>VLOOKUP(I59,$U:$V,2,0)</f>
        <v>15</v>
      </c>
      <c r="M59" s="1">
        <f>VLOOKUP(J59,$X:$Y,2,0)</f>
        <v>7</v>
      </c>
      <c r="N59" s="1">
        <f>VLOOKUP(K59,$AA:$AB,2,0)</f>
        <v>14</v>
      </c>
      <c r="O59" s="1">
        <f>IF(A59&lt;&gt;"",N59+M59+L59+F59+G59+H59,0)</f>
        <v>45</v>
      </c>
    </row>
    <row r="60" spans="1:15" x14ac:dyDescent="0.25">
      <c r="A60" s="1" t="s">
        <v>731</v>
      </c>
      <c r="B60" s="1" t="s">
        <v>732</v>
      </c>
      <c r="C60" s="1" t="str">
        <f>MID(A60,1,2)</f>
        <v>טכ</v>
      </c>
      <c r="D60" s="1" t="str">
        <f>MID(B60,3,2)</f>
        <v>כז</v>
      </c>
      <c r="E60" s="1" t="str">
        <f>CONCATENATE(I60,K60)</f>
        <v>טז</v>
      </c>
      <c r="F60" s="1">
        <f>VLOOKUP(I60,$U$23:$AL$40,MATCH(J60,$U$23:$AL$23,0),FALSE)</f>
        <v>2</v>
      </c>
      <c r="G60" s="1">
        <f>VLOOKUP(J60,$U$23:$AL$40,MATCH(K60,$U$23:$AL$23,0),FALSE)</f>
        <v>1</v>
      </c>
      <c r="H60" s="1">
        <f>VLOOKUP(I60,$U$23:$AL$40,MATCH(K60,$U$23:$AL$23,0),FALSE)</f>
        <v>3</v>
      </c>
      <c r="I60" s="1" t="str">
        <f>MID(A60,1,1)</f>
        <v>ט</v>
      </c>
      <c r="J60" s="1" t="str">
        <f>MID(A60,2,1)</f>
        <v>כ</v>
      </c>
      <c r="K60" s="1" t="str">
        <f>MID(A60,4,1)</f>
        <v>ז</v>
      </c>
      <c r="L60" s="1">
        <f>VLOOKUP(I60,$U:$V,2,0)</f>
        <v>15</v>
      </c>
      <c r="M60" s="1">
        <f>VLOOKUP(J60,$X:$Y,2,0)</f>
        <v>11</v>
      </c>
      <c r="N60" s="1">
        <f>VLOOKUP(K60,$AA:$AB,2,0)</f>
        <v>15</v>
      </c>
      <c r="O60" s="1">
        <f>IF(A60&lt;&gt;"",N60+M60+L60+F60+G60+H60,0)</f>
        <v>47</v>
      </c>
    </row>
    <row r="61" spans="1:15" x14ac:dyDescent="0.25">
      <c r="A61" t="s">
        <v>779</v>
      </c>
      <c r="B61" t="s">
        <v>780</v>
      </c>
      <c r="C61" s="1" t="str">
        <f>MID(A61,1,2)</f>
        <v>טכ</v>
      </c>
      <c r="D61" s="1" t="str">
        <f>MID(B61,3,2)</f>
        <v>כר</v>
      </c>
      <c r="E61" s="1" t="str">
        <f>CONCATENATE(I61,K61)</f>
        <v>טר</v>
      </c>
      <c r="F61" s="1">
        <f>VLOOKUP(I61,$U$23:$AL$40,MATCH(J61,$U$23:$AL$23,0),FALSE)</f>
        <v>2</v>
      </c>
      <c r="G61" s="1">
        <f>VLOOKUP(J61,$U$23:$AL$40,MATCH(K61,$U$23:$AL$23,0),FALSE)</f>
        <v>1</v>
      </c>
      <c r="H61" s="1">
        <f>VLOOKUP(I61,$U$23:$AL$40,MATCH(K61,$U$23:$AL$23,0),FALSE)</f>
        <v>3</v>
      </c>
      <c r="I61" s="1" t="str">
        <f>MID(A61,1,1)</f>
        <v>ט</v>
      </c>
      <c r="J61" s="1" t="str">
        <f>MID(A61,2,1)</f>
        <v>כ</v>
      </c>
      <c r="K61" s="1" t="str">
        <f>MID(A61,4,1)</f>
        <v>ר</v>
      </c>
      <c r="L61" s="1">
        <f>VLOOKUP(I61,$U:$V,2,0)</f>
        <v>15</v>
      </c>
      <c r="M61" s="1">
        <f>VLOOKUP(J61,$X:$Y,2,0)</f>
        <v>11</v>
      </c>
      <c r="N61" s="1">
        <f>VLOOKUP(K61,$AA:$AB,2,0)</f>
        <v>14</v>
      </c>
      <c r="O61" s="1">
        <f>IF(A61&lt;&gt;"",N61+M61+L61+F61+G61+H61,0)</f>
        <v>46</v>
      </c>
    </row>
    <row r="62" spans="1:15" x14ac:dyDescent="0.25">
      <c r="A62" t="s">
        <v>593</v>
      </c>
      <c r="B62" t="s">
        <v>594</v>
      </c>
      <c r="C62" s="1" t="str">
        <f>MID(A62,1,2)</f>
        <v>טל</v>
      </c>
      <c r="D62" s="1" t="str">
        <f>MID(B62,3,2)</f>
        <v>לס</v>
      </c>
      <c r="E62" s="1" t="str">
        <f>CONCATENATE(I62,K62)</f>
        <v>טס</v>
      </c>
      <c r="F62" s="1">
        <f>VLOOKUP(I62,$U$23:$AL$40,MATCH(J62,$U$23:$AL$23,0),FALSE)</f>
        <v>3</v>
      </c>
      <c r="G62" s="1">
        <f>VLOOKUP(J62,$U$23:$AL$40,MATCH(K62,$U$23:$AL$23,0),FALSE)</f>
        <v>1</v>
      </c>
      <c r="H62" s="1">
        <f>VLOOKUP(I62,$U$23:$AL$40,MATCH(K62,$U$23:$AL$23,0),FALSE)</f>
        <v>4</v>
      </c>
      <c r="I62" s="1" t="str">
        <f>MID(A62,1,1)</f>
        <v>ט</v>
      </c>
      <c r="J62" s="1" t="str">
        <f>MID(A62,2,1)</f>
        <v>ל</v>
      </c>
      <c r="K62" s="1" t="str">
        <f>MID(A62,4,1)</f>
        <v>ס</v>
      </c>
      <c r="L62" s="1">
        <f>VLOOKUP(I62,$U:$V,2,0)</f>
        <v>15</v>
      </c>
      <c r="M62" s="1">
        <f>VLOOKUP(J62,$X:$Y,2,0)</f>
        <v>10</v>
      </c>
      <c r="N62" s="1">
        <f>VLOOKUP(K62,$AA:$AB,2,0)</f>
        <v>15</v>
      </c>
      <c r="O62" s="1">
        <f>IF(A62&lt;&gt;"",N62+M62+L62+F62+G62+H62,0)</f>
        <v>48</v>
      </c>
    </row>
    <row r="63" spans="1:15" x14ac:dyDescent="0.25">
      <c r="A63" s="1" t="s">
        <v>542</v>
      </c>
      <c r="B63" s="1" t="s">
        <v>543</v>
      </c>
      <c r="C63" s="1" t="str">
        <f>MID(A63,1,2)</f>
        <v>טל</v>
      </c>
      <c r="D63" s="1" t="str">
        <f>MID(B63,3,2)</f>
        <v>לע</v>
      </c>
      <c r="E63" s="1" t="str">
        <f>CONCATENATE(I63,K63)</f>
        <v>טע</v>
      </c>
      <c r="F63" s="1">
        <f>VLOOKUP(I63,$U$23:$AL$40,MATCH(J63,$U$23:$AL$23,0),FALSE)</f>
        <v>3</v>
      </c>
      <c r="G63" s="1">
        <f>VLOOKUP(J63,$U$23:$AL$40,MATCH(K63,$U$23:$AL$23,0),FALSE)</f>
        <v>1</v>
      </c>
      <c r="H63" s="1">
        <f>VLOOKUP(I63,$U$23:$AL$40,MATCH(K63,$U$23:$AL$23,0),FALSE)</f>
        <v>3</v>
      </c>
      <c r="I63" s="1" t="str">
        <f>MID(A63,1,1)</f>
        <v>ט</v>
      </c>
      <c r="J63" s="1" t="str">
        <f>MID(A63,2,1)</f>
        <v>ל</v>
      </c>
      <c r="K63" s="1" t="str">
        <f>MID(A63,4,1)</f>
        <v>ע</v>
      </c>
      <c r="L63" s="1">
        <f>VLOOKUP(I63,$U:$V,2,0)</f>
        <v>15</v>
      </c>
      <c r="M63" s="1">
        <f>VLOOKUP(J63,$X:$Y,2,0)</f>
        <v>10</v>
      </c>
      <c r="N63" s="1">
        <f>VLOOKUP(K63,$AA:$AB,2,0)</f>
        <v>15</v>
      </c>
      <c r="O63" s="1">
        <f>IF(A63&lt;&gt;"",N63+M63+L63+F63+G63+H63,0)</f>
        <v>47</v>
      </c>
    </row>
    <row r="64" spans="1:15" x14ac:dyDescent="0.25">
      <c r="A64" t="s">
        <v>809</v>
      </c>
      <c r="B64" t="s">
        <v>810</v>
      </c>
      <c r="C64" s="1" t="str">
        <f>MID(A64,1,2)</f>
        <v>טמ</v>
      </c>
      <c r="D64" s="1" t="str">
        <f>MID(B64,3,2)</f>
        <v>מח</v>
      </c>
      <c r="E64" s="1" t="str">
        <f>CONCATENATE(I64,K64)</f>
        <v>טח</v>
      </c>
      <c r="F64" s="1">
        <f>VLOOKUP(I64,$U$23:$AL$40,MATCH(J64,$U$23:$AL$23,0),FALSE)</f>
        <v>2</v>
      </c>
      <c r="G64" s="1">
        <f>VLOOKUP(J64,$U$23:$AL$40,MATCH(K64,$U$23:$AL$23,0),FALSE)</f>
        <v>1</v>
      </c>
      <c r="H64" s="1">
        <f>VLOOKUP(I64,$U$23:$AL$40,MATCH(K64,$U$23:$AL$23,0),FALSE)</f>
        <v>3</v>
      </c>
      <c r="I64" s="1" t="str">
        <f>MID(A64,1,1)</f>
        <v>ט</v>
      </c>
      <c r="J64" s="1" t="str">
        <f>MID(A64,2,1)</f>
        <v>מ</v>
      </c>
      <c r="K64" s="1" t="str">
        <f>MID(A64,4,1)</f>
        <v>ח</v>
      </c>
      <c r="L64" s="1">
        <f>VLOOKUP(I64,$U:$V,2,0)</f>
        <v>15</v>
      </c>
      <c r="M64" s="1">
        <f>VLOOKUP(J64,$X:$Y,2,0)</f>
        <v>12</v>
      </c>
      <c r="N64" s="1">
        <f>VLOOKUP(K64,$AA:$AB,2,0)</f>
        <v>14</v>
      </c>
      <c r="O64" s="1">
        <f>IF(A64&lt;&gt;"",N64+M64+L64+F64+G64+H64,0)</f>
        <v>47</v>
      </c>
    </row>
    <row r="65" spans="1:15" x14ac:dyDescent="0.25">
      <c r="A65" t="s">
        <v>573</v>
      </c>
      <c r="B65" t="s">
        <v>574</v>
      </c>
      <c r="C65" s="1" t="str">
        <f>MID(A65,1,2)</f>
        <v>טמ</v>
      </c>
      <c r="D65" s="1" t="str">
        <f>MID(B65,3,2)</f>
        <v>מע</v>
      </c>
      <c r="E65" s="1" t="str">
        <f>CONCATENATE(I65,K65)</f>
        <v>טע</v>
      </c>
      <c r="F65" s="1">
        <f>VLOOKUP(I65,$U$23:$AL$40,MATCH(J65,$U$23:$AL$23,0),FALSE)</f>
        <v>2</v>
      </c>
      <c r="G65" s="1">
        <f>VLOOKUP(J65,$U$23:$AL$40,MATCH(K65,$U$23:$AL$23,0),FALSE)</f>
        <v>2</v>
      </c>
      <c r="H65" s="1">
        <f>VLOOKUP(I65,$U$23:$AL$40,MATCH(K65,$U$23:$AL$23,0),FALSE)</f>
        <v>3</v>
      </c>
      <c r="I65" s="1" t="str">
        <f>MID(A65,1,1)</f>
        <v>ט</v>
      </c>
      <c r="J65" s="1" t="str">
        <f>MID(A65,2,1)</f>
        <v>מ</v>
      </c>
      <c r="K65" s="1" t="str">
        <f>MID(A65,4,1)</f>
        <v>ע</v>
      </c>
      <c r="L65" s="1">
        <f>VLOOKUP(I65,$U:$V,2,0)</f>
        <v>15</v>
      </c>
      <c r="M65" s="1">
        <f>VLOOKUP(J65,$X:$Y,2,0)</f>
        <v>12</v>
      </c>
      <c r="N65" s="1">
        <f>VLOOKUP(K65,$AA:$AB,2,0)</f>
        <v>15</v>
      </c>
      <c r="O65" s="1">
        <f>IF(A65&lt;&gt;"",N65+M65+L65+F65+G65+H65,0)</f>
        <v>49</v>
      </c>
    </row>
    <row r="66" spans="1:15" x14ac:dyDescent="0.25">
      <c r="A66" s="1" t="s">
        <v>589</v>
      </c>
      <c r="B66" s="1" t="s">
        <v>590</v>
      </c>
      <c r="C66" s="1" t="str">
        <f>MID(A66,1,2)</f>
        <v>טנ</v>
      </c>
      <c r="D66" s="1" t="str">
        <f>MID(B66,3,2)</f>
        <v>נג</v>
      </c>
      <c r="E66" s="1" t="str">
        <f>CONCATENATE(I66,K66)</f>
        <v>טג</v>
      </c>
      <c r="F66" s="1">
        <f>VLOOKUP(I66,$U$23:$AL$40,MATCH(J66,$U$23:$AL$23,0),FALSE)</f>
        <v>1</v>
      </c>
      <c r="G66" s="1">
        <f>VLOOKUP(J66,$U$23:$AL$40,MATCH(K66,$U$23:$AL$23,0),FALSE)</f>
        <v>1</v>
      </c>
      <c r="H66" s="1">
        <f>VLOOKUP(I66,$U$23:$AL$40,MATCH(K66,$U$23:$AL$23,0),FALSE)</f>
        <v>4</v>
      </c>
      <c r="I66" s="1" t="str">
        <f>MID(A66,1,1)</f>
        <v>ט</v>
      </c>
      <c r="J66" s="1" t="str">
        <f>MID(A66,2,1)</f>
        <v>נ</v>
      </c>
      <c r="K66" s="1" t="str">
        <f>MID(A66,4,1)</f>
        <v>ג</v>
      </c>
      <c r="L66" s="1">
        <f>VLOOKUP(I66,$U:$V,2,0)</f>
        <v>15</v>
      </c>
      <c r="M66" s="1">
        <f>VLOOKUP(J66,$X:$Y,2,0)</f>
        <v>12</v>
      </c>
      <c r="N66" s="1">
        <f>VLOOKUP(K66,$AA:$AB,2,0)</f>
        <v>15</v>
      </c>
      <c r="O66" s="1">
        <f>IF(A66&lt;&gt;"",N66+M66+L66+F66+G66+H66,0)</f>
        <v>48</v>
      </c>
    </row>
    <row r="67" spans="1:15" x14ac:dyDescent="0.25">
      <c r="A67" s="1" t="s">
        <v>633</v>
      </c>
      <c r="B67" s="1" t="s">
        <v>634</v>
      </c>
      <c r="C67" s="1" t="str">
        <f>MID(A67,1,2)</f>
        <v>טע</v>
      </c>
      <c r="D67" s="1" t="str">
        <f>MID(B67,3,2)</f>
        <v>עק</v>
      </c>
      <c r="E67" s="1" t="str">
        <f>CONCATENATE(I67,K67)</f>
        <v>טק</v>
      </c>
      <c r="F67" s="1">
        <f>VLOOKUP(I67,$U$23:$AL$40,MATCH(J67,$U$23:$AL$23,0),FALSE)</f>
        <v>3</v>
      </c>
      <c r="G67" s="1">
        <f>VLOOKUP(J67,$U$23:$AL$40,MATCH(K67,$U$23:$AL$23,0),FALSE)</f>
        <v>3</v>
      </c>
      <c r="H67" s="1">
        <f>VLOOKUP(I67,$U$23:$AL$40,MATCH(K67,$U$23:$AL$23,0),FALSE)</f>
        <v>2</v>
      </c>
      <c r="I67" s="1" t="str">
        <f>MID(A67,1,1)</f>
        <v>ט</v>
      </c>
      <c r="J67" s="1" t="str">
        <f>MID(A67,2,1)</f>
        <v>ע</v>
      </c>
      <c r="K67" s="1" t="str">
        <f>MID(A67,4,1)</f>
        <v>ק</v>
      </c>
      <c r="L67" s="1">
        <f>VLOOKUP(I67,$U:$V,2,0)</f>
        <v>15</v>
      </c>
      <c r="M67" s="1">
        <f>VLOOKUP(J67,$X:$Y,2,0)</f>
        <v>8</v>
      </c>
      <c r="N67" s="1">
        <f>VLOOKUP(K67,$AA:$AB,2,0)</f>
        <v>15</v>
      </c>
      <c r="O67" s="1">
        <f>IF(A67&lt;&gt;"",N67+M67+L67+F67+G67+H67,0)</f>
        <v>46</v>
      </c>
    </row>
    <row r="68" spans="1:15" x14ac:dyDescent="0.25">
      <c r="A68" s="1" t="s">
        <v>583</v>
      </c>
      <c r="B68" s="1" t="s">
        <v>584</v>
      </c>
      <c r="C68" s="1" t="str">
        <f>MID(A68,1,2)</f>
        <v>טפ</v>
      </c>
      <c r="D68" s="1" t="str">
        <f>MID(B68,3,2)</f>
        <v>פד</v>
      </c>
      <c r="E68" s="1" t="str">
        <f>CONCATENATE(I68,K68)</f>
        <v>טד</v>
      </c>
      <c r="F68" s="1">
        <f>VLOOKUP(I68,$U$23:$AL$40,MATCH(J68,$U$23:$AL$23,0),FALSE)</f>
        <v>1</v>
      </c>
      <c r="G68" s="1">
        <f>VLOOKUP(J68,$U$23:$AL$40,MATCH(K68,$U$23:$AL$23,0),FALSE)</f>
        <v>3</v>
      </c>
      <c r="H68" s="1">
        <f>VLOOKUP(I68,$U$23:$AL$40,MATCH(K68,$U$23:$AL$23,0),FALSE)</f>
        <v>3</v>
      </c>
      <c r="I68" s="1" t="str">
        <f>MID(A68,1,1)</f>
        <v>ט</v>
      </c>
      <c r="J68" s="1" t="str">
        <f>MID(A68,2,1)</f>
        <v>פ</v>
      </c>
      <c r="K68" s="1" t="str">
        <f>MID(A68,4,1)</f>
        <v>ד</v>
      </c>
      <c r="L68" s="1">
        <f>VLOOKUP(I68,$U:$V,2,0)</f>
        <v>15</v>
      </c>
      <c r="M68" s="1">
        <f>VLOOKUP(J68,$X:$Y,2,0)</f>
        <v>10</v>
      </c>
      <c r="N68" s="1">
        <f>VLOOKUP(K68,$AA:$AB,2,0)</f>
        <v>14</v>
      </c>
      <c r="O68" s="1">
        <f>IF(A68&lt;&gt;"",N68+M68+L68+F68+G68+H68,0)</f>
        <v>46</v>
      </c>
    </row>
    <row r="69" spans="1:15" x14ac:dyDescent="0.25">
      <c r="A69" t="s">
        <v>673</v>
      </c>
      <c r="B69" t="s">
        <v>674</v>
      </c>
      <c r="C69" s="1" t="str">
        <f>MID(A69,1,2)</f>
        <v>טצ</v>
      </c>
      <c r="D69" s="1" t="str">
        <f>MID(B69,3,2)</f>
        <v>צס</v>
      </c>
      <c r="E69" s="1" t="str">
        <f>CONCATENATE(I69,K69)</f>
        <v>טס</v>
      </c>
      <c r="F69" s="1">
        <f>VLOOKUP(I69,$U$23:$AL$40,MATCH(J69,$U$23:$AL$23,0),FALSE)</f>
        <v>1</v>
      </c>
      <c r="G69" s="1">
        <f>VLOOKUP(J69,$U$23:$AL$40,MATCH(K69,$U$23:$AL$23,0),FALSE)</f>
        <v>4</v>
      </c>
      <c r="H69" s="1">
        <f>VLOOKUP(I69,$U$23:$AL$40,MATCH(K69,$U$23:$AL$23,0),FALSE)</f>
        <v>4</v>
      </c>
      <c r="I69" s="1" t="str">
        <f>MID(A69,1,1)</f>
        <v>ט</v>
      </c>
      <c r="J69" s="1" t="str">
        <f>MID(A69,2,1)</f>
        <v>צ</v>
      </c>
      <c r="K69" s="1" t="str">
        <f>MID(A69,4,1)</f>
        <v>ס</v>
      </c>
      <c r="L69" s="1">
        <f>VLOOKUP(I69,$U:$V,2,0)</f>
        <v>15</v>
      </c>
      <c r="M69" s="1">
        <f>VLOOKUP(J69,$X:$Y,2,0)</f>
        <v>10</v>
      </c>
      <c r="N69" s="1">
        <f>VLOOKUP(K69,$AA:$AB,2,0)</f>
        <v>15</v>
      </c>
      <c r="O69" s="1">
        <f>IF(A69&lt;&gt;"",N69+M69+L69+F69+G69+H69,0)</f>
        <v>49</v>
      </c>
    </row>
    <row r="70" spans="1:15" x14ac:dyDescent="0.25">
      <c r="A70" s="1" t="s">
        <v>571</v>
      </c>
      <c r="B70" s="1" t="s">
        <v>572</v>
      </c>
      <c r="C70" s="1" t="str">
        <f>MID(A70,1,2)</f>
        <v>טר</v>
      </c>
      <c r="D70" s="1" t="str">
        <f>MID(B70,3,2)</f>
        <v>רש</v>
      </c>
      <c r="E70" s="1" t="str">
        <f>CONCATENATE(I70,K70)</f>
        <v>טש</v>
      </c>
      <c r="F70" s="1">
        <f>VLOOKUP(I70,$U$23:$AL$40,MATCH(J70,$U$23:$AL$23,0),FALSE)</f>
        <v>3</v>
      </c>
      <c r="G70" s="1">
        <f>VLOOKUP(J70,$U$23:$AL$40,MATCH(K70,$U$23:$AL$23,0),FALSE)</f>
        <v>3</v>
      </c>
      <c r="H70" s="1">
        <f>VLOOKUP(I70,$U$23:$AL$40,MATCH(K70,$U$23:$AL$23,0),FALSE)</f>
        <v>2</v>
      </c>
      <c r="I70" s="1" t="str">
        <f>MID(A70,1,1)</f>
        <v>ט</v>
      </c>
      <c r="J70" s="1" t="str">
        <f>MID(A70,2,1)</f>
        <v>ר</v>
      </c>
      <c r="K70" s="1" t="str">
        <f>MID(A70,4,1)</f>
        <v>ש</v>
      </c>
      <c r="L70" s="1">
        <f>VLOOKUP(I70,$U:$V,2,0)</f>
        <v>15</v>
      </c>
      <c r="M70" s="1">
        <f>VLOOKUP(J70,$X:$Y,2,0)</f>
        <v>8</v>
      </c>
      <c r="N70" s="1">
        <f>VLOOKUP(K70,$AA:$AB,2,0)</f>
        <v>15</v>
      </c>
      <c r="O70" s="1">
        <f>IF(A70&lt;&gt;"",N70+M70+L70+F70+G70+H70,0)</f>
        <v>46</v>
      </c>
    </row>
    <row r="71" spans="1:15" x14ac:dyDescent="0.25">
      <c r="A71" s="1" t="s">
        <v>565</v>
      </c>
      <c r="B71" s="1" t="s">
        <v>566</v>
      </c>
      <c r="C71" s="1" t="str">
        <f>MID(A71,1,2)</f>
        <v>טש</v>
      </c>
      <c r="D71" s="1" t="str">
        <f>MID(B71,3,2)</f>
        <v>שק</v>
      </c>
      <c r="E71" s="1" t="str">
        <f>CONCATENATE(I71,K71)</f>
        <v>טק</v>
      </c>
      <c r="F71" s="1">
        <f>VLOOKUP(I71,$U$23:$AL$40,MATCH(J71,$U$23:$AL$23,0),FALSE)</f>
        <v>2</v>
      </c>
      <c r="G71" s="1">
        <f>VLOOKUP(J71,$U$23:$AL$40,MATCH(K71,$U$23:$AL$23,0),FALSE)</f>
        <v>1</v>
      </c>
      <c r="H71" s="1">
        <f>VLOOKUP(I71,$U$23:$AL$40,MATCH(K71,$U$23:$AL$23,0),FALSE)</f>
        <v>2</v>
      </c>
      <c r="I71" s="1" t="str">
        <f>MID(A71,1,1)</f>
        <v>ט</v>
      </c>
      <c r="J71" s="1" t="str">
        <f>MID(A71,2,1)</f>
        <v>ש</v>
      </c>
      <c r="K71" s="1" t="str">
        <f>MID(A71,4,1)</f>
        <v>ק</v>
      </c>
      <c r="L71" s="1">
        <f>VLOOKUP(I71,$U:$V,2,0)</f>
        <v>15</v>
      </c>
      <c r="M71" s="1">
        <f>VLOOKUP(J71,$X:$Y,2,0)</f>
        <v>9</v>
      </c>
      <c r="N71" s="1">
        <f>VLOOKUP(K71,$AA:$AB,2,0)</f>
        <v>15</v>
      </c>
      <c r="O71" s="1">
        <f>IF(A71&lt;&gt;"",N71+M71+L71+F71+G71+H71,0)</f>
        <v>44</v>
      </c>
    </row>
    <row r="72" spans="1:15" x14ac:dyDescent="0.25">
      <c r="A72" t="s">
        <v>619</v>
      </c>
      <c r="B72" t="s">
        <v>620</v>
      </c>
      <c r="C72" s="1" t="str">
        <f>MID(A72,1,2)</f>
        <v>טת</v>
      </c>
      <c r="D72" s="1" t="str">
        <f>MID(B72,3,2)</f>
        <v>תח</v>
      </c>
      <c r="E72" s="1" t="str">
        <f>CONCATENATE(I72,K72)</f>
        <v>טח</v>
      </c>
      <c r="F72" s="1">
        <f>VLOOKUP(I72,$U$23:$AL$40,MATCH(J72,$U$23:$AL$23,0),FALSE)</f>
        <v>1</v>
      </c>
      <c r="G72" s="1">
        <f>VLOOKUP(J72,$U$23:$AL$40,MATCH(K72,$U$23:$AL$23,0),FALSE)</f>
        <v>1</v>
      </c>
      <c r="H72" s="1">
        <f>VLOOKUP(I72,$U$23:$AL$40,MATCH(K72,$U$23:$AL$23,0),FALSE)</f>
        <v>3</v>
      </c>
      <c r="I72" s="1" t="str">
        <f>MID(A72,1,1)</f>
        <v>ט</v>
      </c>
      <c r="J72" s="1" t="str">
        <f>MID(A72,2,1)</f>
        <v>ת</v>
      </c>
      <c r="K72" s="1" t="str">
        <f>MID(A72,4,1)</f>
        <v>ח</v>
      </c>
      <c r="L72" s="1">
        <f>VLOOKUP(I72,$U:$V,2,0)</f>
        <v>15</v>
      </c>
      <c r="M72" s="1">
        <f>VLOOKUP(J72,$X:$Y,2,0)</f>
        <v>12</v>
      </c>
      <c r="N72" s="1">
        <f>VLOOKUP(K72,$AA:$AB,2,0)</f>
        <v>14</v>
      </c>
      <c r="O72" s="1">
        <f>IF(A72&lt;&gt;"",N72+M72+L72+F72+G72+H72,0)</f>
        <v>46</v>
      </c>
    </row>
    <row r="73" spans="1:15" x14ac:dyDescent="0.25">
      <c r="A73" t="s">
        <v>835</v>
      </c>
      <c r="B73" t="s">
        <v>836</v>
      </c>
      <c r="C73" s="1" t="str">
        <f>MID(A73,1,2)</f>
        <v>סג</v>
      </c>
      <c r="D73" s="1" t="str">
        <f>MID(B73,3,2)</f>
        <v>גט</v>
      </c>
      <c r="E73" s="1" t="str">
        <f>CONCATENATE(I73,K73)</f>
        <v>סט</v>
      </c>
      <c r="F73" s="1">
        <f>VLOOKUP(I73,$U$23:$AL$40,MATCH(J73,$U$23:$AL$23,0),FALSE)</f>
        <v>3</v>
      </c>
      <c r="G73" s="1">
        <f>VLOOKUP(J73,$U$23:$AL$40,MATCH(K73,$U$23:$AL$23,0),FALSE)</f>
        <v>4</v>
      </c>
      <c r="H73" s="1">
        <f>VLOOKUP(I73,$U$23:$AL$40,MATCH(K73,$U$23:$AL$23,0),FALSE)</f>
        <v>4</v>
      </c>
      <c r="I73" s="1" t="str">
        <f>MID(A73,1,1)</f>
        <v>ס</v>
      </c>
      <c r="J73" s="1" t="str">
        <f>MID(A73,2,1)</f>
        <v>ג</v>
      </c>
      <c r="K73" s="1" t="str">
        <f>MID(A73,4,1)</f>
        <v>ט</v>
      </c>
      <c r="L73" s="1">
        <f>VLOOKUP(I73,$U:$V,2,0)</f>
        <v>15</v>
      </c>
      <c r="M73" s="1">
        <f>VLOOKUP(J73,$X:$Y,2,0)</f>
        <v>8</v>
      </c>
      <c r="N73" s="1">
        <f>VLOOKUP(K73,$AA:$AB,2,0)</f>
        <v>14</v>
      </c>
      <c r="O73" s="1">
        <f>IF(A73&lt;&gt;"",N73+M73+L73+F73+G73+H73,0)</f>
        <v>48</v>
      </c>
    </row>
    <row r="74" spans="1:15" x14ac:dyDescent="0.25">
      <c r="A74" s="1" t="s">
        <v>739</v>
      </c>
      <c r="B74" s="1" t="s">
        <v>740</v>
      </c>
      <c r="C74" s="1" t="str">
        <f>MID(A74,1,2)</f>
        <v>סג</v>
      </c>
      <c r="D74" s="1" t="str">
        <f>MID(B74,3,2)</f>
        <v>גל</v>
      </c>
      <c r="E74" s="1" t="str">
        <f>CONCATENATE(I74,K74)</f>
        <v>סל</v>
      </c>
      <c r="F74" s="1">
        <f>VLOOKUP(I74,$U$23:$AL$40,MATCH(J74,$U$23:$AL$23,0),FALSE)</f>
        <v>3</v>
      </c>
      <c r="G74" s="1">
        <f>VLOOKUP(J74,$U$23:$AL$40,MATCH(K74,$U$23:$AL$23,0),FALSE)</f>
        <v>2</v>
      </c>
      <c r="H74" s="1">
        <f>VLOOKUP(I74,$U$23:$AL$40,MATCH(K74,$U$23:$AL$23,0),FALSE)</f>
        <v>3</v>
      </c>
      <c r="I74" s="1" t="str">
        <f>MID(A74,1,1)</f>
        <v>ס</v>
      </c>
      <c r="J74" s="1" t="str">
        <f>MID(A74,2,1)</f>
        <v>ג</v>
      </c>
      <c r="K74" s="1" t="str">
        <f>MID(A74,4,1)</f>
        <v>ל</v>
      </c>
      <c r="L74" s="1">
        <f>VLOOKUP(I74,$U:$V,2,0)</f>
        <v>15</v>
      </c>
      <c r="M74" s="1">
        <f>VLOOKUP(J74,$X:$Y,2,0)</f>
        <v>8</v>
      </c>
      <c r="N74" s="1">
        <f>VLOOKUP(K74,$AA:$AB,2,0)</f>
        <v>14</v>
      </c>
      <c r="O74" s="1">
        <f>IF(A74&lt;&gt;"",N74+M74+L74+F74+G74+H74,0)</f>
        <v>45</v>
      </c>
    </row>
    <row r="75" spans="1:15" x14ac:dyDescent="0.25">
      <c r="A75" s="1" t="s">
        <v>528</v>
      </c>
      <c r="B75" s="1" t="s">
        <v>524</v>
      </c>
      <c r="C75" s="1" t="str">
        <f>MID(A75,1,2)</f>
        <v>סד</v>
      </c>
      <c r="D75" s="1" t="str">
        <f>MID(B75,3,2)</f>
        <v>דח</v>
      </c>
      <c r="E75" s="1" t="str">
        <f>CONCATENATE(I75,K75)</f>
        <v>סח</v>
      </c>
      <c r="F75" s="1">
        <f>VLOOKUP(I75,$U$23:$AL$40,MATCH(J75,$U$23:$AL$23,0),FALSE)</f>
        <v>4</v>
      </c>
      <c r="G75" s="1">
        <f>VLOOKUP(J75,$U$23:$AL$40,MATCH(K75,$U$23:$AL$23,0),FALSE)</f>
        <v>3</v>
      </c>
      <c r="H75" s="1">
        <f>VLOOKUP(I75,$U$23:$AL$40,MATCH(K75,$U$23:$AL$23,0),FALSE)</f>
        <v>3</v>
      </c>
      <c r="I75" s="1" t="str">
        <f>MID(A75,1,1)</f>
        <v>ס</v>
      </c>
      <c r="J75" s="1" t="str">
        <f>MID(A75,2,1)</f>
        <v>ד</v>
      </c>
      <c r="K75" s="1" t="str">
        <f>MID(A75,4,1)</f>
        <v>ח</v>
      </c>
      <c r="L75" s="1">
        <f>VLOOKUP(I75,$U:$V,2,0)</f>
        <v>15</v>
      </c>
      <c r="M75" s="1">
        <f>VLOOKUP(J75,$X:$Y,2,0)</f>
        <v>9</v>
      </c>
      <c r="N75" s="1">
        <f>VLOOKUP(K75,$AA:$AB,2,0)</f>
        <v>14</v>
      </c>
      <c r="O75" s="1">
        <f>IF(A75&lt;&gt;"",N75+M75+L75+F75+G75+H75,0)</f>
        <v>48</v>
      </c>
    </row>
    <row r="76" spans="1:15" x14ac:dyDescent="0.25">
      <c r="A76" t="s">
        <v>627</v>
      </c>
      <c r="B76" t="s">
        <v>628</v>
      </c>
      <c r="C76" s="1" t="str">
        <f>MID(A76,1,2)</f>
        <v>סד</v>
      </c>
      <c r="D76" s="1" t="str">
        <f>MID(B76,3,2)</f>
        <v>דק</v>
      </c>
      <c r="E76" s="1" t="str">
        <f>CONCATENATE(I76,K76)</f>
        <v>סק</v>
      </c>
      <c r="F76" s="1">
        <f>VLOOKUP(I76,$U$23:$AL$40,MATCH(J76,$U$23:$AL$23,0),FALSE)</f>
        <v>4</v>
      </c>
      <c r="G76" s="1">
        <f>VLOOKUP(J76,$U$23:$AL$40,MATCH(K76,$U$23:$AL$23,0),FALSE)</f>
        <v>4</v>
      </c>
      <c r="H76" s="1">
        <f>VLOOKUP(I76,$U$23:$AL$40,MATCH(K76,$U$23:$AL$23,0),FALSE)</f>
        <v>3</v>
      </c>
      <c r="I76" s="1" t="str">
        <f>MID(A76,1,1)</f>
        <v>ס</v>
      </c>
      <c r="J76" s="1" t="str">
        <f>MID(A76,2,1)</f>
        <v>ד</v>
      </c>
      <c r="K76" s="1" t="str">
        <f>MID(A76,4,1)</f>
        <v>ק</v>
      </c>
      <c r="L76" s="1">
        <f>VLOOKUP(I76,$U:$V,2,0)</f>
        <v>15</v>
      </c>
      <c r="M76" s="1">
        <f>VLOOKUP(J76,$X:$Y,2,0)</f>
        <v>9</v>
      </c>
      <c r="N76" s="1">
        <f>VLOOKUP(K76,$AA:$AB,2,0)</f>
        <v>15</v>
      </c>
      <c r="O76" s="1">
        <f>IF(A76&lt;&gt;"",N76+M76+L76+F76+G76+H76,0)</f>
        <v>50</v>
      </c>
    </row>
    <row r="77" spans="1:15" x14ac:dyDescent="0.25">
      <c r="A77" s="1" t="s">
        <v>753</v>
      </c>
      <c r="B77" s="1" t="s">
        <v>754</v>
      </c>
      <c r="C77" s="1" t="str">
        <f>MID(A77,1,2)</f>
        <v>סז</v>
      </c>
      <c r="D77" s="1" t="str">
        <f>MID(B77,3,2)</f>
        <v>זש</v>
      </c>
      <c r="E77" s="1" t="str">
        <f>CONCATENATE(I77,K77)</f>
        <v>סש</v>
      </c>
      <c r="F77" s="1">
        <f>VLOOKUP(I77,$U$23:$AL$40,MATCH(J77,$U$23:$AL$23,0),FALSE)</f>
        <v>3</v>
      </c>
      <c r="G77" s="1">
        <f>VLOOKUP(J77,$U$23:$AL$40,MATCH(K77,$U$23:$AL$23,0),FALSE)</f>
        <v>3</v>
      </c>
      <c r="H77" s="1">
        <f>VLOOKUP(I77,$U$23:$AL$40,MATCH(K77,$U$23:$AL$23,0),FALSE)</f>
        <v>3</v>
      </c>
      <c r="I77" s="1" t="str">
        <f>MID(A77,1,1)</f>
        <v>ס</v>
      </c>
      <c r="J77" s="1" t="str">
        <f>MID(A77,2,1)</f>
        <v>ז</v>
      </c>
      <c r="K77" s="1" t="str">
        <f>MID(A77,4,1)</f>
        <v>ש</v>
      </c>
      <c r="L77" s="1">
        <f>VLOOKUP(I77,$U:$V,2,0)</f>
        <v>15</v>
      </c>
      <c r="M77" s="1">
        <f>VLOOKUP(J77,$X:$Y,2,0)</f>
        <v>7</v>
      </c>
      <c r="N77" s="1">
        <f>VLOOKUP(K77,$AA:$AB,2,0)</f>
        <v>15</v>
      </c>
      <c r="O77" s="1">
        <f>IF(A77&lt;&gt;"",N77+M77+L77+F77+G77+H77,0)</f>
        <v>46</v>
      </c>
    </row>
    <row r="78" spans="1:15" x14ac:dyDescent="0.25">
      <c r="A78" s="1" t="s">
        <v>721</v>
      </c>
      <c r="B78" s="1" t="s">
        <v>722</v>
      </c>
      <c r="C78" s="1" t="str">
        <f>MID(A78,1,2)</f>
        <v>סט</v>
      </c>
      <c r="D78" s="1" t="str">
        <f>MID(B78,3,2)</f>
        <v>טר</v>
      </c>
      <c r="E78" s="1" t="str">
        <f>CONCATENATE(I78,K78)</f>
        <v>סר</v>
      </c>
      <c r="F78" s="1">
        <f>VLOOKUP(I78,$U$23:$AL$40,MATCH(J78,$U$23:$AL$23,0),FALSE)</f>
        <v>4</v>
      </c>
      <c r="G78" s="1">
        <f>VLOOKUP(J78,$U$23:$AL$40,MATCH(K78,$U$23:$AL$23,0),FALSE)</f>
        <v>3</v>
      </c>
      <c r="H78" s="1">
        <f>VLOOKUP(I78,$U$23:$AL$40,MATCH(K78,$U$23:$AL$23,0),FALSE)</f>
        <v>3</v>
      </c>
      <c r="I78" s="1" t="str">
        <f>MID(A78,1,1)</f>
        <v>ס</v>
      </c>
      <c r="J78" s="1" t="str">
        <f>MID(A78,2,1)</f>
        <v>ט</v>
      </c>
      <c r="K78" s="1" t="str">
        <f>MID(A78,4,1)</f>
        <v>ר</v>
      </c>
      <c r="L78" s="1">
        <f>VLOOKUP(I78,$U:$V,2,0)</f>
        <v>15</v>
      </c>
      <c r="M78" s="1">
        <f>VLOOKUP(J78,$X:$Y,2,0)</f>
        <v>8</v>
      </c>
      <c r="N78" s="1">
        <f>VLOOKUP(K78,$AA:$AB,2,0)</f>
        <v>14</v>
      </c>
      <c r="O78" s="1">
        <f>IF(A78&lt;&gt;"",N78+M78+L78+F78+G78+H78,0)</f>
        <v>47</v>
      </c>
    </row>
    <row r="79" spans="1:15" x14ac:dyDescent="0.25">
      <c r="A79" s="1" t="s">
        <v>556</v>
      </c>
      <c r="B79" s="1" t="s">
        <v>557</v>
      </c>
      <c r="C79" s="1" t="str">
        <f>MID(A79,1,2)</f>
        <v>סמ</v>
      </c>
      <c r="D79" s="1" t="str">
        <f>MID(B79,3,2)</f>
        <v>מג</v>
      </c>
      <c r="E79" s="1" t="str">
        <f>CONCATENATE(I79,K79)</f>
        <v>סג</v>
      </c>
      <c r="F79" s="1">
        <f>VLOOKUP(I79,$U$23:$AL$40,MATCH(J79,$U$23:$AL$23,0),FALSE)</f>
        <v>1</v>
      </c>
      <c r="G79" s="1">
        <f>VLOOKUP(J79,$U$23:$AL$40,MATCH(K79,$U$23:$AL$23,0),FALSE)</f>
        <v>2</v>
      </c>
      <c r="H79" s="1">
        <f>VLOOKUP(I79,$U$23:$AL$40,MATCH(K79,$U$23:$AL$23,0),FALSE)</f>
        <v>3</v>
      </c>
      <c r="I79" s="1" t="str">
        <f>MID(A79,1,1)</f>
        <v>ס</v>
      </c>
      <c r="J79" s="1" t="str">
        <f>MID(A79,2,1)</f>
        <v>מ</v>
      </c>
      <c r="K79" s="1" t="str">
        <f>MID(A79,4,1)</f>
        <v>ג</v>
      </c>
      <c r="L79" s="1">
        <f>VLOOKUP(I79,$U:$V,2,0)</f>
        <v>15</v>
      </c>
      <c r="M79" s="1">
        <f>VLOOKUP(J79,$X:$Y,2,0)</f>
        <v>12</v>
      </c>
      <c r="N79" s="1">
        <f>VLOOKUP(K79,$AA:$AB,2,0)</f>
        <v>15</v>
      </c>
      <c r="O79" s="1">
        <f>IF(A79&lt;&gt;"",N79+M79+L79+F79+G79+H79,0)</f>
        <v>48</v>
      </c>
    </row>
    <row r="80" spans="1:15" x14ac:dyDescent="0.25">
      <c r="A80" t="s">
        <v>550</v>
      </c>
      <c r="B80" t="s">
        <v>551</v>
      </c>
      <c r="C80" s="1" t="str">
        <f>MID(A80,1,2)</f>
        <v>סנ</v>
      </c>
      <c r="D80" s="1" t="str">
        <f>MID(B80,3,2)</f>
        <v>נש</v>
      </c>
      <c r="E80" s="1" t="str">
        <f>CONCATENATE(I80,K80)</f>
        <v>סש</v>
      </c>
      <c r="F80" s="1">
        <f>VLOOKUP(I80,$U$23:$AL$40,MATCH(J80,$U$23:$AL$23,0),FALSE)</f>
        <v>1</v>
      </c>
      <c r="G80" s="1">
        <f>VLOOKUP(J80,$U$23:$AL$40,MATCH(K80,$U$23:$AL$23,0),FALSE)</f>
        <v>2</v>
      </c>
      <c r="H80" s="1">
        <f>VLOOKUP(I80,$U$23:$AL$40,MATCH(K80,$U$23:$AL$23,0),FALSE)</f>
        <v>3</v>
      </c>
      <c r="I80" s="1" t="str">
        <f>MID(A80,1,1)</f>
        <v>ס</v>
      </c>
      <c r="J80" s="1" t="str">
        <f>MID(A80,2,1)</f>
        <v>נ</v>
      </c>
      <c r="K80" s="1" t="str">
        <f>MID(A80,4,1)</f>
        <v>ש</v>
      </c>
      <c r="L80" s="1">
        <f>VLOOKUP(I80,$U:$V,2,0)</f>
        <v>15</v>
      </c>
      <c r="M80" s="1">
        <f>VLOOKUP(J80,$X:$Y,2,0)</f>
        <v>12</v>
      </c>
      <c r="N80" s="1">
        <f>VLOOKUP(K80,$AA:$AB,2,0)</f>
        <v>15</v>
      </c>
      <c r="O80" s="1">
        <f>IF(A80&lt;&gt;"",N80+M80+L80+F80+G80+H80,0)</f>
        <v>48</v>
      </c>
    </row>
    <row r="81" spans="1:15" x14ac:dyDescent="0.25">
      <c r="A81" s="1" t="s">
        <v>715</v>
      </c>
      <c r="B81" s="1" t="s">
        <v>716</v>
      </c>
      <c r="C81" s="1" t="str">
        <f>MID(A81,1,2)</f>
        <v>סע</v>
      </c>
      <c r="D81" s="1" t="str">
        <f>MID(B81,3,2)</f>
        <v>עז</v>
      </c>
      <c r="E81" s="1" t="str">
        <f>CONCATENATE(I81,K81)</f>
        <v>סז</v>
      </c>
      <c r="F81" s="1">
        <f>VLOOKUP(I81,$U$23:$AL$40,MATCH(J81,$U$23:$AL$23,0),FALSE)</f>
        <v>4</v>
      </c>
      <c r="G81" s="1">
        <f>VLOOKUP(J81,$U$23:$AL$40,MATCH(K81,$U$23:$AL$23,0),FALSE)</f>
        <v>4</v>
      </c>
      <c r="H81" s="1">
        <f>VLOOKUP(I81,$U$23:$AL$40,MATCH(K81,$U$23:$AL$23,0),FALSE)</f>
        <v>3</v>
      </c>
      <c r="I81" s="1" t="str">
        <f>MID(A81,1,1)</f>
        <v>ס</v>
      </c>
      <c r="J81" s="1" t="str">
        <f>MID(A81,2,1)</f>
        <v>ע</v>
      </c>
      <c r="K81" s="1" t="str">
        <f>MID(A81,4,1)</f>
        <v>ז</v>
      </c>
      <c r="L81" s="1">
        <f>VLOOKUP(I81,$U:$V,2,0)</f>
        <v>15</v>
      </c>
      <c r="M81" s="1">
        <f>VLOOKUP(J81,$X:$Y,2,0)</f>
        <v>8</v>
      </c>
      <c r="N81" s="1">
        <f>VLOOKUP(K81,$AA:$AB,2,0)</f>
        <v>15</v>
      </c>
      <c r="O81" s="1">
        <f>IF(A81&lt;&gt;"",N81+M81+L81+F81+G81+H81,0)</f>
        <v>49</v>
      </c>
    </row>
    <row r="82" spans="1:15" x14ac:dyDescent="0.25">
      <c r="A82" s="1" t="s">
        <v>611</v>
      </c>
      <c r="B82" s="1" t="s">
        <v>612</v>
      </c>
      <c r="C82" s="1" t="str">
        <f>MID(A82,1,2)</f>
        <v>ספ</v>
      </c>
      <c r="D82" s="1" t="str">
        <f>MID(B82,3,2)</f>
        <v>פד</v>
      </c>
      <c r="E82" s="1" t="str">
        <f>CONCATENATE(I82,K82)</f>
        <v>סד</v>
      </c>
      <c r="F82" s="1">
        <f>VLOOKUP(I82,$U$23:$AL$40,MATCH(J82,$U$23:$AL$23,0),FALSE)</f>
        <v>2</v>
      </c>
      <c r="G82" s="1">
        <f>VLOOKUP(J82,$U$23:$AL$40,MATCH(K82,$U$23:$AL$23,0),FALSE)</f>
        <v>3</v>
      </c>
      <c r="H82" s="1">
        <f>VLOOKUP(I82,$U$23:$AL$40,MATCH(K82,$U$23:$AL$23,0),FALSE)</f>
        <v>4</v>
      </c>
      <c r="I82" s="1" t="str">
        <f>MID(A82,1,1)</f>
        <v>ס</v>
      </c>
      <c r="J82" s="1" t="str">
        <f>MID(A82,2,1)</f>
        <v>פ</v>
      </c>
      <c r="K82" s="1" t="str">
        <f>MID(A82,4,1)</f>
        <v>ד</v>
      </c>
      <c r="L82" s="1">
        <f>VLOOKUP(I82,$U:$V,2,0)</f>
        <v>15</v>
      </c>
      <c r="M82" s="1">
        <f>VLOOKUP(J82,$X:$Y,2,0)</f>
        <v>10</v>
      </c>
      <c r="N82" s="1">
        <f>VLOOKUP(K82,$AA:$AB,2,0)</f>
        <v>14</v>
      </c>
      <c r="O82" s="1">
        <f>IF(A82&lt;&gt;"",N82+M82+L82+F82+G82+H82,0)</f>
        <v>48</v>
      </c>
    </row>
    <row r="83" spans="1:15" x14ac:dyDescent="0.25">
      <c r="A83" t="s">
        <v>763</v>
      </c>
      <c r="B83" t="s">
        <v>764</v>
      </c>
      <c r="C83" s="1" t="str">
        <f>MID(A83,1,2)</f>
        <v>ספ</v>
      </c>
      <c r="D83" s="1" t="str">
        <f>MID(B83,3,2)</f>
        <v>פל</v>
      </c>
      <c r="E83" s="1" t="str">
        <f>CONCATENATE(I83,K83)</f>
        <v>סל</v>
      </c>
      <c r="F83" s="1">
        <f>VLOOKUP(I83,$U$23:$AL$40,MATCH(J83,$U$23:$AL$23,0),FALSE)</f>
        <v>2</v>
      </c>
      <c r="G83" s="1">
        <f>VLOOKUP(J83,$U$23:$AL$40,MATCH(K83,$U$23:$AL$23,0),FALSE)</f>
        <v>3</v>
      </c>
      <c r="H83" s="1">
        <f>VLOOKUP(I83,$U$23:$AL$40,MATCH(K83,$U$23:$AL$23,0),FALSE)</f>
        <v>3</v>
      </c>
      <c r="I83" s="1" t="str">
        <f>MID(A83,1,1)</f>
        <v>ס</v>
      </c>
      <c r="J83" s="1" t="str">
        <f>MID(A83,2,1)</f>
        <v>פ</v>
      </c>
      <c r="K83" s="1" t="str">
        <f>MID(A83,4,1)</f>
        <v>ל</v>
      </c>
      <c r="L83" s="1">
        <f>VLOOKUP(I83,$U:$V,2,0)</f>
        <v>15</v>
      </c>
      <c r="M83" s="1">
        <f>VLOOKUP(J83,$X:$Y,2,0)</f>
        <v>10</v>
      </c>
      <c r="N83" s="1">
        <f>VLOOKUP(K83,$AA:$AB,2,0)</f>
        <v>14</v>
      </c>
      <c r="O83" s="1">
        <f>IF(A83&lt;&gt;"",N83+M83+L83+F83+G83+H83,0)</f>
        <v>47</v>
      </c>
    </row>
    <row r="84" spans="1:15" x14ac:dyDescent="0.25">
      <c r="A84" s="1" t="s">
        <v>743</v>
      </c>
      <c r="B84" s="1" t="s">
        <v>744</v>
      </c>
      <c r="C84" s="1" t="str">
        <f>MID(A84,1,2)</f>
        <v>סצ</v>
      </c>
      <c r="D84" s="1" t="str">
        <f>MID(B84,3,2)</f>
        <v>צע</v>
      </c>
      <c r="E84" s="1" t="str">
        <f>CONCATENATE(I84,K84)</f>
        <v>סע</v>
      </c>
      <c r="F84" s="1">
        <f>VLOOKUP(I84,$U$23:$AL$40,MATCH(J84,$U$23:$AL$23,0),FALSE)</f>
        <v>1</v>
      </c>
      <c r="G84" s="1">
        <f>VLOOKUP(J84,$U$23:$AL$40,MATCH(K84,$U$23:$AL$23,0),FALSE)</f>
        <v>4</v>
      </c>
      <c r="H84" s="1">
        <f>VLOOKUP(I84,$U$23:$AL$40,MATCH(K84,$U$23:$AL$23,0),FALSE)</f>
        <v>4</v>
      </c>
      <c r="I84" s="1" t="str">
        <f>MID(A84,1,1)</f>
        <v>ס</v>
      </c>
      <c r="J84" s="1" t="str">
        <f>MID(A84,2,1)</f>
        <v>צ</v>
      </c>
      <c r="K84" s="1" t="str">
        <f>MID(A84,4,1)</f>
        <v>ע</v>
      </c>
      <c r="L84" s="1">
        <f>VLOOKUP(I84,$U:$V,2,0)</f>
        <v>15</v>
      </c>
      <c r="M84" s="1">
        <f>VLOOKUP(J84,$X:$Y,2,0)</f>
        <v>10</v>
      </c>
      <c r="N84" s="1">
        <f>VLOOKUP(K84,$AA:$AB,2,0)</f>
        <v>15</v>
      </c>
      <c r="O84" s="1">
        <f>IF(A84&lt;&gt;"",N84+M84+L84+F84+G84+H84,0)</f>
        <v>49</v>
      </c>
    </row>
    <row r="85" spans="1:15" x14ac:dyDescent="0.25">
      <c r="A85" t="s">
        <v>769</v>
      </c>
      <c r="B85" t="s">
        <v>770</v>
      </c>
      <c r="C85" s="1" t="str">
        <f>MID(A85,1,2)</f>
        <v>סק</v>
      </c>
      <c r="D85" s="1" t="str">
        <f>MID(B85,3,2)</f>
        <v>קע</v>
      </c>
      <c r="E85" s="1" t="str">
        <f>CONCATENATE(I85,K85)</f>
        <v>סע</v>
      </c>
      <c r="F85" s="1">
        <f>VLOOKUP(I85,$U$23:$AL$40,MATCH(J85,$U$23:$AL$23,0),FALSE)</f>
        <v>3</v>
      </c>
      <c r="G85" s="1">
        <f>VLOOKUP(J85,$U$23:$AL$40,MATCH(K85,$U$23:$AL$23,0),FALSE)</f>
        <v>3</v>
      </c>
      <c r="H85" s="1">
        <f>VLOOKUP(I85,$U$23:$AL$40,MATCH(K85,$U$23:$AL$23,0),FALSE)</f>
        <v>4</v>
      </c>
      <c r="I85" s="1" t="str">
        <f>MID(A85,1,1)</f>
        <v>ס</v>
      </c>
      <c r="J85" s="1" t="str">
        <f>MID(A85,2,1)</f>
        <v>ק</v>
      </c>
      <c r="K85" s="1" t="str">
        <f>MID(A85,4,1)</f>
        <v>ע</v>
      </c>
      <c r="L85" s="1">
        <f>VLOOKUP(I85,$U:$V,2,0)</f>
        <v>15</v>
      </c>
      <c r="M85" s="1">
        <f>VLOOKUP(J85,$X:$Y,2,0)</f>
        <v>8</v>
      </c>
      <c r="N85" s="1">
        <f>VLOOKUP(K85,$AA:$AB,2,0)</f>
        <v>15</v>
      </c>
      <c r="O85" s="1">
        <f>IF(A85&lt;&gt;"",N85+M85+L85+F85+G85+H85,0)</f>
        <v>48</v>
      </c>
    </row>
    <row r="86" spans="1:15" x14ac:dyDescent="0.25">
      <c r="A86" s="1" t="s">
        <v>681</v>
      </c>
      <c r="B86" s="1" t="s">
        <v>682</v>
      </c>
      <c r="C86" s="1" t="str">
        <f>MID(A86,1,2)</f>
        <v>סש</v>
      </c>
      <c r="D86" s="1" t="str">
        <f>MID(B86,3,2)</f>
        <v>של</v>
      </c>
      <c r="E86" s="1" t="str">
        <f>CONCATENATE(I86,K86)</f>
        <v>סל</v>
      </c>
      <c r="F86" s="1">
        <f>VLOOKUP(I86,$U$23:$AL$40,MATCH(J86,$U$23:$AL$23,0),FALSE)</f>
        <v>3</v>
      </c>
      <c r="G86" s="1">
        <f>VLOOKUP(J86,$U$23:$AL$40,MATCH(K86,$U$23:$AL$23,0),FALSE)</f>
        <v>1</v>
      </c>
      <c r="H86" s="1">
        <f>VLOOKUP(I86,$U$23:$AL$40,MATCH(K86,$U$23:$AL$23,0),FALSE)</f>
        <v>3</v>
      </c>
      <c r="I86" s="1" t="str">
        <f>MID(A86,1,1)</f>
        <v>ס</v>
      </c>
      <c r="J86" s="1" t="str">
        <f>MID(A86,2,1)</f>
        <v>ש</v>
      </c>
      <c r="K86" s="1" t="str">
        <f>MID(A86,4,1)</f>
        <v>ל</v>
      </c>
      <c r="L86" s="1">
        <f>VLOOKUP(I86,$U:$V,2,0)</f>
        <v>15</v>
      </c>
      <c r="M86" s="1">
        <f>VLOOKUP(J86,$X:$Y,2,0)</f>
        <v>9</v>
      </c>
      <c r="N86" s="1">
        <f>VLOOKUP(K86,$AA:$AB,2,0)</f>
        <v>14</v>
      </c>
      <c r="O86" s="1">
        <f>IF(A86&lt;&gt;"",N86+M86+L86+F86+G86+H86,0)</f>
        <v>45</v>
      </c>
    </row>
    <row r="87" spans="1:15" x14ac:dyDescent="0.25">
      <c r="A87" t="s">
        <v>625</v>
      </c>
      <c r="B87" t="s">
        <v>626</v>
      </c>
      <c r="C87" s="1" t="str">
        <f>MID(A87,1,2)</f>
        <v>סת</v>
      </c>
      <c r="D87" s="1" t="str">
        <f>MID(B87,3,2)</f>
        <v>תר</v>
      </c>
      <c r="E87" s="1" t="str">
        <f>CONCATENATE(I87,K87)</f>
        <v>סר</v>
      </c>
      <c r="F87" s="1">
        <f>VLOOKUP(I87,$U$23:$AL$40,MATCH(J87,$U$23:$AL$23,0),FALSE)</f>
        <v>1</v>
      </c>
      <c r="G87" s="1">
        <f>VLOOKUP(J87,$U$23:$AL$40,MATCH(K87,$U$23:$AL$23,0),FALSE)</f>
        <v>2</v>
      </c>
      <c r="H87" s="1">
        <f>VLOOKUP(I87,$U$23:$AL$40,MATCH(K87,$U$23:$AL$23,0),FALSE)</f>
        <v>3</v>
      </c>
      <c r="I87" s="1" t="str">
        <f>MID(A87,1,1)</f>
        <v>ס</v>
      </c>
      <c r="J87" s="1" t="str">
        <f>MID(A87,2,1)</f>
        <v>ת</v>
      </c>
      <c r="K87" s="1" t="str">
        <f>MID(A87,4,1)</f>
        <v>ר</v>
      </c>
      <c r="L87" s="1">
        <f>VLOOKUP(I87,$U:$V,2,0)</f>
        <v>15</v>
      </c>
      <c r="M87" s="1">
        <f>VLOOKUP(J87,$X:$Y,2,0)</f>
        <v>12</v>
      </c>
      <c r="N87" s="1">
        <f>VLOOKUP(K87,$AA:$AB,2,0)</f>
        <v>14</v>
      </c>
      <c r="O87" s="1">
        <f>IF(A87&lt;&gt;"",N87+M87+L87+F87+G87+H87,0)</f>
        <v>47</v>
      </c>
    </row>
    <row r="88" spans="1:15" x14ac:dyDescent="0.25">
      <c r="A88" s="1" t="s">
        <v>675</v>
      </c>
      <c r="B88" s="1" t="s">
        <v>676</v>
      </c>
      <c r="C88" s="1" t="str">
        <f>MID(A88,1,2)</f>
        <v>עג</v>
      </c>
      <c r="D88" s="1" t="str">
        <f>MID(B88,3,2)</f>
        <v>גל</v>
      </c>
      <c r="E88" s="1" t="str">
        <f>CONCATENATE(I88,K88)</f>
        <v>על</v>
      </c>
      <c r="F88" s="1">
        <f>VLOOKUP(I88,$U$23:$AL$40,MATCH(J88,$U$23:$AL$23,0),FALSE)</f>
        <v>4</v>
      </c>
      <c r="G88" s="1">
        <f>VLOOKUP(J88,$U$23:$AL$40,MATCH(K88,$U$23:$AL$23,0),FALSE)</f>
        <v>2</v>
      </c>
      <c r="H88" s="1">
        <f>VLOOKUP(I88,$U$23:$AL$40,MATCH(K88,$U$23:$AL$23,0),FALSE)</f>
        <v>3</v>
      </c>
      <c r="I88" s="1" t="str">
        <f>MID(A88,1,1)</f>
        <v>ע</v>
      </c>
      <c r="J88" s="1" t="str">
        <f>MID(A88,2,1)</f>
        <v>ג</v>
      </c>
      <c r="K88" s="1" t="str">
        <f>MID(A88,4,1)</f>
        <v>ל</v>
      </c>
      <c r="L88" s="1">
        <f>VLOOKUP(I88,$U:$V,2,0)</f>
        <v>15</v>
      </c>
      <c r="M88" s="1">
        <f>VLOOKUP(J88,$X:$Y,2,0)</f>
        <v>8</v>
      </c>
      <c r="N88" s="1">
        <f>VLOOKUP(K88,$AA:$AB,2,0)</f>
        <v>14</v>
      </c>
      <c r="O88" s="1">
        <f>IF(A88&lt;&gt;"",N88+M88+L88+F88+G88+H88,0)</f>
        <v>46</v>
      </c>
    </row>
    <row r="89" spans="1:15" x14ac:dyDescent="0.25">
      <c r="A89" t="s">
        <v>787</v>
      </c>
      <c r="B89" t="s">
        <v>788</v>
      </c>
      <c r="C89" s="1" t="str">
        <f>MID(A89,1,2)</f>
        <v>עד</v>
      </c>
      <c r="D89" s="1" t="str">
        <f>MID(B89,3,2)</f>
        <v>דש</v>
      </c>
      <c r="E89" s="1" t="str">
        <f>CONCATENATE(I89,K89)</f>
        <v>עש</v>
      </c>
      <c r="F89" s="1">
        <f>VLOOKUP(I89,$U$23:$AL$40,MATCH(J89,$U$23:$AL$23,0),FALSE)</f>
        <v>2</v>
      </c>
      <c r="G89" s="1">
        <f>VLOOKUP(J89,$U$23:$AL$40,MATCH(K89,$U$23:$AL$23,0),FALSE)</f>
        <v>3</v>
      </c>
      <c r="H89" s="1">
        <f>VLOOKUP(I89,$U$23:$AL$40,MATCH(K89,$U$23:$AL$23,0),FALSE)</f>
        <v>4</v>
      </c>
      <c r="I89" s="1" t="str">
        <f>MID(A89,1,1)</f>
        <v>ע</v>
      </c>
      <c r="J89" s="1" t="str">
        <f>MID(A89,2,1)</f>
        <v>ד</v>
      </c>
      <c r="K89" s="1" t="str">
        <f>MID(A89,4,1)</f>
        <v>ש</v>
      </c>
      <c r="L89" s="1">
        <f>VLOOKUP(I89,$U:$V,2,0)</f>
        <v>15</v>
      </c>
      <c r="M89" s="1">
        <f>VLOOKUP(J89,$X:$Y,2,0)</f>
        <v>9</v>
      </c>
      <c r="N89" s="1">
        <f>VLOOKUP(K89,$AA:$AB,2,0)</f>
        <v>15</v>
      </c>
      <c r="O89" s="1">
        <f>IF(A89&lt;&gt;"",N89+M89+L89+F89+G89+H89,0)</f>
        <v>48</v>
      </c>
    </row>
    <row r="90" spans="1:15" x14ac:dyDescent="0.25">
      <c r="A90" s="1" t="s">
        <v>631</v>
      </c>
      <c r="B90" s="1" t="s">
        <v>632</v>
      </c>
      <c r="C90" s="1" t="str">
        <f>MID(A90,1,2)</f>
        <v>עז</v>
      </c>
      <c r="D90" s="1" t="str">
        <f>MID(B90,3,2)</f>
        <v>זש</v>
      </c>
      <c r="E90" s="1" t="str">
        <f>CONCATENATE(I90,K90)</f>
        <v>עש</v>
      </c>
      <c r="F90" s="1">
        <f>VLOOKUP(I90,$U$23:$AL$40,MATCH(J90,$U$23:$AL$23,0),FALSE)</f>
        <v>4</v>
      </c>
      <c r="G90" s="1">
        <f>VLOOKUP(J90,$U$23:$AL$40,MATCH(K90,$U$23:$AL$23,0),FALSE)</f>
        <v>3</v>
      </c>
      <c r="H90" s="1">
        <f>VLOOKUP(I90,$U$23:$AL$40,MATCH(K90,$U$23:$AL$23,0),FALSE)</f>
        <v>4</v>
      </c>
      <c r="I90" s="1" t="str">
        <f>MID(A90,1,1)</f>
        <v>ע</v>
      </c>
      <c r="J90" s="1" t="str">
        <f>MID(A90,2,1)</f>
        <v>ז</v>
      </c>
      <c r="K90" s="1" t="str">
        <f>MID(A90,4,1)</f>
        <v>ש</v>
      </c>
      <c r="L90" s="1">
        <f>VLOOKUP(I90,$U:$V,2,0)</f>
        <v>15</v>
      </c>
      <c r="M90" s="1">
        <f>VLOOKUP(J90,$X:$Y,2,0)</f>
        <v>7</v>
      </c>
      <c r="N90" s="1">
        <f>VLOOKUP(K90,$AA:$AB,2,0)</f>
        <v>15</v>
      </c>
      <c r="O90" s="1">
        <f>IF(A90&lt;&gt;"",N90+M90+L90+F90+G90+H90,0)</f>
        <v>48</v>
      </c>
    </row>
    <row r="91" spans="1:15" x14ac:dyDescent="0.25">
      <c r="A91" t="s">
        <v>579</v>
      </c>
      <c r="B91" t="s">
        <v>580</v>
      </c>
      <c r="C91" s="1" t="str">
        <f>MID(A91,1,2)</f>
        <v>עח</v>
      </c>
      <c r="D91" s="1" t="str">
        <f>MID(B91,3,2)</f>
        <v>חש</v>
      </c>
      <c r="E91" s="1" t="str">
        <f>CONCATENATE(I91,K91)</f>
        <v>עש</v>
      </c>
      <c r="F91" s="1">
        <f>VLOOKUP(I91,$U$23:$AL$40,MATCH(J91,$U$23:$AL$23,0),FALSE)</f>
        <v>3</v>
      </c>
      <c r="G91" s="1">
        <f>VLOOKUP(J91,$U$23:$AL$40,MATCH(K91,$U$23:$AL$23,0),FALSE)</f>
        <v>3</v>
      </c>
      <c r="H91" s="1">
        <f>VLOOKUP(I91,$U$23:$AL$40,MATCH(K91,$U$23:$AL$23,0),FALSE)</f>
        <v>4</v>
      </c>
      <c r="I91" s="1" t="str">
        <f>MID(A91,1,1)</f>
        <v>ע</v>
      </c>
      <c r="J91" s="1" t="str">
        <f>MID(A91,2,1)</f>
        <v>ח</v>
      </c>
      <c r="K91" s="1" t="str">
        <f>MID(A91,4,1)</f>
        <v>ש</v>
      </c>
      <c r="L91" s="1">
        <f>VLOOKUP(I91,$U:$V,2,0)</f>
        <v>15</v>
      </c>
      <c r="M91" s="1">
        <f>VLOOKUP(J91,$X:$Y,2,0)</f>
        <v>9</v>
      </c>
      <c r="N91" s="1">
        <f>VLOOKUP(K91,$AA:$AB,2,0)</f>
        <v>15</v>
      </c>
      <c r="O91" s="1">
        <f>IF(A91&lt;&gt;"",N91+M91+L91+F91+G91+H91,0)</f>
        <v>49</v>
      </c>
    </row>
    <row r="92" spans="1:15" x14ac:dyDescent="0.25">
      <c r="A92" s="1" t="s">
        <v>709</v>
      </c>
      <c r="B92" s="1" t="s">
        <v>710</v>
      </c>
      <c r="C92" s="1" t="str">
        <f>MID(A92,1,2)</f>
        <v>עט</v>
      </c>
      <c r="D92" s="1" t="str">
        <f>MID(B92,3,2)</f>
        <v>טס</v>
      </c>
      <c r="E92" s="1" t="str">
        <f>CONCATENATE(I92,K92)</f>
        <v>עס</v>
      </c>
      <c r="F92" s="1">
        <f>VLOOKUP(I92,$U$23:$AL$40,MATCH(J92,$U$23:$AL$23,0),FALSE)</f>
        <v>4</v>
      </c>
      <c r="G92" s="1">
        <f>VLOOKUP(J92,$U$23:$AL$40,MATCH(K92,$U$23:$AL$23,0),FALSE)</f>
        <v>4</v>
      </c>
      <c r="H92" s="1">
        <f>VLOOKUP(I92,$U$23:$AL$40,MATCH(K92,$U$23:$AL$23,0),FALSE)</f>
        <v>3</v>
      </c>
      <c r="I92" s="1" t="str">
        <f>MID(A92,1,1)</f>
        <v>ע</v>
      </c>
      <c r="J92" s="1" t="str">
        <f>MID(A92,2,1)</f>
        <v>ט</v>
      </c>
      <c r="K92" s="1" t="str">
        <f>MID(A92,4,1)</f>
        <v>ס</v>
      </c>
      <c r="L92" s="1">
        <f>VLOOKUP(I92,$U:$V,2,0)</f>
        <v>15</v>
      </c>
      <c r="M92" s="1">
        <f>VLOOKUP(J92,$X:$Y,2,0)</f>
        <v>8</v>
      </c>
      <c r="N92" s="1">
        <f>VLOOKUP(K92,$AA:$AB,2,0)</f>
        <v>15</v>
      </c>
      <c r="O92" s="1">
        <f>IF(A92&lt;&gt;"",N92+M92+L92+F92+G92+H92,0)</f>
        <v>49</v>
      </c>
    </row>
    <row r="93" spans="1:15" x14ac:dyDescent="0.25">
      <c r="A93" s="1" t="s">
        <v>621</v>
      </c>
      <c r="B93" s="1" t="s">
        <v>622</v>
      </c>
      <c r="C93" s="1" t="str">
        <f>MID(A93,1,2)</f>
        <v>על</v>
      </c>
      <c r="D93" s="1" t="str">
        <f>MID(B93,3,2)</f>
        <v>לג</v>
      </c>
      <c r="E93" s="1" t="str">
        <f>CONCATENATE(I93,K93)</f>
        <v>עג</v>
      </c>
      <c r="F93" s="1">
        <f>VLOOKUP(I93,$U$23:$AL$40,MATCH(J93,$U$23:$AL$23,0),FALSE)</f>
        <v>3</v>
      </c>
      <c r="G93" s="1">
        <f>VLOOKUP(J93,$U$23:$AL$40,MATCH(K93,$U$23:$AL$23,0),FALSE)</f>
        <v>1</v>
      </c>
      <c r="H93" s="1">
        <f>VLOOKUP(I93,$U$23:$AL$40,MATCH(K93,$U$23:$AL$23,0),FALSE)</f>
        <v>4</v>
      </c>
      <c r="I93" s="1" t="str">
        <f>MID(A93,1,1)</f>
        <v>ע</v>
      </c>
      <c r="J93" s="1" t="str">
        <f>MID(A93,2,1)</f>
        <v>ל</v>
      </c>
      <c r="K93" s="1" t="str">
        <f>MID(A93,4,1)</f>
        <v>ג</v>
      </c>
      <c r="L93" s="1">
        <f>VLOOKUP(I93,$U:$V,2,0)</f>
        <v>15</v>
      </c>
      <c r="M93" s="1">
        <f>VLOOKUP(J93,$X:$Y,2,0)</f>
        <v>10</v>
      </c>
      <c r="N93" s="1">
        <f>VLOOKUP(K93,$AA:$AB,2,0)</f>
        <v>15</v>
      </c>
      <c r="O93" s="1">
        <f>IF(A93&lt;&gt;"",N93+M93+L93+F93+G93+H93,0)</f>
        <v>48</v>
      </c>
    </row>
    <row r="94" spans="1:15" x14ac:dyDescent="0.25">
      <c r="A94" s="1" t="s">
        <v>613</v>
      </c>
      <c r="B94" s="1" t="s">
        <v>614</v>
      </c>
      <c r="C94" s="1" t="str">
        <f>MID(A94,1,2)</f>
        <v>עמ</v>
      </c>
      <c r="D94" s="1" t="str">
        <f>MID(B94,3,2)</f>
        <v>מט</v>
      </c>
      <c r="E94" s="1" t="str">
        <f>CONCATENATE(I94,K94)</f>
        <v>עט</v>
      </c>
      <c r="F94" s="1">
        <f>VLOOKUP(I94,$U$23:$AL$40,MATCH(J94,$U$23:$AL$23,0),FALSE)</f>
        <v>1</v>
      </c>
      <c r="G94" s="1">
        <f>VLOOKUP(J94,$U$23:$AL$40,MATCH(K94,$U$23:$AL$23,0),FALSE)</f>
        <v>1</v>
      </c>
      <c r="H94" s="1">
        <f>VLOOKUP(I94,$U$23:$AL$40,MATCH(K94,$U$23:$AL$23,0),FALSE)</f>
        <v>4</v>
      </c>
      <c r="I94" s="1" t="str">
        <f>MID(A94,1,1)</f>
        <v>ע</v>
      </c>
      <c r="J94" s="1" t="str">
        <f>MID(A94,2,1)</f>
        <v>מ</v>
      </c>
      <c r="K94" s="1" t="str">
        <f>MID(A94,4,1)</f>
        <v>ט</v>
      </c>
      <c r="L94" s="1">
        <f>VLOOKUP(I94,$U:$V,2,0)</f>
        <v>15</v>
      </c>
      <c r="M94" s="1">
        <f>VLOOKUP(J94,$X:$Y,2,0)</f>
        <v>12</v>
      </c>
      <c r="N94" s="1">
        <f>VLOOKUP(K94,$AA:$AB,2,0)</f>
        <v>14</v>
      </c>
      <c r="O94" s="1">
        <f>IF(A94&lt;&gt;"",N94+M94+L94+F94+G94+H94,0)</f>
        <v>47</v>
      </c>
    </row>
    <row r="95" spans="1:15" x14ac:dyDescent="0.25">
      <c r="A95" s="1" t="s">
        <v>641</v>
      </c>
      <c r="B95" s="1" t="s">
        <v>642</v>
      </c>
      <c r="C95" s="1" t="str">
        <f>MID(A95,1,2)</f>
        <v>ענ</v>
      </c>
      <c r="D95" s="1" t="str">
        <f>MID(B95,3,2)</f>
        <v>נח</v>
      </c>
      <c r="E95" s="1" t="str">
        <f>CONCATENATE(I95,K95)</f>
        <v>עח</v>
      </c>
      <c r="F95" s="1">
        <f>VLOOKUP(I95,$U$23:$AL$40,MATCH(J95,$U$23:$AL$23,0),FALSE)</f>
        <v>1</v>
      </c>
      <c r="G95" s="1">
        <f>VLOOKUP(J95,$U$23:$AL$40,MATCH(K95,$U$23:$AL$23,0),FALSE)</f>
        <v>2</v>
      </c>
      <c r="H95" s="1">
        <f>VLOOKUP(I95,$U$23:$AL$40,MATCH(K95,$U$23:$AL$23,0),FALSE)</f>
        <v>3</v>
      </c>
      <c r="I95" s="1" t="str">
        <f>MID(A95,1,1)</f>
        <v>ע</v>
      </c>
      <c r="J95" s="1" t="str">
        <f>MID(A95,2,1)</f>
        <v>נ</v>
      </c>
      <c r="K95" s="1" t="str">
        <f>MID(A95,4,1)</f>
        <v>ח</v>
      </c>
      <c r="L95" s="1">
        <f>VLOOKUP(I95,$U:$V,2,0)</f>
        <v>15</v>
      </c>
      <c r="M95" s="1">
        <f>VLOOKUP(J95,$X:$Y,2,0)</f>
        <v>12</v>
      </c>
      <c r="N95" s="1">
        <f>VLOOKUP(K95,$AA:$AB,2,0)</f>
        <v>14</v>
      </c>
      <c r="O95" s="1">
        <f>IF(A95&lt;&gt;"",N95+M95+L95+F95+G95+H95,0)</f>
        <v>47</v>
      </c>
    </row>
    <row r="96" spans="1:15" x14ac:dyDescent="0.25">
      <c r="A96" s="1" t="s">
        <v>695</v>
      </c>
      <c r="B96" s="1" t="s">
        <v>696</v>
      </c>
      <c r="C96" s="1" t="str">
        <f>MID(A96,1,2)</f>
        <v>עס</v>
      </c>
      <c r="D96" s="1" t="str">
        <f>MID(B96,3,2)</f>
        <v>סט</v>
      </c>
      <c r="E96" s="1" t="str">
        <f>CONCATENATE(I96,K96)</f>
        <v>עט</v>
      </c>
      <c r="F96" s="1">
        <f>VLOOKUP(I96,$U$23:$AL$40,MATCH(J96,$U$23:$AL$23,0),FALSE)</f>
        <v>3</v>
      </c>
      <c r="G96" s="1">
        <f>VLOOKUP(J96,$U$23:$AL$40,MATCH(K96,$U$23:$AL$23,0),FALSE)</f>
        <v>4</v>
      </c>
      <c r="H96" s="1">
        <f>VLOOKUP(I96,$U$23:$AL$40,MATCH(K96,$U$23:$AL$23,0),FALSE)</f>
        <v>4</v>
      </c>
      <c r="I96" s="1" t="str">
        <f>MID(A96,1,1)</f>
        <v>ע</v>
      </c>
      <c r="J96" s="1" t="str">
        <f>MID(A96,2,1)</f>
        <v>ס</v>
      </c>
      <c r="K96" s="1" t="str">
        <f>MID(A96,4,1)</f>
        <v>ט</v>
      </c>
      <c r="L96" s="1">
        <f>VLOOKUP(I96,$U:$V,2,0)</f>
        <v>15</v>
      </c>
      <c r="M96" s="1">
        <f>VLOOKUP(J96,$X:$Y,2,0)</f>
        <v>9</v>
      </c>
      <c r="N96" s="1">
        <f>VLOOKUP(K96,$AA:$AB,2,0)</f>
        <v>14</v>
      </c>
      <c r="O96" s="1">
        <f>IF(A96&lt;&gt;"",N96+M96+L96+F96+G96+H96,0)</f>
        <v>49</v>
      </c>
    </row>
    <row r="97" spans="1:15" x14ac:dyDescent="0.25">
      <c r="A97" s="1" t="s">
        <v>757</v>
      </c>
      <c r="B97" s="1" t="s">
        <v>758</v>
      </c>
      <c r="C97" s="1" t="str">
        <f>MID(A97,1,2)</f>
        <v>עפ</v>
      </c>
      <c r="D97" s="1" t="str">
        <f>MID(B97,3,2)</f>
        <v>פר</v>
      </c>
      <c r="E97" s="1" t="str">
        <f>CONCATENATE(I97,K97)</f>
        <v>ער</v>
      </c>
      <c r="F97" s="1">
        <f>VLOOKUP(I97,$U$23:$AL$40,MATCH(J97,$U$23:$AL$23,0),FALSE)</f>
        <v>1</v>
      </c>
      <c r="G97" s="1">
        <f>VLOOKUP(J97,$U$23:$AL$40,MATCH(K97,$U$23:$AL$23,0),FALSE)</f>
        <v>3</v>
      </c>
      <c r="H97" s="1">
        <f>VLOOKUP(I97,$U$23:$AL$40,MATCH(K97,$U$23:$AL$23,0),FALSE)</f>
        <v>3</v>
      </c>
      <c r="I97" s="1" t="str">
        <f>MID(A97,1,1)</f>
        <v>ע</v>
      </c>
      <c r="J97" s="1" t="str">
        <f>MID(A97,2,1)</f>
        <v>פ</v>
      </c>
      <c r="K97" s="1" t="str">
        <f>MID(A97,4,1)</f>
        <v>ר</v>
      </c>
      <c r="L97" s="1">
        <f>VLOOKUP(I97,$U:$V,2,0)</f>
        <v>15</v>
      </c>
      <c r="M97" s="1">
        <f>VLOOKUP(J97,$X:$Y,2,0)</f>
        <v>10</v>
      </c>
      <c r="N97" s="1">
        <f>VLOOKUP(K97,$AA:$AB,2,0)</f>
        <v>14</v>
      </c>
      <c r="O97" s="1">
        <f>IF(A97&lt;&gt;"",N97+M97+L97+F97+G97+H97,0)</f>
        <v>46</v>
      </c>
    </row>
    <row r="98" spans="1:15" x14ac:dyDescent="0.25">
      <c r="A98" t="s">
        <v>823</v>
      </c>
      <c r="B98" t="s">
        <v>824</v>
      </c>
      <c r="C98" s="1" t="str">
        <f>MID(A98,1,2)</f>
        <v>עצ</v>
      </c>
      <c r="D98" s="1" t="str">
        <f>MID(B98,3,2)</f>
        <v>צח</v>
      </c>
      <c r="E98" s="1" t="str">
        <f>CONCATENATE(I98,K98)</f>
        <v>עח</v>
      </c>
      <c r="F98" s="1">
        <f>VLOOKUP(I98,$U$23:$AL$40,MATCH(J98,$U$23:$AL$23,0),FALSE)</f>
        <v>2</v>
      </c>
      <c r="G98" s="1">
        <f>VLOOKUP(J98,$U$23:$AL$40,MATCH(K98,$U$23:$AL$23,0),FALSE)</f>
        <v>3</v>
      </c>
      <c r="H98" s="1">
        <f>VLOOKUP(I98,$U$23:$AL$40,MATCH(K98,$U$23:$AL$23,0),FALSE)</f>
        <v>3</v>
      </c>
      <c r="I98" s="1" t="str">
        <f>MID(A98,1,1)</f>
        <v>ע</v>
      </c>
      <c r="J98" s="1" t="str">
        <f>MID(A98,2,1)</f>
        <v>צ</v>
      </c>
      <c r="K98" s="1" t="str">
        <f>MID(A98,4,1)</f>
        <v>ח</v>
      </c>
      <c r="L98" s="1">
        <f>VLOOKUP(I98,$U:$V,2,0)</f>
        <v>15</v>
      </c>
      <c r="M98" s="1">
        <f>VLOOKUP(J98,$X:$Y,2,0)</f>
        <v>10</v>
      </c>
      <c r="N98" s="1">
        <f>VLOOKUP(K98,$AA:$AB,2,0)</f>
        <v>14</v>
      </c>
      <c r="O98" s="1">
        <f>IF(A98&lt;&gt;"",N98+M98+L98+F98+G98+H98,0)</f>
        <v>47</v>
      </c>
    </row>
    <row r="99" spans="1:15" x14ac:dyDescent="0.25">
      <c r="A99" t="s">
        <v>669</v>
      </c>
      <c r="B99" t="s">
        <v>670</v>
      </c>
      <c r="C99" s="1" t="str">
        <f>MID(A99,1,2)</f>
        <v>עצ</v>
      </c>
      <c r="D99" s="1" t="str">
        <f>MID(B99,3,2)</f>
        <v>צל</v>
      </c>
      <c r="E99" s="1" t="str">
        <f>CONCATENATE(I99,K99)</f>
        <v>על</v>
      </c>
      <c r="F99" s="1">
        <f>VLOOKUP(I99,$U$23:$AL$40,MATCH(J99,$U$23:$AL$23,0),FALSE)</f>
        <v>2</v>
      </c>
      <c r="G99" s="1">
        <f>VLOOKUP(J99,$U$23:$AL$40,MATCH(K99,$U$23:$AL$23,0),FALSE)</f>
        <v>3</v>
      </c>
      <c r="H99" s="1">
        <f>VLOOKUP(I99,$U$23:$AL$40,MATCH(K99,$U$23:$AL$23,0),FALSE)</f>
        <v>3</v>
      </c>
      <c r="I99" s="1" t="str">
        <f>MID(A99,1,1)</f>
        <v>ע</v>
      </c>
      <c r="J99" s="1" t="str">
        <f>MID(A99,2,1)</f>
        <v>צ</v>
      </c>
      <c r="K99" s="1" t="str">
        <f>MID(A99,4,1)</f>
        <v>ל</v>
      </c>
      <c r="L99" s="1">
        <f>VLOOKUP(I99,$U:$V,2,0)</f>
        <v>15</v>
      </c>
      <c r="M99" s="1">
        <f>VLOOKUP(J99,$X:$Y,2,0)</f>
        <v>10</v>
      </c>
      <c r="N99" s="1">
        <f>VLOOKUP(K99,$AA:$AB,2,0)</f>
        <v>14</v>
      </c>
      <c r="O99" s="1">
        <f>IF(A99&lt;&gt;"",N99+M99+L99+F99+G99+H99,0)</f>
        <v>47</v>
      </c>
    </row>
    <row r="100" spans="1:15" x14ac:dyDescent="0.25">
      <c r="A100" t="s">
        <v>827</v>
      </c>
      <c r="B100" t="s">
        <v>828</v>
      </c>
      <c r="C100" s="1" t="str">
        <f>MID(A100,1,2)</f>
        <v>עק</v>
      </c>
      <c r="D100" s="1" t="str">
        <f>MID(B100,3,2)</f>
        <v>קג</v>
      </c>
      <c r="E100" s="1" t="str">
        <f>CONCATENATE(I100,K100)</f>
        <v>עג</v>
      </c>
      <c r="F100" s="1">
        <f>VLOOKUP(I100,$U$23:$AL$40,MATCH(J100,$U$23:$AL$23,0),FALSE)</f>
        <v>3</v>
      </c>
      <c r="G100" s="1">
        <f>VLOOKUP(J100,$U$23:$AL$40,MATCH(K100,$U$23:$AL$23,0),FALSE)</f>
        <v>3</v>
      </c>
      <c r="H100" s="1">
        <f>VLOOKUP(I100,$U$23:$AL$40,MATCH(K100,$U$23:$AL$23,0),FALSE)</f>
        <v>4</v>
      </c>
      <c r="I100" s="1" t="str">
        <f>MID(A100,1,1)</f>
        <v>ע</v>
      </c>
      <c r="J100" s="1" t="str">
        <f>MID(A100,2,1)</f>
        <v>ק</v>
      </c>
      <c r="K100" s="1" t="str">
        <f>MID(A100,4,1)</f>
        <v>ג</v>
      </c>
      <c r="L100" s="1">
        <f>VLOOKUP(I100,$U:$V,2,0)</f>
        <v>15</v>
      </c>
      <c r="M100" s="1">
        <f>VLOOKUP(J100,$X:$Y,2,0)</f>
        <v>8</v>
      </c>
      <c r="N100" s="1">
        <f>VLOOKUP(K100,$AA:$AB,2,0)</f>
        <v>15</v>
      </c>
      <c r="O100" s="1">
        <f>IF(A100&lt;&gt;"",N100+M100+L100+F100+G100+H100,0)</f>
        <v>48</v>
      </c>
    </row>
    <row r="101" spans="1:15" x14ac:dyDescent="0.25">
      <c r="A101" t="s">
        <v>530</v>
      </c>
      <c r="B101" t="s">
        <v>526</v>
      </c>
      <c r="C101" s="1" t="str">
        <f>MID(A101,1,2)</f>
        <v>עק</v>
      </c>
      <c r="D101" s="1" t="str">
        <f>MID(B101,3,2)</f>
        <v>קר</v>
      </c>
      <c r="E101" s="1" t="str">
        <f>CONCATENATE(I101,K101)</f>
        <v>ער</v>
      </c>
      <c r="F101" s="1">
        <f>VLOOKUP(I101,$U$23:$AL$40,MATCH(J101,$U$23:$AL$23,0),FALSE)</f>
        <v>3</v>
      </c>
      <c r="G101" s="1">
        <f>VLOOKUP(J101,$U$23:$AL$40,MATCH(K101,$U$23:$AL$23,0),FALSE)</f>
        <v>3</v>
      </c>
      <c r="H101" s="1">
        <f>VLOOKUP(I101,$U$23:$AL$40,MATCH(K101,$U$23:$AL$23,0),FALSE)</f>
        <v>3</v>
      </c>
      <c r="I101" s="1" t="str">
        <f>MID(A101,1,1)</f>
        <v>ע</v>
      </c>
      <c r="J101" s="1" t="str">
        <f>MID(A101,2,1)</f>
        <v>ק</v>
      </c>
      <c r="K101" s="1" t="str">
        <f>MID(A101,4,1)</f>
        <v>ר</v>
      </c>
      <c r="L101" s="1">
        <f>VLOOKUP(I101,$U:$V,2,0)</f>
        <v>15</v>
      </c>
      <c r="M101" s="1">
        <f>VLOOKUP(J101,$X:$Y,2,0)</f>
        <v>8</v>
      </c>
      <c r="N101" s="1">
        <f>VLOOKUP(K101,$AA:$AB,2,0)</f>
        <v>14</v>
      </c>
      <c r="O101" s="1">
        <f>IF(A101&lt;&gt;"",N101+M101+L101+F101+G101+H101,0)</f>
        <v>46</v>
      </c>
    </row>
    <row r="102" spans="1:15" x14ac:dyDescent="0.25">
      <c r="A102" t="s">
        <v>653</v>
      </c>
      <c r="B102" t="s">
        <v>654</v>
      </c>
      <c r="C102" s="1" t="str">
        <f>MID(A102,1,2)</f>
        <v>עש</v>
      </c>
      <c r="D102" s="1" t="str">
        <f>MID(B102,3,2)</f>
        <v>שז</v>
      </c>
      <c r="E102" s="1" t="str">
        <f>CONCATENATE(I102,K102)</f>
        <v>עז</v>
      </c>
      <c r="F102" s="1">
        <f>VLOOKUP(I102,$U$23:$AL$40,MATCH(J102,$U$23:$AL$23,0),FALSE)</f>
        <v>4</v>
      </c>
      <c r="G102" s="1">
        <f>VLOOKUP(J102,$U$23:$AL$40,MATCH(K102,$U$23:$AL$23,0),FALSE)</f>
        <v>1</v>
      </c>
      <c r="H102" s="1">
        <f>VLOOKUP(I102,$U$23:$AL$40,MATCH(K102,$U$23:$AL$23,0),FALSE)</f>
        <v>4</v>
      </c>
      <c r="I102" s="1" t="str">
        <f>MID(A102,1,1)</f>
        <v>ע</v>
      </c>
      <c r="J102" s="1" t="str">
        <f>MID(A102,2,1)</f>
        <v>ש</v>
      </c>
      <c r="K102" s="1" t="str">
        <f>MID(A102,4,1)</f>
        <v>ז</v>
      </c>
      <c r="L102" s="1">
        <f>VLOOKUP(I102,$U:$V,2,0)</f>
        <v>15</v>
      </c>
      <c r="M102" s="1">
        <f>VLOOKUP(J102,$X:$Y,2,0)</f>
        <v>9</v>
      </c>
      <c r="N102" s="1">
        <f>VLOOKUP(K102,$AA:$AB,2,0)</f>
        <v>15</v>
      </c>
      <c r="O102" s="1">
        <f>IF(A102&lt;&gt;"",N102+M102+L102+F102+G102+H102,0)</f>
        <v>48</v>
      </c>
    </row>
    <row r="103" spans="1:15" x14ac:dyDescent="0.25">
      <c r="A103" t="s">
        <v>793</v>
      </c>
      <c r="B103" t="s">
        <v>794</v>
      </c>
      <c r="C103" s="1" t="str">
        <f>MID(A103,1,2)</f>
        <v>פג</v>
      </c>
      <c r="D103" s="1" t="str">
        <f>MID(B103,3,2)</f>
        <v>גט</v>
      </c>
      <c r="E103" s="1" t="str">
        <f>CONCATENATE(I103,K103)</f>
        <v>פט</v>
      </c>
      <c r="F103" s="1">
        <f>VLOOKUP(I103,$U$23:$AL$40,MATCH(J103,$U$23:$AL$23,0),FALSE)</f>
        <v>2</v>
      </c>
      <c r="G103" s="1">
        <f>VLOOKUP(J103,$U$23:$AL$40,MATCH(K103,$U$23:$AL$23,0),FALSE)</f>
        <v>4</v>
      </c>
      <c r="H103" s="1">
        <f>VLOOKUP(I103,$U$23:$AL$40,MATCH(K103,$U$23:$AL$23,0),FALSE)</f>
        <v>3</v>
      </c>
      <c r="I103" s="1" t="str">
        <f>MID(A103,1,1)</f>
        <v>פ</v>
      </c>
      <c r="J103" s="1" t="str">
        <f>MID(A103,2,1)</f>
        <v>ג</v>
      </c>
      <c r="K103" s="1" t="str">
        <f>MID(A103,4,1)</f>
        <v>ט</v>
      </c>
      <c r="L103" s="1">
        <f>VLOOKUP(I103,$U:$V,2,0)</f>
        <v>14</v>
      </c>
      <c r="M103" s="1">
        <f>VLOOKUP(J103,$X:$Y,2,0)</f>
        <v>8</v>
      </c>
      <c r="N103" s="1">
        <f>VLOOKUP(K103,$AA:$AB,2,0)</f>
        <v>14</v>
      </c>
      <c r="O103" s="1">
        <f>IF(A103&lt;&gt;"",N103+M103+L103+F103+G103+H103,0)</f>
        <v>45</v>
      </c>
    </row>
    <row r="104" spans="1:15" x14ac:dyDescent="0.25">
      <c r="A104" t="s">
        <v>647</v>
      </c>
      <c r="B104" t="s">
        <v>648</v>
      </c>
      <c r="C104" s="1" t="str">
        <f>MID(A104,1,2)</f>
        <v>פח</v>
      </c>
      <c r="D104" s="1" t="str">
        <f>MID(B104,3,2)</f>
        <v>חז</v>
      </c>
      <c r="E104" s="1" t="str">
        <f>CONCATENATE(I104,K104)</f>
        <v>פז</v>
      </c>
      <c r="F104" s="1">
        <f>VLOOKUP(I104,$U$23:$AL$40,MATCH(J104,$U$23:$AL$23,0),FALSE)</f>
        <v>3</v>
      </c>
      <c r="G104" s="1">
        <f>VLOOKUP(J104,$U$23:$AL$40,MATCH(K104,$U$23:$AL$23,0),FALSE)</f>
        <v>4</v>
      </c>
      <c r="H104" s="1">
        <f>VLOOKUP(I104,$U$23:$AL$40,MATCH(K104,$U$23:$AL$23,0),FALSE)</f>
        <v>3</v>
      </c>
      <c r="I104" s="1" t="str">
        <f>MID(A104,1,1)</f>
        <v>פ</v>
      </c>
      <c r="J104" s="1" t="str">
        <f>MID(A104,2,1)</f>
        <v>ח</v>
      </c>
      <c r="K104" s="1" t="str">
        <f>MID(A104,4,1)</f>
        <v>ז</v>
      </c>
      <c r="L104" s="1">
        <f>VLOOKUP(I104,$U:$V,2,0)</f>
        <v>14</v>
      </c>
      <c r="M104" s="1">
        <f>VLOOKUP(J104,$X:$Y,2,0)</f>
        <v>9</v>
      </c>
      <c r="N104" s="1">
        <f>VLOOKUP(K104,$AA:$AB,2,0)</f>
        <v>15</v>
      </c>
      <c r="O104" s="1">
        <f>IF(A104&lt;&gt;"",N104+M104+L104+F104+G104+H104,0)</f>
        <v>48</v>
      </c>
    </row>
    <row r="105" spans="1:15" x14ac:dyDescent="0.25">
      <c r="A105" t="s">
        <v>843</v>
      </c>
      <c r="B105" t="s">
        <v>844</v>
      </c>
      <c r="C105" s="1" t="str">
        <f>MID(A105,1,2)</f>
        <v>פח</v>
      </c>
      <c r="D105" s="1" t="str">
        <f>MID(B105,3,2)</f>
        <v>חש</v>
      </c>
      <c r="E105" s="1" t="str">
        <f>CONCATENATE(I105,K105)</f>
        <v>פש</v>
      </c>
      <c r="F105" s="1">
        <f>VLOOKUP(I105,$U$23:$AL$40,MATCH(J105,$U$23:$AL$23,0),FALSE)</f>
        <v>3</v>
      </c>
      <c r="G105" s="1">
        <f>VLOOKUP(J105,$U$23:$AL$40,MATCH(K105,$U$23:$AL$23,0),FALSE)</f>
        <v>3</v>
      </c>
      <c r="H105" s="1">
        <f>VLOOKUP(I105,$U$23:$AL$40,MATCH(K105,$U$23:$AL$23,0),FALSE)</f>
        <v>3</v>
      </c>
      <c r="I105" s="1" t="str">
        <f>MID(A105,1,1)</f>
        <v>פ</v>
      </c>
      <c r="J105" s="1" t="str">
        <f>MID(A105,2,1)</f>
        <v>ח</v>
      </c>
      <c r="K105" s="1" t="str">
        <f>MID(A105,4,1)</f>
        <v>ש</v>
      </c>
      <c r="L105" s="1">
        <f>VLOOKUP(I105,$U:$V,2,0)</f>
        <v>14</v>
      </c>
      <c r="M105" s="1">
        <f>VLOOKUP(J105,$X:$Y,2,0)</f>
        <v>9</v>
      </c>
      <c r="N105" s="1">
        <f>VLOOKUP(K105,$AA:$AB,2,0)</f>
        <v>15</v>
      </c>
      <c r="O105" s="1">
        <f>IF(A105&lt;&gt;"",N105+M105+L105+F105+G105+H105,0)</f>
        <v>47</v>
      </c>
    </row>
    <row r="106" spans="1:15" x14ac:dyDescent="0.25">
      <c r="A106" s="1" t="s">
        <v>683</v>
      </c>
      <c r="B106" s="1" t="s">
        <v>684</v>
      </c>
      <c r="C106" s="1" t="str">
        <f>MID(A106,1,2)</f>
        <v>פכ</v>
      </c>
      <c r="D106" s="1" t="str">
        <f>MID(B106,3,2)</f>
        <v>כק</v>
      </c>
      <c r="E106" s="1" t="str">
        <f>CONCATENATE(I106,K106)</f>
        <v>פק</v>
      </c>
      <c r="F106" s="1">
        <f>VLOOKUP(I106,$U$23:$AL$40,MATCH(J106,$U$23:$AL$23,0),FALSE)</f>
        <v>2</v>
      </c>
      <c r="G106" s="1">
        <f>VLOOKUP(J106,$U$23:$AL$40,MATCH(K106,$U$23:$AL$23,0),FALSE)</f>
        <v>1</v>
      </c>
      <c r="H106" s="1">
        <f>VLOOKUP(I106,$U$23:$AL$40,MATCH(K106,$U$23:$AL$23,0),FALSE)</f>
        <v>3</v>
      </c>
      <c r="I106" s="1" t="str">
        <f>MID(A106,1,1)</f>
        <v>פ</v>
      </c>
      <c r="J106" s="1" t="str">
        <f>MID(A106,2,1)</f>
        <v>כ</v>
      </c>
      <c r="K106" s="1" t="str">
        <f>MID(A106,4,1)</f>
        <v>ק</v>
      </c>
      <c r="L106" s="1">
        <f>VLOOKUP(I106,$U:$V,2,0)</f>
        <v>14</v>
      </c>
      <c r="M106" s="1">
        <f>VLOOKUP(J106,$X:$Y,2,0)</f>
        <v>11</v>
      </c>
      <c r="N106" s="1">
        <f>VLOOKUP(K106,$AA:$AB,2,0)</f>
        <v>15</v>
      </c>
      <c r="O106" s="1">
        <f>IF(A106&lt;&gt;"",N106+M106+L106+F106+G106+H106,0)</f>
        <v>46</v>
      </c>
    </row>
    <row r="107" spans="1:15" x14ac:dyDescent="0.25">
      <c r="A107" s="1" t="s">
        <v>723</v>
      </c>
      <c r="B107" s="1" t="s">
        <v>724</v>
      </c>
      <c r="C107" s="1" t="str">
        <f>MID(A107,1,2)</f>
        <v>פכ</v>
      </c>
      <c r="D107" s="1" t="str">
        <f>MID(B107,3,2)</f>
        <v>כש</v>
      </c>
      <c r="E107" s="1" t="str">
        <f>CONCATENATE(I107,K107)</f>
        <v>פש</v>
      </c>
      <c r="F107" s="1">
        <f>VLOOKUP(I107,$U$23:$AL$40,MATCH(J107,$U$23:$AL$23,0),FALSE)</f>
        <v>2</v>
      </c>
      <c r="G107" s="1">
        <f>VLOOKUP(J107,$U$23:$AL$40,MATCH(K107,$U$23:$AL$23,0),FALSE)</f>
        <v>2</v>
      </c>
      <c r="H107" s="1">
        <f>VLOOKUP(I107,$U$23:$AL$40,MATCH(K107,$U$23:$AL$23,0),FALSE)</f>
        <v>3</v>
      </c>
      <c r="I107" s="1" t="str">
        <f>MID(A107,1,1)</f>
        <v>פ</v>
      </c>
      <c r="J107" s="1" t="str">
        <f>MID(A107,2,1)</f>
        <v>כ</v>
      </c>
      <c r="K107" s="1" t="str">
        <f>MID(A107,4,1)</f>
        <v>ש</v>
      </c>
      <c r="L107" s="1">
        <f>VLOOKUP(I107,$U:$V,2,0)</f>
        <v>14</v>
      </c>
      <c r="M107" s="1">
        <f>VLOOKUP(J107,$X:$Y,2,0)</f>
        <v>11</v>
      </c>
      <c r="N107" s="1">
        <f>VLOOKUP(K107,$AA:$AB,2,0)</f>
        <v>15</v>
      </c>
      <c r="O107" s="1">
        <f>IF(A107&lt;&gt;"",N107+M107+L107+F107+G107+H107,0)</f>
        <v>47</v>
      </c>
    </row>
    <row r="108" spans="1:15" x14ac:dyDescent="0.25">
      <c r="A108" s="1" t="s">
        <v>697</v>
      </c>
      <c r="B108" s="1" t="s">
        <v>698</v>
      </c>
      <c r="C108" s="1" t="str">
        <f>MID(A108,1,2)</f>
        <v>פל</v>
      </c>
      <c r="D108" s="1" t="str">
        <f>MID(B108,3,2)</f>
        <v>לז</v>
      </c>
      <c r="E108" s="1" t="str">
        <f>CONCATENATE(I108,K108)</f>
        <v>פז</v>
      </c>
      <c r="F108" s="1">
        <f>VLOOKUP(I108,$U$23:$AL$40,MATCH(J108,$U$23:$AL$23,0),FALSE)</f>
        <v>3</v>
      </c>
      <c r="G108" s="1">
        <f>VLOOKUP(J108,$U$23:$AL$40,MATCH(K108,$U$23:$AL$23,0),FALSE)</f>
        <v>1</v>
      </c>
      <c r="H108" s="1">
        <f>VLOOKUP(I108,$U$23:$AL$40,MATCH(K108,$U$23:$AL$23,0),FALSE)</f>
        <v>3</v>
      </c>
      <c r="I108" s="1" t="str">
        <f>MID(A108,1,1)</f>
        <v>פ</v>
      </c>
      <c r="J108" s="1" t="str">
        <f>MID(A108,2,1)</f>
        <v>ל</v>
      </c>
      <c r="K108" s="1" t="str">
        <f>MID(A108,4,1)</f>
        <v>ז</v>
      </c>
      <c r="L108" s="1">
        <f>VLOOKUP(I108,$U:$V,2,0)</f>
        <v>14</v>
      </c>
      <c r="M108" s="1">
        <f>VLOOKUP(J108,$X:$Y,2,0)</f>
        <v>10</v>
      </c>
      <c r="N108" s="1">
        <f>VLOOKUP(K108,$AA:$AB,2,0)</f>
        <v>15</v>
      </c>
      <c r="O108" s="1">
        <f>IF(A108&lt;&gt;"",N108+M108+L108+F108+G108+H108,0)</f>
        <v>46</v>
      </c>
    </row>
    <row r="109" spans="1:15" x14ac:dyDescent="0.25">
      <c r="A109" t="s">
        <v>833</v>
      </c>
      <c r="B109" t="s">
        <v>834</v>
      </c>
      <c r="C109" s="1" t="str">
        <f>MID(A109,1,2)</f>
        <v>פנ</v>
      </c>
      <c r="D109" s="1" t="str">
        <f>MID(B109,3,2)</f>
        <v>נק</v>
      </c>
      <c r="E109" s="1" t="str">
        <f>CONCATENATE(I109,K109)</f>
        <v>פק</v>
      </c>
      <c r="F109" s="1">
        <f>VLOOKUP(I109,$U$23:$AL$40,MATCH(J109,$U$23:$AL$23,0),FALSE)</f>
        <v>2</v>
      </c>
      <c r="G109" s="1">
        <f>VLOOKUP(J109,$U$23:$AL$40,MATCH(K109,$U$23:$AL$23,0),FALSE)</f>
        <v>1</v>
      </c>
      <c r="H109" s="1">
        <f>VLOOKUP(I109,$U$23:$AL$40,MATCH(K109,$U$23:$AL$23,0),FALSE)</f>
        <v>3</v>
      </c>
      <c r="I109" s="1" t="str">
        <f>MID(A109,1,1)</f>
        <v>פ</v>
      </c>
      <c r="J109" s="1" t="str">
        <f>MID(A109,2,1)</f>
        <v>נ</v>
      </c>
      <c r="K109" s="1" t="str">
        <f>MID(A109,4,1)</f>
        <v>ק</v>
      </c>
      <c r="L109" s="1">
        <f>VLOOKUP(I109,$U:$V,2,0)</f>
        <v>14</v>
      </c>
      <c r="M109" s="1">
        <f>VLOOKUP(J109,$X:$Y,2,0)</f>
        <v>12</v>
      </c>
      <c r="N109" s="1">
        <f>VLOOKUP(K109,$AA:$AB,2,0)</f>
        <v>15</v>
      </c>
      <c r="O109" s="1">
        <f>IF(A109&lt;&gt;"",N109+M109+L109+F109+G109+H109,0)</f>
        <v>47</v>
      </c>
    </row>
    <row r="110" spans="1:15" x14ac:dyDescent="0.25">
      <c r="A110" t="s">
        <v>771</v>
      </c>
      <c r="B110" t="s">
        <v>772</v>
      </c>
      <c r="C110" s="1" t="str">
        <f>MID(A110,1,2)</f>
        <v>פנ</v>
      </c>
      <c r="D110" s="1" t="str">
        <f>MID(B110,3,2)</f>
        <v>נר</v>
      </c>
      <c r="E110" s="1" t="str">
        <f>CONCATENATE(I110,K110)</f>
        <v>פר</v>
      </c>
      <c r="F110" s="1">
        <f>VLOOKUP(I110,$U$23:$AL$40,MATCH(J110,$U$23:$AL$23,0),FALSE)</f>
        <v>2</v>
      </c>
      <c r="G110" s="1">
        <f>VLOOKUP(J110,$U$23:$AL$40,MATCH(K110,$U$23:$AL$23,0),FALSE)</f>
        <v>1</v>
      </c>
      <c r="H110" s="1">
        <f>VLOOKUP(I110,$U$23:$AL$40,MATCH(K110,$U$23:$AL$23,0),FALSE)</f>
        <v>3</v>
      </c>
      <c r="I110" s="1" t="str">
        <f>MID(A110,1,1)</f>
        <v>פ</v>
      </c>
      <c r="J110" s="1" t="str">
        <f>MID(A110,2,1)</f>
        <v>נ</v>
      </c>
      <c r="K110" s="1" t="str">
        <f>MID(A110,4,1)</f>
        <v>ר</v>
      </c>
      <c r="L110" s="1">
        <f>VLOOKUP(I110,$U:$V,2,0)</f>
        <v>14</v>
      </c>
      <c r="M110" s="1">
        <f>VLOOKUP(J110,$X:$Y,2,0)</f>
        <v>12</v>
      </c>
      <c r="N110" s="1">
        <f>VLOOKUP(K110,$AA:$AB,2,0)</f>
        <v>14</v>
      </c>
      <c r="O110" s="1">
        <f>IF(A110&lt;&gt;"",N110+M110+L110+F110+G110+H110,0)</f>
        <v>46</v>
      </c>
    </row>
    <row r="111" spans="1:15" x14ac:dyDescent="0.25">
      <c r="A111" s="1" t="s">
        <v>554</v>
      </c>
      <c r="B111" s="1" t="s">
        <v>555</v>
      </c>
      <c r="C111" s="1" t="str">
        <f>MID(A111,1,2)</f>
        <v>פס</v>
      </c>
      <c r="D111" s="1" t="str">
        <f>MID(B111,3,2)</f>
        <v>סח</v>
      </c>
      <c r="E111" s="1" t="str">
        <f>CONCATENATE(I111,K111)</f>
        <v>פח</v>
      </c>
      <c r="F111" s="1">
        <f>VLOOKUP(I111,$U$23:$AL$40,MATCH(J111,$U$23:$AL$23,0),FALSE)</f>
        <v>4</v>
      </c>
      <c r="G111" s="1">
        <f>VLOOKUP(J111,$U$23:$AL$40,MATCH(K111,$U$23:$AL$23,0),FALSE)</f>
        <v>3</v>
      </c>
      <c r="H111" s="1">
        <f>VLOOKUP(I111,$U$23:$AL$40,MATCH(K111,$U$23:$AL$23,0),FALSE)</f>
        <v>3</v>
      </c>
      <c r="I111" s="1" t="str">
        <f>MID(A111,1,1)</f>
        <v>פ</v>
      </c>
      <c r="J111" s="1" t="str">
        <f>MID(A111,2,1)</f>
        <v>ס</v>
      </c>
      <c r="K111" s="1" t="str">
        <f>MID(A111,4,1)</f>
        <v>ח</v>
      </c>
      <c r="L111" s="1">
        <f>VLOOKUP(I111,$U:$V,2,0)</f>
        <v>14</v>
      </c>
      <c r="M111" s="1">
        <f>VLOOKUP(J111,$X:$Y,2,0)</f>
        <v>9</v>
      </c>
      <c r="N111" s="1">
        <f>VLOOKUP(K111,$AA:$AB,2,0)</f>
        <v>14</v>
      </c>
      <c r="O111" s="1">
        <f>IF(A111&lt;&gt;"",N111+M111+L111+F111+G111+H111,0)</f>
        <v>47</v>
      </c>
    </row>
    <row r="112" spans="1:15" x14ac:dyDescent="0.25">
      <c r="A112" s="1" t="s">
        <v>689</v>
      </c>
      <c r="B112" s="1" t="s">
        <v>690</v>
      </c>
      <c r="C112" s="1" t="str">
        <f>MID(A112,1,2)</f>
        <v>פע</v>
      </c>
      <c r="D112" s="1" t="str">
        <f>MID(B112,3,2)</f>
        <v>עס</v>
      </c>
      <c r="E112" s="1" t="str">
        <f>CONCATENATE(I112,K112)</f>
        <v>פס</v>
      </c>
      <c r="F112" s="1">
        <f>VLOOKUP(I112,$U$23:$AL$40,MATCH(J112,$U$23:$AL$23,0),FALSE)</f>
        <v>3</v>
      </c>
      <c r="G112" s="1">
        <f>VLOOKUP(J112,$U$23:$AL$40,MATCH(K112,$U$23:$AL$23,0),FALSE)</f>
        <v>3</v>
      </c>
      <c r="H112" s="1">
        <f>VLOOKUP(I112,$U$23:$AL$40,MATCH(K112,$U$23:$AL$23,0),FALSE)</f>
        <v>4</v>
      </c>
      <c r="I112" s="1" t="str">
        <f>MID(A112,1,1)</f>
        <v>פ</v>
      </c>
      <c r="J112" s="1" t="str">
        <f>MID(A112,2,1)</f>
        <v>ע</v>
      </c>
      <c r="K112" s="1" t="str">
        <f>MID(A112,4,1)</f>
        <v>ס</v>
      </c>
      <c r="L112" s="1">
        <f>VLOOKUP(I112,$U:$V,2,0)</f>
        <v>14</v>
      </c>
      <c r="M112" s="1">
        <f>VLOOKUP(J112,$X:$Y,2,0)</f>
        <v>8</v>
      </c>
      <c r="N112" s="1">
        <f>VLOOKUP(K112,$AA:$AB,2,0)</f>
        <v>15</v>
      </c>
      <c r="O112" s="1">
        <f>IF(A112&lt;&gt;"",N112+M112+L112+F112+G112+H112,0)</f>
        <v>47</v>
      </c>
    </row>
    <row r="113" spans="1:15" x14ac:dyDescent="0.25">
      <c r="A113" s="1" t="s">
        <v>605</v>
      </c>
      <c r="B113" s="1" t="s">
        <v>606</v>
      </c>
      <c r="C113" s="1" t="str">
        <f>MID(A113,1,2)</f>
        <v>פצ</v>
      </c>
      <c r="D113" s="1" t="str">
        <f>MID(B113,3,2)</f>
        <v>צס</v>
      </c>
      <c r="E113" s="1" t="str">
        <f>CONCATENATE(I113,K113)</f>
        <v>פס</v>
      </c>
      <c r="F113" s="1">
        <f>VLOOKUP(I113,$U$23:$AL$40,MATCH(J113,$U$23:$AL$23,0),FALSE)</f>
        <v>1</v>
      </c>
      <c r="G113" s="1">
        <f>VLOOKUP(J113,$U$23:$AL$40,MATCH(K113,$U$23:$AL$23,0),FALSE)</f>
        <v>4</v>
      </c>
      <c r="H113" s="1">
        <f>VLOOKUP(I113,$U$23:$AL$40,MATCH(K113,$U$23:$AL$23,0),FALSE)</f>
        <v>4</v>
      </c>
      <c r="I113" s="1" t="str">
        <f>MID(A113,1,1)</f>
        <v>פ</v>
      </c>
      <c r="J113" s="1" t="str">
        <f>MID(A113,2,1)</f>
        <v>צ</v>
      </c>
      <c r="K113" s="1" t="str">
        <f>MID(A113,4,1)</f>
        <v>ס</v>
      </c>
      <c r="L113" s="1">
        <f>VLOOKUP(I113,$U:$V,2,0)</f>
        <v>14</v>
      </c>
      <c r="M113" s="1">
        <f>VLOOKUP(J113,$X:$Y,2,0)</f>
        <v>10</v>
      </c>
      <c r="N113" s="1">
        <f>VLOOKUP(K113,$AA:$AB,2,0)</f>
        <v>15</v>
      </c>
      <c r="O113" s="1">
        <f>IF(A113&lt;&gt;"",N113+M113+L113+F113+G113+H113,0)</f>
        <v>48</v>
      </c>
    </row>
    <row r="114" spans="1:15" x14ac:dyDescent="0.25">
      <c r="A114" t="s">
        <v>534</v>
      </c>
      <c r="B114" t="s">
        <v>535</v>
      </c>
      <c r="C114" s="1" t="str">
        <f>MID(A114,1,2)</f>
        <v>פק</v>
      </c>
      <c r="D114" s="1" t="str">
        <f>MID(B114,3,2)</f>
        <v>קט</v>
      </c>
      <c r="E114" s="1" t="str">
        <f>CONCATENATE(I114,K114)</f>
        <v>פט</v>
      </c>
      <c r="F114" s="1">
        <f>VLOOKUP(I114,$U$23:$AL$40,MATCH(J114,$U$23:$AL$23,0),FALSE)</f>
        <v>3</v>
      </c>
      <c r="G114" s="1">
        <f>VLOOKUP(J114,$U$23:$AL$40,MATCH(K114,$U$23:$AL$23,0),FALSE)</f>
        <v>3</v>
      </c>
      <c r="H114" s="1">
        <f>VLOOKUP(I114,$U$23:$AL$40,MATCH(K114,$U$23:$AL$23,0),FALSE)</f>
        <v>3</v>
      </c>
      <c r="I114" s="1" t="str">
        <f>MID(A114,1,1)</f>
        <v>פ</v>
      </c>
      <c r="J114" s="1" t="str">
        <f>MID(A114,2,1)</f>
        <v>ק</v>
      </c>
      <c r="K114" s="1" t="str">
        <f>MID(A114,4,1)</f>
        <v>ט</v>
      </c>
      <c r="L114" s="1">
        <f>VLOOKUP(I114,$U:$V,2,0)</f>
        <v>14</v>
      </c>
      <c r="M114" s="1">
        <f>VLOOKUP(J114,$X:$Y,2,0)</f>
        <v>8</v>
      </c>
      <c r="N114" s="1">
        <f>VLOOKUP(K114,$AA:$AB,2,0)</f>
        <v>14</v>
      </c>
      <c r="O114" s="1">
        <f>IF(A114&lt;&gt;"",N114+M114+L114+F114+G114+H114,0)</f>
        <v>45</v>
      </c>
    </row>
    <row r="115" spans="1:15" x14ac:dyDescent="0.25">
      <c r="A115" t="s">
        <v>815</v>
      </c>
      <c r="B115" t="s">
        <v>816</v>
      </c>
      <c r="C115" s="1" t="str">
        <f>MID(A115,1,2)</f>
        <v>פר</v>
      </c>
      <c r="D115" s="1" t="str">
        <f>MID(B115,3,2)</f>
        <v>רט</v>
      </c>
      <c r="E115" s="1" t="str">
        <f>CONCATENATE(I115,K115)</f>
        <v>פט</v>
      </c>
      <c r="F115" s="1">
        <f>VLOOKUP(I115,$U$23:$AL$40,MATCH(J115,$U$23:$AL$23,0),FALSE)</f>
        <v>3</v>
      </c>
      <c r="G115" s="1">
        <f>VLOOKUP(J115,$U$23:$AL$40,MATCH(K115,$U$23:$AL$23,0),FALSE)</f>
        <v>3</v>
      </c>
      <c r="H115" s="1">
        <f>VLOOKUP(I115,$U$23:$AL$40,MATCH(K115,$U$23:$AL$23,0),FALSE)</f>
        <v>3</v>
      </c>
      <c r="I115" s="1" t="str">
        <f>MID(A115,1,1)</f>
        <v>פ</v>
      </c>
      <c r="J115" s="1" t="str">
        <f>MID(A115,2,1)</f>
        <v>ר</v>
      </c>
      <c r="K115" s="1" t="str">
        <f>MID(A115,4,1)</f>
        <v>ט</v>
      </c>
      <c r="L115" s="1">
        <f>VLOOKUP(I115,$U:$V,2,0)</f>
        <v>14</v>
      </c>
      <c r="M115" s="1">
        <f>VLOOKUP(J115,$X:$Y,2,0)</f>
        <v>8</v>
      </c>
      <c r="N115" s="1">
        <f>VLOOKUP(K115,$AA:$AB,2,0)</f>
        <v>14</v>
      </c>
      <c r="O115" s="1">
        <f>IF(A115&lt;&gt;"",N115+M115+L115+F115+G115+H115,0)</f>
        <v>45</v>
      </c>
    </row>
    <row r="116" spans="1:15" x14ac:dyDescent="0.25">
      <c r="A116" t="s">
        <v>801</v>
      </c>
      <c r="B116" t="s">
        <v>802</v>
      </c>
      <c r="C116" s="1" t="str">
        <f>MID(A116,1,2)</f>
        <v>פש</v>
      </c>
      <c r="D116" s="1" t="str">
        <f>MID(B116,3,2)</f>
        <v>שע</v>
      </c>
      <c r="E116" s="1" t="str">
        <f>CONCATENATE(I116,K116)</f>
        <v>פע</v>
      </c>
      <c r="F116" s="1">
        <f>VLOOKUP(I116,$U$23:$AL$40,MATCH(J116,$U$23:$AL$23,0),FALSE)</f>
        <v>3</v>
      </c>
      <c r="G116" s="1">
        <f>VLOOKUP(J116,$U$23:$AL$40,MATCH(K116,$U$23:$AL$23,0),FALSE)</f>
        <v>2</v>
      </c>
      <c r="H116" s="1">
        <f>VLOOKUP(I116,$U$23:$AL$40,MATCH(K116,$U$23:$AL$23,0),FALSE)</f>
        <v>3</v>
      </c>
      <c r="I116" s="1" t="str">
        <f>MID(A116,1,1)</f>
        <v>פ</v>
      </c>
      <c r="J116" s="1" t="str">
        <f>MID(A116,2,1)</f>
        <v>ש</v>
      </c>
      <c r="K116" s="1" t="str">
        <f>MID(A116,4,1)</f>
        <v>ע</v>
      </c>
      <c r="L116" s="1">
        <f>VLOOKUP(I116,$U:$V,2,0)</f>
        <v>14</v>
      </c>
      <c r="M116" s="1">
        <f>VLOOKUP(J116,$X:$Y,2,0)</f>
        <v>9</v>
      </c>
      <c r="N116" s="1">
        <f>VLOOKUP(K116,$AA:$AB,2,0)</f>
        <v>15</v>
      </c>
      <c r="O116" s="1">
        <f>IF(A116&lt;&gt;"",N116+M116+L116+F116+G116+H116,0)</f>
        <v>46</v>
      </c>
    </row>
    <row r="117" spans="1:15" x14ac:dyDescent="0.25">
      <c r="A117" t="s">
        <v>817</v>
      </c>
      <c r="B117" t="s">
        <v>818</v>
      </c>
      <c r="C117" s="1" t="str">
        <f>MID(A117,1,2)</f>
        <v>צג</v>
      </c>
      <c r="D117" s="1" t="str">
        <f>MID(B117,3,2)</f>
        <v>גר</v>
      </c>
      <c r="E117" s="1" t="str">
        <f>CONCATENATE(I117,K117)</f>
        <v>צר</v>
      </c>
      <c r="F117" s="1">
        <f>VLOOKUP(I117,$U$23:$AL$40,MATCH(J117,$U$23:$AL$23,0),FALSE)</f>
        <v>3</v>
      </c>
      <c r="G117" s="1">
        <f>VLOOKUP(J117,$U$23:$AL$40,MATCH(K117,$U$23:$AL$23,0),FALSE)</f>
        <v>3</v>
      </c>
      <c r="H117" s="1">
        <f>VLOOKUP(I117,$U$23:$AL$40,MATCH(K117,$U$23:$AL$23,0),FALSE)</f>
        <v>4</v>
      </c>
      <c r="I117" s="1" t="str">
        <f>MID(A117,1,1)</f>
        <v>צ</v>
      </c>
      <c r="J117" s="1" t="str">
        <f>MID(A117,2,1)</f>
        <v>ג</v>
      </c>
      <c r="K117" s="1" t="str">
        <f>MID(A117,4,1)</f>
        <v>ר</v>
      </c>
      <c r="L117" s="1">
        <f>VLOOKUP(I117,$U:$V,2,0)</f>
        <v>15</v>
      </c>
      <c r="M117" s="1">
        <f>VLOOKUP(J117,$X:$Y,2,0)</f>
        <v>8</v>
      </c>
      <c r="N117" s="1">
        <f>VLOOKUP(K117,$AA:$AB,2,0)</f>
        <v>14</v>
      </c>
      <c r="O117" s="1">
        <f>IF(A117&lt;&gt;"",N117+M117+L117+F117+G117+H117,0)</f>
        <v>47</v>
      </c>
    </row>
    <row r="118" spans="1:15" x14ac:dyDescent="0.25">
      <c r="A118" s="1" t="s">
        <v>569</v>
      </c>
      <c r="B118" s="1" t="s">
        <v>570</v>
      </c>
      <c r="C118" s="1" t="str">
        <f>MID(A118,1,2)</f>
        <v>צד</v>
      </c>
      <c r="D118" s="1" t="str">
        <f>MID(B118,3,2)</f>
        <v>דג</v>
      </c>
      <c r="E118" s="1" t="str">
        <f>CONCATENATE(I118,K118)</f>
        <v>צג</v>
      </c>
      <c r="F118" s="1">
        <f>VLOOKUP(I118,$U$23:$AL$40,MATCH(J118,$U$23:$AL$23,0),FALSE)</f>
        <v>4</v>
      </c>
      <c r="G118" s="1">
        <f>VLOOKUP(J118,$U$23:$AL$40,MATCH(K118,$U$23:$AL$23,0),FALSE)</f>
        <v>3</v>
      </c>
      <c r="H118" s="1">
        <f>VLOOKUP(I118,$U$23:$AL$40,MATCH(K118,$U$23:$AL$23,0),FALSE)</f>
        <v>3</v>
      </c>
      <c r="I118" s="1" t="str">
        <f>MID(A118,1,1)</f>
        <v>צ</v>
      </c>
      <c r="J118" s="1" t="str">
        <f>MID(A118,2,1)</f>
        <v>ד</v>
      </c>
      <c r="K118" s="1" t="str">
        <f>MID(A118,4,1)</f>
        <v>ג</v>
      </c>
      <c r="L118" s="1">
        <f>VLOOKUP(I118,$U:$V,2,0)</f>
        <v>15</v>
      </c>
      <c r="M118" s="1">
        <f>VLOOKUP(J118,$X:$Y,2,0)</f>
        <v>9</v>
      </c>
      <c r="N118" s="1">
        <f>VLOOKUP(K118,$AA:$AB,2,0)</f>
        <v>15</v>
      </c>
      <c r="O118" s="1">
        <f>IF(A118&lt;&gt;"",N118+M118+L118+F118+G118+H118,0)</f>
        <v>49</v>
      </c>
    </row>
    <row r="119" spans="1:15" x14ac:dyDescent="0.25">
      <c r="A119" t="s">
        <v>805</v>
      </c>
      <c r="B119" t="s">
        <v>806</v>
      </c>
      <c r="C119" s="1" t="str">
        <f>MID(A119,1,2)</f>
        <v>צז</v>
      </c>
      <c r="D119" s="1" t="str">
        <f>MID(B119,3,2)</f>
        <v>זח</v>
      </c>
      <c r="E119" s="1" t="str">
        <f>CONCATENATE(I119,K119)</f>
        <v>צח</v>
      </c>
      <c r="F119" s="1">
        <f>VLOOKUP(I119,$U$23:$AL$40,MATCH(J119,$U$23:$AL$23,0),FALSE)</f>
        <v>4</v>
      </c>
      <c r="G119" s="1">
        <f>VLOOKUP(J119,$U$23:$AL$40,MATCH(K119,$U$23:$AL$23,0),FALSE)</f>
        <v>3</v>
      </c>
      <c r="H119" s="1">
        <f>VLOOKUP(I119,$U$23:$AL$40,MATCH(K119,$U$23:$AL$23,0),FALSE)</f>
        <v>3</v>
      </c>
      <c r="I119" s="1" t="str">
        <f>MID(A119,1,1)</f>
        <v>צ</v>
      </c>
      <c r="J119" s="1" t="str">
        <f>MID(A119,2,1)</f>
        <v>ז</v>
      </c>
      <c r="K119" s="1" t="str">
        <f>MID(A119,4,1)</f>
        <v>ח</v>
      </c>
      <c r="L119" s="1">
        <f>VLOOKUP(I119,$U:$V,2,0)</f>
        <v>15</v>
      </c>
      <c r="M119" s="1">
        <f>VLOOKUP(J119,$X:$Y,2,0)</f>
        <v>7</v>
      </c>
      <c r="N119" s="1">
        <f>VLOOKUP(K119,$AA:$AB,2,0)</f>
        <v>14</v>
      </c>
      <c r="O119" s="1">
        <f>IF(A119&lt;&gt;"",N119+M119+L119+F119+G119+H119,0)</f>
        <v>46</v>
      </c>
    </row>
    <row r="120" spans="1:15" x14ac:dyDescent="0.25">
      <c r="A120" t="s">
        <v>783</v>
      </c>
      <c r="B120" t="s">
        <v>784</v>
      </c>
      <c r="C120" s="1" t="str">
        <f>MID(A120,1,2)</f>
        <v>צח</v>
      </c>
      <c r="D120" s="1" t="str">
        <f>MID(B120,3,2)</f>
        <v>חז</v>
      </c>
      <c r="E120" s="1" t="str">
        <f>CONCATENATE(I120,K120)</f>
        <v>צז</v>
      </c>
      <c r="F120" s="1">
        <f>VLOOKUP(I120,$U$23:$AL$40,MATCH(J120,$U$23:$AL$23,0),FALSE)</f>
        <v>3</v>
      </c>
      <c r="G120" s="1">
        <f>VLOOKUP(J120,$U$23:$AL$40,MATCH(K120,$U$23:$AL$23,0),FALSE)</f>
        <v>4</v>
      </c>
      <c r="H120" s="1">
        <f>VLOOKUP(I120,$U$23:$AL$40,MATCH(K120,$U$23:$AL$23,0),FALSE)</f>
        <v>4</v>
      </c>
      <c r="I120" s="1" t="str">
        <f>MID(A120,1,1)</f>
        <v>צ</v>
      </c>
      <c r="J120" s="1" t="str">
        <f>MID(A120,2,1)</f>
        <v>ח</v>
      </c>
      <c r="K120" s="1" t="str">
        <f>MID(A120,4,1)</f>
        <v>ז</v>
      </c>
      <c r="L120" s="1">
        <f>VLOOKUP(I120,$U:$V,2,0)</f>
        <v>15</v>
      </c>
      <c r="M120" s="1">
        <f>VLOOKUP(J120,$X:$Y,2,0)</f>
        <v>9</v>
      </c>
      <c r="N120" s="1">
        <f>VLOOKUP(K120,$AA:$AB,2,0)</f>
        <v>15</v>
      </c>
      <c r="O120" s="1">
        <f>IF(A120&lt;&gt;"",N120+M120+L120+F120+G120+H120,0)</f>
        <v>50</v>
      </c>
    </row>
    <row r="121" spans="1:15" x14ac:dyDescent="0.25">
      <c r="A121" t="s">
        <v>671</v>
      </c>
      <c r="B121" t="s">
        <v>672</v>
      </c>
      <c r="C121" s="1" t="str">
        <f>MID(A121,1,2)</f>
        <v>צט</v>
      </c>
      <c r="D121" s="1" t="str">
        <f>MID(B121,3,2)</f>
        <v>טג</v>
      </c>
      <c r="E121" s="1" t="str">
        <f>CONCATENATE(I121,K121)</f>
        <v>צג</v>
      </c>
      <c r="F121" s="1">
        <f>VLOOKUP(I121,$U$23:$AL$40,MATCH(J121,$U$23:$AL$23,0),FALSE)</f>
        <v>3</v>
      </c>
      <c r="G121" s="1">
        <f>VLOOKUP(J121,$U$23:$AL$40,MATCH(K121,$U$23:$AL$23,0),FALSE)</f>
        <v>4</v>
      </c>
      <c r="H121" s="1">
        <f>VLOOKUP(I121,$U$23:$AL$40,MATCH(K121,$U$23:$AL$23,0),FALSE)</f>
        <v>3</v>
      </c>
      <c r="I121" s="1" t="str">
        <f>MID(A121,1,1)</f>
        <v>צ</v>
      </c>
      <c r="J121" s="1" t="str">
        <f>MID(A121,2,1)</f>
        <v>ט</v>
      </c>
      <c r="K121" s="1" t="str">
        <f>MID(A121,4,1)</f>
        <v>ג</v>
      </c>
      <c r="L121" s="1">
        <f>VLOOKUP(I121,$U:$V,2,0)</f>
        <v>15</v>
      </c>
      <c r="M121" s="1">
        <f>VLOOKUP(J121,$X:$Y,2,0)</f>
        <v>8</v>
      </c>
      <c r="N121" s="1">
        <f>VLOOKUP(K121,$AA:$AB,2,0)</f>
        <v>15</v>
      </c>
      <c r="O121" s="1">
        <f>IF(A121&lt;&gt;"",N121+M121+L121+F121+G121+H121,0)</f>
        <v>48</v>
      </c>
    </row>
    <row r="122" spans="1:15" x14ac:dyDescent="0.25">
      <c r="A122" t="s">
        <v>781</v>
      </c>
      <c r="B122" t="s">
        <v>782</v>
      </c>
      <c r="C122" s="1" t="str">
        <f>MID(A122,1,2)</f>
        <v>צט</v>
      </c>
      <c r="D122" s="1" t="str">
        <f>MID(B122,3,2)</f>
        <v>טז</v>
      </c>
      <c r="E122" s="1" t="str">
        <f>CONCATENATE(I122,K122)</f>
        <v>צז</v>
      </c>
      <c r="F122" s="1">
        <f>VLOOKUP(I122,$U$23:$AL$40,MATCH(J122,$U$23:$AL$23,0),FALSE)</f>
        <v>3</v>
      </c>
      <c r="G122" s="1">
        <f>VLOOKUP(J122,$U$23:$AL$40,MATCH(K122,$U$23:$AL$23,0),FALSE)</f>
        <v>3</v>
      </c>
      <c r="H122" s="1">
        <f>VLOOKUP(I122,$U$23:$AL$40,MATCH(K122,$U$23:$AL$23,0),FALSE)</f>
        <v>4</v>
      </c>
      <c r="I122" s="1" t="str">
        <f>MID(A122,1,1)</f>
        <v>צ</v>
      </c>
      <c r="J122" s="1" t="str">
        <f>MID(A122,2,1)</f>
        <v>ט</v>
      </c>
      <c r="K122" s="1" t="str">
        <f>MID(A122,4,1)</f>
        <v>ז</v>
      </c>
      <c r="L122" s="1">
        <f>VLOOKUP(I122,$U:$V,2,0)</f>
        <v>15</v>
      </c>
      <c r="M122" s="1">
        <f>VLOOKUP(J122,$X:$Y,2,0)</f>
        <v>8</v>
      </c>
      <c r="N122" s="1">
        <f>VLOOKUP(K122,$AA:$AB,2,0)</f>
        <v>15</v>
      </c>
      <c r="O122" s="1">
        <f>IF(A122&lt;&gt;"",N122+M122+L122+F122+G122+H122,0)</f>
        <v>48</v>
      </c>
    </row>
    <row r="123" spans="1:15" x14ac:dyDescent="0.25">
      <c r="A123" t="s">
        <v>761</v>
      </c>
      <c r="B123" t="s">
        <v>762</v>
      </c>
      <c r="C123" s="1" t="str">
        <f>MID(A123,1,2)</f>
        <v>צכ</v>
      </c>
      <c r="D123" s="1" t="str">
        <f>MID(B123,3,2)</f>
        <v>כש</v>
      </c>
      <c r="E123" s="1" t="str">
        <f>CONCATENATE(I123,K123)</f>
        <v>צש</v>
      </c>
      <c r="F123" s="1">
        <f>VLOOKUP(I123,$U$23:$AL$40,MATCH(J123,$U$23:$AL$23,0),FALSE)</f>
        <v>1</v>
      </c>
      <c r="G123" s="1">
        <f>VLOOKUP(J123,$U$23:$AL$40,MATCH(K123,$U$23:$AL$23,0),FALSE)</f>
        <v>2</v>
      </c>
      <c r="H123" s="1">
        <f>VLOOKUP(I123,$U$23:$AL$40,MATCH(K123,$U$23:$AL$23,0),FALSE)</f>
        <v>2</v>
      </c>
      <c r="I123" s="1" t="str">
        <f>MID(A123,1,1)</f>
        <v>צ</v>
      </c>
      <c r="J123" s="1" t="str">
        <f>MID(A123,2,1)</f>
        <v>כ</v>
      </c>
      <c r="K123" s="1" t="str">
        <f>MID(A123,4,1)</f>
        <v>ש</v>
      </c>
      <c r="L123" s="1">
        <f>VLOOKUP(I123,$U:$V,2,0)</f>
        <v>15</v>
      </c>
      <c r="M123" s="1">
        <f>VLOOKUP(J123,$X:$Y,2,0)</f>
        <v>11</v>
      </c>
      <c r="N123" s="1">
        <f>VLOOKUP(K123,$AA:$AB,2,0)</f>
        <v>15</v>
      </c>
      <c r="O123" s="1">
        <f>IF(A123&lt;&gt;"",N123+M123+L123+F123+G123+H123,0)</f>
        <v>46</v>
      </c>
    </row>
    <row r="124" spans="1:15" x14ac:dyDescent="0.25">
      <c r="A124" s="1" t="s">
        <v>667</v>
      </c>
      <c r="B124" s="1" t="s">
        <v>668</v>
      </c>
      <c r="C124" s="1" t="str">
        <f>MID(A124,1,2)</f>
        <v>צל</v>
      </c>
      <c r="D124" s="1" t="str">
        <f>MID(B124,3,2)</f>
        <v>לש</v>
      </c>
      <c r="E124" s="1" t="str">
        <f>CONCATENATE(I124,K124)</f>
        <v>צש</v>
      </c>
      <c r="F124" s="1">
        <f>VLOOKUP(I124,$U$23:$AL$40,MATCH(J124,$U$23:$AL$23,0),FALSE)</f>
        <v>3</v>
      </c>
      <c r="G124" s="1">
        <f>VLOOKUP(J124,$U$23:$AL$40,MATCH(K124,$U$23:$AL$23,0),FALSE)</f>
        <v>1</v>
      </c>
      <c r="H124" s="1">
        <f>VLOOKUP(I124,$U$23:$AL$40,MATCH(K124,$U$23:$AL$23,0),FALSE)</f>
        <v>2</v>
      </c>
      <c r="I124" s="1" t="str">
        <f>MID(A124,1,1)</f>
        <v>צ</v>
      </c>
      <c r="J124" s="1" t="str">
        <f>MID(A124,2,1)</f>
        <v>ל</v>
      </c>
      <c r="K124" s="1" t="str">
        <f>MID(A124,4,1)</f>
        <v>ש</v>
      </c>
      <c r="L124" s="1">
        <f>VLOOKUP(I124,$U:$V,2,0)</f>
        <v>15</v>
      </c>
      <c r="M124" s="1">
        <f>VLOOKUP(J124,$X:$Y,2,0)</f>
        <v>10</v>
      </c>
      <c r="N124" s="1">
        <f>VLOOKUP(K124,$AA:$AB,2,0)</f>
        <v>15</v>
      </c>
      <c r="O124" s="1">
        <f>IF(A124&lt;&gt;"",N124+M124+L124+F124+G124+H124,0)</f>
        <v>46</v>
      </c>
    </row>
    <row r="125" spans="1:15" x14ac:dyDescent="0.25">
      <c r="A125" s="1" t="s">
        <v>705</v>
      </c>
      <c r="B125" s="1" t="s">
        <v>706</v>
      </c>
      <c r="C125" s="1" t="str">
        <f>MID(A125,1,2)</f>
        <v>צנ</v>
      </c>
      <c r="D125" s="1" t="str">
        <f>MID(B125,3,2)</f>
        <v>נז</v>
      </c>
      <c r="E125" s="1" t="str">
        <f>CONCATENATE(I125,K125)</f>
        <v>צז</v>
      </c>
      <c r="F125" s="1">
        <f>VLOOKUP(I125,$U$23:$AL$40,MATCH(J125,$U$23:$AL$23,0),FALSE)</f>
        <v>1</v>
      </c>
      <c r="G125" s="1">
        <f>VLOOKUP(J125,$U$23:$AL$40,MATCH(K125,$U$23:$AL$23,0),FALSE)</f>
        <v>2</v>
      </c>
      <c r="H125" s="1">
        <f>VLOOKUP(I125,$U$23:$AL$40,MATCH(K125,$U$23:$AL$23,0),FALSE)</f>
        <v>4</v>
      </c>
      <c r="I125" s="1" t="str">
        <f>MID(A125,1,1)</f>
        <v>צ</v>
      </c>
      <c r="J125" s="1" t="str">
        <f>MID(A125,2,1)</f>
        <v>נ</v>
      </c>
      <c r="K125" s="1" t="str">
        <f>MID(A125,4,1)</f>
        <v>ז</v>
      </c>
      <c r="L125" s="1">
        <f>VLOOKUP(I125,$U:$V,2,0)</f>
        <v>15</v>
      </c>
      <c r="M125" s="1">
        <f>VLOOKUP(J125,$X:$Y,2,0)</f>
        <v>12</v>
      </c>
      <c r="N125" s="1">
        <f>VLOOKUP(K125,$AA:$AB,2,0)</f>
        <v>15</v>
      </c>
      <c r="O125" s="1">
        <f>IF(A125&lt;&gt;"",N125+M125+L125+F125+G125+H125,0)</f>
        <v>49</v>
      </c>
    </row>
    <row r="126" spans="1:15" x14ac:dyDescent="0.25">
      <c r="A126" s="1" t="s">
        <v>729</v>
      </c>
      <c r="B126" s="1" t="s">
        <v>730</v>
      </c>
      <c r="C126" s="1" t="str">
        <f>MID(A126,1,2)</f>
        <v>צע</v>
      </c>
      <c r="D126" s="1" t="str">
        <f>MID(B126,3,2)</f>
        <v>עט</v>
      </c>
      <c r="E126" s="1" t="str">
        <f>CONCATENATE(I126,K126)</f>
        <v>צט</v>
      </c>
      <c r="F126" s="1">
        <f>VLOOKUP(I126,$U$23:$AL$40,MATCH(J126,$U$23:$AL$23,0),FALSE)</f>
        <v>4</v>
      </c>
      <c r="G126" s="1">
        <f>VLOOKUP(J126,$U$23:$AL$40,MATCH(K126,$U$23:$AL$23,0),FALSE)</f>
        <v>4</v>
      </c>
      <c r="H126" s="1">
        <f>VLOOKUP(I126,$U$23:$AL$40,MATCH(K126,$U$23:$AL$23,0),FALSE)</f>
        <v>3</v>
      </c>
      <c r="I126" s="1" t="str">
        <f>MID(A126,1,1)</f>
        <v>צ</v>
      </c>
      <c r="J126" s="1" t="str">
        <f>MID(A126,2,1)</f>
        <v>ע</v>
      </c>
      <c r="K126" s="1" t="str">
        <f>MID(A126,4,1)</f>
        <v>ט</v>
      </c>
      <c r="L126" s="1">
        <f>VLOOKUP(I126,$U:$V,2,0)</f>
        <v>15</v>
      </c>
      <c r="M126" s="1">
        <f>VLOOKUP(J126,$X:$Y,2,0)</f>
        <v>8</v>
      </c>
      <c r="N126" s="1">
        <f>VLOOKUP(K126,$AA:$AB,2,0)</f>
        <v>14</v>
      </c>
      <c r="O126" s="1">
        <f>IF(A126&lt;&gt;"",N126+M126+L126+F126+G126+H126,0)</f>
        <v>48</v>
      </c>
    </row>
    <row r="127" spans="1:15" x14ac:dyDescent="0.25">
      <c r="A127" s="1" t="s">
        <v>597</v>
      </c>
      <c r="B127" s="1" t="s">
        <v>598</v>
      </c>
      <c r="C127" s="1" t="str">
        <f>MID(A127,1,2)</f>
        <v>צע</v>
      </c>
      <c r="D127" s="1" t="str">
        <f>MID(B127,3,2)</f>
        <v>ער</v>
      </c>
      <c r="E127" s="1" t="str">
        <f>CONCATENATE(I127,K127)</f>
        <v>צר</v>
      </c>
      <c r="F127" s="1">
        <f>VLOOKUP(I127,$U$23:$AL$40,MATCH(J127,$U$23:$AL$23,0),FALSE)</f>
        <v>4</v>
      </c>
      <c r="G127" s="1">
        <f>VLOOKUP(J127,$U$23:$AL$40,MATCH(K127,$U$23:$AL$23,0),FALSE)</f>
        <v>3</v>
      </c>
      <c r="H127" s="1">
        <f>VLOOKUP(I127,$U$23:$AL$40,MATCH(K127,$U$23:$AL$23,0),FALSE)</f>
        <v>4</v>
      </c>
      <c r="I127" s="1" t="str">
        <f>MID(A127,1,1)</f>
        <v>צ</v>
      </c>
      <c r="J127" s="1" t="str">
        <f>MID(A127,2,1)</f>
        <v>ע</v>
      </c>
      <c r="K127" s="1" t="str">
        <f>MID(A127,4,1)</f>
        <v>ר</v>
      </c>
      <c r="L127" s="1">
        <f>VLOOKUP(I127,$U:$V,2,0)</f>
        <v>15</v>
      </c>
      <c r="M127" s="1">
        <f>VLOOKUP(J127,$X:$Y,2,0)</f>
        <v>8</v>
      </c>
      <c r="N127" s="1">
        <f>VLOOKUP(K127,$AA:$AB,2,0)</f>
        <v>14</v>
      </c>
      <c r="O127" s="1">
        <f>IF(A127&lt;&gt;"",N127+M127+L127+F127+G127+H127,0)</f>
        <v>48</v>
      </c>
    </row>
    <row r="128" spans="1:15" x14ac:dyDescent="0.25">
      <c r="A128" s="1" t="s">
        <v>717</v>
      </c>
      <c r="B128" s="1" t="s">
        <v>718</v>
      </c>
      <c r="C128" s="1" t="str">
        <f>MID(A128,1,2)</f>
        <v>צק</v>
      </c>
      <c r="D128" s="1" t="str">
        <f>MID(B128,3,2)</f>
        <v>קד</v>
      </c>
      <c r="E128" s="1" t="str">
        <f>CONCATENATE(I128,K128)</f>
        <v>צד</v>
      </c>
      <c r="F128" s="1">
        <f>VLOOKUP(I128,$U$23:$AL$40,MATCH(J128,$U$23:$AL$23,0),FALSE)</f>
        <v>2</v>
      </c>
      <c r="G128" s="1">
        <f>VLOOKUP(J128,$U$23:$AL$40,MATCH(K128,$U$23:$AL$23,0),FALSE)</f>
        <v>3</v>
      </c>
      <c r="H128" s="1">
        <f>VLOOKUP(I128,$U$23:$AL$40,MATCH(K128,$U$23:$AL$23,0),FALSE)</f>
        <v>4</v>
      </c>
      <c r="I128" s="1" t="str">
        <f>MID(A128,1,1)</f>
        <v>צ</v>
      </c>
      <c r="J128" s="1" t="str">
        <f>MID(A128,2,1)</f>
        <v>ק</v>
      </c>
      <c r="K128" s="1" t="str">
        <f>MID(A128,4,1)</f>
        <v>ד</v>
      </c>
      <c r="L128" s="1">
        <f>VLOOKUP(I128,$U:$V,2,0)</f>
        <v>15</v>
      </c>
      <c r="M128" s="1">
        <f>VLOOKUP(J128,$X:$Y,2,0)</f>
        <v>8</v>
      </c>
      <c r="N128" s="1">
        <f>VLOOKUP(K128,$AA:$AB,2,0)</f>
        <v>14</v>
      </c>
      <c r="O128" s="1">
        <f>IF(A128&lt;&gt;"",N128+M128+L128+F128+G128+H128,0)</f>
        <v>46</v>
      </c>
    </row>
    <row r="129" spans="1:22" x14ac:dyDescent="0.25">
      <c r="A129" s="1" t="s">
        <v>617</v>
      </c>
      <c r="B129" s="1" t="s">
        <v>618</v>
      </c>
      <c r="C129" s="1" t="str">
        <f>MID(A129,1,2)</f>
        <v>צר</v>
      </c>
      <c r="D129" s="1" t="str">
        <f>MID(B129,3,2)</f>
        <v>רע</v>
      </c>
      <c r="E129" s="1" t="str">
        <f>CONCATENATE(I129,K129)</f>
        <v>צע</v>
      </c>
      <c r="F129" s="1">
        <f>VLOOKUP(I129,$U$23:$AL$40,MATCH(J129,$U$23:$AL$23,0),FALSE)</f>
        <v>4</v>
      </c>
      <c r="G129" s="1">
        <f>VLOOKUP(J129,$U$23:$AL$40,MATCH(K129,$U$23:$AL$23,0),FALSE)</f>
        <v>3</v>
      </c>
      <c r="H129" s="1">
        <f>VLOOKUP(I129,$U$23:$AL$40,MATCH(K129,$U$23:$AL$23,0),FALSE)</f>
        <v>4</v>
      </c>
      <c r="I129" s="1" t="str">
        <f>MID(A129,1,1)</f>
        <v>צ</v>
      </c>
      <c r="J129" s="1" t="str">
        <f>MID(A129,2,1)</f>
        <v>ר</v>
      </c>
      <c r="K129" s="1" t="str">
        <f>MID(A129,4,1)</f>
        <v>ע</v>
      </c>
      <c r="L129" s="1">
        <f>VLOOKUP(I129,$U:$V,2,0)</f>
        <v>15</v>
      </c>
      <c r="M129" s="1">
        <f>VLOOKUP(J129,$X:$Y,2,0)</f>
        <v>8</v>
      </c>
      <c r="N129" s="1">
        <f>VLOOKUP(K129,$AA:$AB,2,0)</f>
        <v>15</v>
      </c>
      <c r="O129" s="1">
        <f>IF(A129&lt;&gt;"",N129+M129+L129+F129+G129+H129,0)</f>
        <v>49</v>
      </c>
    </row>
    <row r="130" spans="1:22" x14ac:dyDescent="0.25">
      <c r="A130" t="s">
        <v>795</v>
      </c>
      <c r="B130" t="s">
        <v>796</v>
      </c>
      <c r="C130" s="1" t="str">
        <f>MID(A130,1,2)</f>
        <v>צת</v>
      </c>
      <c r="D130" s="1" t="str">
        <f>MID(B130,3,2)</f>
        <v>תד</v>
      </c>
      <c r="E130" s="1" t="str">
        <f>CONCATENATE(I130,K130)</f>
        <v>צד</v>
      </c>
      <c r="F130" s="1">
        <f>VLOOKUP(I130,$U$23:$AL$40,MATCH(J130,$U$23:$AL$23,0),FALSE)</f>
        <v>2</v>
      </c>
      <c r="G130" s="1">
        <f>VLOOKUP(J130,$U$23:$AL$40,MATCH(K130,$U$23:$AL$23,0),FALSE)</f>
        <v>1</v>
      </c>
      <c r="H130" s="1">
        <f>VLOOKUP(I130,$U$23:$AL$40,MATCH(K130,$U$23:$AL$23,0),FALSE)</f>
        <v>4</v>
      </c>
      <c r="I130" s="1" t="str">
        <f>MID(A130,1,1)</f>
        <v>צ</v>
      </c>
      <c r="J130" s="1" t="str">
        <f>MID(A130,2,1)</f>
        <v>ת</v>
      </c>
      <c r="K130" s="1" t="str">
        <f>MID(A130,4,1)</f>
        <v>ד</v>
      </c>
      <c r="L130" s="1">
        <f>VLOOKUP(I130,$U:$V,2,0)</f>
        <v>15</v>
      </c>
      <c r="M130" s="1">
        <f>VLOOKUP(J130,$X:$Y,2,0)</f>
        <v>12</v>
      </c>
      <c r="N130" s="1">
        <f>VLOOKUP(K130,$AA:$AB,2,0)</f>
        <v>14</v>
      </c>
      <c r="O130" s="1">
        <f>IF(A130&lt;&gt;"",N130+M130+L130+F130+G130+H130,0)</f>
        <v>48</v>
      </c>
    </row>
    <row r="131" spans="1:22" x14ac:dyDescent="0.25">
      <c r="A131" t="s">
        <v>567</v>
      </c>
      <c r="B131" t="s">
        <v>568</v>
      </c>
      <c r="C131" s="1" t="str">
        <f>MID(A131,1,2)</f>
        <v>צת</v>
      </c>
      <c r="D131" s="1" t="str">
        <f>MID(B131,3,2)</f>
        <v>תס</v>
      </c>
      <c r="E131" s="1" t="str">
        <f>CONCATENATE(I131,K131)</f>
        <v>צס</v>
      </c>
      <c r="F131" s="1">
        <f>VLOOKUP(I131,$U$23:$AL$40,MATCH(J131,$U$23:$AL$23,0),FALSE)</f>
        <v>2</v>
      </c>
      <c r="G131" s="1">
        <f>VLOOKUP(J131,$U$23:$AL$40,MATCH(K131,$U$23:$AL$23,0),FALSE)</f>
        <v>1</v>
      </c>
      <c r="H131" s="1">
        <f>VLOOKUP(I131,$U$23:$AL$40,MATCH(K131,$U$23:$AL$23,0),FALSE)</f>
        <v>4</v>
      </c>
      <c r="I131" s="1" t="str">
        <f>MID(A131,1,1)</f>
        <v>צ</v>
      </c>
      <c r="J131" s="1" t="str">
        <f>MID(A131,2,1)</f>
        <v>ת</v>
      </c>
      <c r="K131" s="1" t="str">
        <f>MID(A131,4,1)</f>
        <v>ס</v>
      </c>
      <c r="L131" s="1">
        <f>VLOOKUP(I131,$U:$V,2,0)</f>
        <v>15</v>
      </c>
      <c r="M131" s="1">
        <f>VLOOKUP(J131,$X:$Y,2,0)</f>
        <v>12</v>
      </c>
      <c r="N131" s="1">
        <f>VLOOKUP(K131,$AA:$AB,2,0)</f>
        <v>15</v>
      </c>
      <c r="O131" s="1">
        <f>IF(A131&lt;&gt;"",N131+M131+L131+F131+G131+H131,0)</f>
        <v>49</v>
      </c>
    </row>
    <row r="132" spans="1:22" x14ac:dyDescent="0.25">
      <c r="A132" s="1" t="s">
        <v>639</v>
      </c>
      <c r="B132" s="1" t="s">
        <v>640</v>
      </c>
      <c r="C132" s="1" t="str">
        <f>MID(A132,1,2)</f>
        <v>קג</v>
      </c>
      <c r="D132" s="1" t="str">
        <f>MID(B132,3,2)</f>
        <v>גט</v>
      </c>
      <c r="E132" s="1" t="str">
        <f>CONCATENATE(I132,K132)</f>
        <v>קט</v>
      </c>
      <c r="F132" s="1">
        <f>VLOOKUP(I132,$U$23:$AL$40,MATCH(J132,$U$23:$AL$23,0),FALSE)</f>
        <v>3</v>
      </c>
      <c r="G132" s="1">
        <f>VLOOKUP(J132,$U$23:$AL$40,MATCH(K132,$U$23:$AL$23,0),FALSE)</f>
        <v>4</v>
      </c>
      <c r="H132" s="1">
        <f>VLOOKUP(I132,$U$23:$AL$40,MATCH(K132,$U$23:$AL$23,0),FALSE)</f>
        <v>3</v>
      </c>
      <c r="I132" s="1" t="str">
        <f>MID(A132,1,1)</f>
        <v>ק</v>
      </c>
      <c r="J132" s="1" t="str">
        <f>MID(A132,2,1)</f>
        <v>ג</v>
      </c>
      <c r="K132" s="1" t="str">
        <f>MID(A132,4,1)</f>
        <v>ט</v>
      </c>
      <c r="L132" s="1">
        <f>VLOOKUP(I132,$U:$V,2,0)</f>
        <v>14</v>
      </c>
      <c r="M132" s="1">
        <f>VLOOKUP(J132,$X:$Y,2,0)</f>
        <v>8</v>
      </c>
      <c r="N132" s="1">
        <f>VLOOKUP(K132,$AA:$AB,2,0)</f>
        <v>14</v>
      </c>
      <c r="O132" s="1">
        <f>IF(A132&lt;&gt;"",N132+M132+L132+F132+G132+H132,0)</f>
        <v>46</v>
      </c>
    </row>
    <row r="133" spans="1:22" x14ac:dyDescent="0.25">
      <c r="A133" t="s">
        <v>577</v>
      </c>
      <c r="B133" t="s">
        <v>578</v>
      </c>
      <c r="C133" s="1" t="str">
        <f>MID(A133,1,2)</f>
        <v>קג</v>
      </c>
      <c r="D133" s="1" t="str">
        <f>MID(B133,3,2)</f>
        <v>גע</v>
      </c>
      <c r="E133" s="1" t="str">
        <f>CONCATENATE(I133,K133)</f>
        <v>קע</v>
      </c>
      <c r="F133" s="1">
        <f>VLOOKUP(I133,$U$23:$AL$40,MATCH(J133,$U$23:$AL$23,0),FALSE)</f>
        <v>3</v>
      </c>
      <c r="G133" s="1">
        <f>VLOOKUP(J133,$U$23:$AL$40,MATCH(K133,$U$23:$AL$23,0),FALSE)</f>
        <v>3</v>
      </c>
      <c r="H133" s="1">
        <f>VLOOKUP(I133,$U$23:$AL$40,MATCH(K133,$U$23:$AL$23,0),FALSE)</f>
        <v>3</v>
      </c>
      <c r="I133" s="1" t="str">
        <f>MID(A133,1,1)</f>
        <v>ק</v>
      </c>
      <c r="J133" s="1" t="str">
        <f>MID(A133,2,1)</f>
        <v>ג</v>
      </c>
      <c r="K133" s="1" t="str">
        <f>MID(A133,4,1)</f>
        <v>ע</v>
      </c>
      <c r="L133" s="1">
        <f>VLOOKUP(I133,$U:$V,2,0)</f>
        <v>14</v>
      </c>
      <c r="M133" s="1">
        <f>VLOOKUP(J133,$X:$Y,2,0)</f>
        <v>8</v>
      </c>
      <c r="N133" s="1">
        <f>VLOOKUP(K133,$AA:$AB,2,0)</f>
        <v>15</v>
      </c>
      <c r="O133" s="1">
        <f>IF(A133&lt;&gt;"",N133+M133+L133+F133+G133+H133,0)</f>
        <v>46</v>
      </c>
    </row>
    <row r="134" spans="1:22" x14ac:dyDescent="0.25">
      <c r="A134" s="1" t="s">
        <v>677</v>
      </c>
      <c r="B134" s="1" t="s">
        <v>678</v>
      </c>
      <c r="C134" s="1" t="str">
        <f>MID(A134,1,2)</f>
        <v>קד</v>
      </c>
      <c r="D134" s="1" t="str">
        <f>MID(B134,3,2)</f>
        <v>דח</v>
      </c>
      <c r="E134" s="1" t="str">
        <f>CONCATENATE(I134,K134)</f>
        <v>קח</v>
      </c>
      <c r="F134" s="1">
        <f>VLOOKUP(I134,$U$23:$AL$40,MATCH(J134,$U$23:$AL$23,0),FALSE)</f>
        <v>3</v>
      </c>
      <c r="G134" s="1">
        <f>VLOOKUP(J134,$U$23:$AL$40,MATCH(K134,$U$23:$AL$23,0),FALSE)</f>
        <v>3</v>
      </c>
      <c r="H134" s="1">
        <f>VLOOKUP(I134,$U$23:$AL$40,MATCH(K134,$U$23:$AL$23,0),FALSE)</f>
        <v>3</v>
      </c>
      <c r="I134" s="1" t="str">
        <f>MID(A134,1,1)</f>
        <v>ק</v>
      </c>
      <c r="J134" s="1" t="str">
        <f>MID(A134,2,1)</f>
        <v>ד</v>
      </c>
      <c r="K134" s="1" t="str">
        <f>MID(A134,4,1)</f>
        <v>ח</v>
      </c>
      <c r="L134" s="1">
        <f>VLOOKUP(I134,$U:$V,2,0)</f>
        <v>14</v>
      </c>
      <c r="M134" s="1">
        <f>VLOOKUP(J134,$X:$Y,2,0)</f>
        <v>9</v>
      </c>
      <c r="N134" s="1">
        <f>VLOOKUP(K134,$AA:$AB,2,0)</f>
        <v>14</v>
      </c>
      <c r="O134" s="1">
        <f>IF(A134&lt;&gt;"",N134+M134+L134+F134+G134+H134,0)</f>
        <v>46</v>
      </c>
    </row>
    <row r="135" spans="1:22" x14ac:dyDescent="0.25">
      <c r="A135" t="s">
        <v>799</v>
      </c>
      <c r="B135" t="s">
        <v>800</v>
      </c>
      <c r="C135" s="1" t="str">
        <f>MID(A135,1,2)</f>
        <v>קז</v>
      </c>
      <c r="D135" s="1" t="str">
        <f>MID(B135,3,2)</f>
        <v>זש</v>
      </c>
      <c r="E135" s="1" t="str">
        <f>CONCATENATE(I135,K135)</f>
        <v>קש</v>
      </c>
      <c r="F135" s="1">
        <f>VLOOKUP(I135,$U$23:$AL$40,MATCH(J135,$U$23:$AL$23,0),FALSE)</f>
        <v>3</v>
      </c>
      <c r="G135" s="1">
        <f>VLOOKUP(J135,$U$23:$AL$40,MATCH(K135,$U$23:$AL$23,0),FALSE)</f>
        <v>3</v>
      </c>
      <c r="H135" s="1">
        <f>VLOOKUP(I135,$U$23:$AL$40,MATCH(K135,$U$23:$AL$23,0),FALSE)</f>
        <v>3</v>
      </c>
      <c r="I135" s="1" t="str">
        <f>MID(A135,1,1)</f>
        <v>ק</v>
      </c>
      <c r="J135" s="1" t="str">
        <f>MID(A135,2,1)</f>
        <v>ז</v>
      </c>
      <c r="K135" s="1" t="str">
        <f>MID(A135,4,1)</f>
        <v>ש</v>
      </c>
      <c r="L135" s="1">
        <f>VLOOKUP(I135,$U:$V,2,0)</f>
        <v>14</v>
      </c>
      <c r="M135" s="1">
        <f>VLOOKUP(J135,$X:$Y,2,0)</f>
        <v>7</v>
      </c>
      <c r="N135" s="1">
        <f>VLOOKUP(K135,$AA:$AB,2,0)</f>
        <v>15</v>
      </c>
      <c r="O135" s="1">
        <f>IF(A135&lt;&gt;"",N135+M135+L135+F135+G135+H135,0)</f>
        <v>45</v>
      </c>
    </row>
    <row r="136" spans="1:22" x14ac:dyDescent="0.25">
      <c r="A136" t="s">
        <v>603</v>
      </c>
      <c r="B136" t="s">
        <v>604</v>
      </c>
      <c r="C136" s="1" t="str">
        <f>MID(A136,1,2)</f>
        <v>קט</v>
      </c>
      <c r="D136" s="1" t="str">
        <f>MID(B136,3,2)</f>
        <v>טח</v>
      </c>
      <c r="E136" s="1" t="str">
        <f>CONCATENATE(I136,K136)</f>
        <v>קח</v>
      </c>
      <c r="F136" s="1">
        <f>VLOOKUP(I136,$U$23:$AL$40,MATCH(J136,$U$23:$AL$23,0),FALSE)</f>
        <v>3</v>
      </c>
      <c r="G136" s="1">
        <f>VLOOKUP(J136,$U$23:$AL$40,MATCH(K136,$U$23:$AL$23,0),FALSE)</f>
        <v>3</v>
      </c>
      <c r="H136" s="1">
        <f>VLOOKUP(I136,$U$23:$AL$40,MATCH(K136,$U$23:$AL$23,0),FALSE)</f>
        <v>3</v>
      </c>
      <c r="I136" s="1" t="str">
        <f>MID(A136,1,1)</f>
        <v>ק</v>
      </c>
      <c r="J136" s="1" t="str">
        <f>MID(A136,2,1)</f>
        <v>ט</v>
      </c>
      <c r="K136" s="1" t="str">
        <f>MID(A136,4,1)</f>
        <v>ח</v>
      </c>
      <c r="L136" s="1">
        <f>VLOOKUP(I136,$U:$V,2,0)</f>
        <v>14</v>
      </c>
      <c r="M136" s="1">
        <f>VLOOKUP(J136,$X:$Y,2,0)</f>
        <v>8</v>
      </c>
      <c r="N136" s="1">
        <f>VLOOKUP(K136,$AA:$AB,2,0)</f>
        <v>14</v>
      </c>
      <c r="O136" s="1">
        <f>IF(A136&lt;&gt;"",N136+M136+L136+F136+G136+H136,0)</f>
        <v>45</v>
      </c>
    </row>
    <row r="137" spans="1:22" x14ac:dyDescent="0.25">
      <c r="A137" t="s">
        <v>623</v>
      </c>
      <c r="B137" t="s">
        <v>624</v>
      </c>
      <c r="C137" s="1" t="str">
        <f>MID(A137,1,2)</f>
        <v>קכ</v>
      </c>
      <c r="D137" s="1" t="str">
        <f>MID(B137,3,2)</f>
        <v>כד</v>
      </c>
      <c r="E137" s="1" t="str">
        <f>CONCATENATE(I137,K137)</f>
        <v>קד</v>
      </c>
      <c r="F137" s="1">
        <f>VLOOKUP(I137,$U$23:$AL$40,MATCH(J137,$U$23:$AL$23,0),FALSE)</f>
        <v>1</v>
      </c>
      <c r="G137" s="1">
        <f>VLOOKUP(J137,$U$23:$AL$40,MATCH(K137,$U$23:$AL$23,0),FALSE)</f>
        <v>2</v>
      </c>
      <c r="H137" s="1">
        <f>VLOOKUP(I137,$U$23:$AL$40,MATCH(K137,$U$23:$AL$23,0),FALSE)</f>
        <v>3</v>
      </c>
      <c r="I137" s="1" t="str">
        <f>MID(A137,1,1)</f>
        <v>ק</v>
      </c>
      <c r="J137" s="1" t="str">
        <f>MID(A137,2,1)</f>
        <v>כ</v>
      </c>
      <c r="K137" s="1" t="str">
        <f>MID(A137,4,1)</f>
        <v>ד</v>
      </c>
      <c r="L137" s="1">
        <f>VLOOKUP(I137,$U:$V,2,0)</f>
        <v>14</v>
      </c>
      <c r="M137" s="1">
        <f>VLOOKUP(J137,$X:$Y,2,0)</f>
        <v>11</v>
      </c>
      <c r="N137" s="1">
        <f>VLOOKUP(K137,$AA:$AB,2,0)</f>
        <v>14</v>
      </c>
      <c r="O137" s="1">
        <f>IF(A137&lt;&gt;"",N137+M137+L137+F137+G137+H137,0)</f>
        <v>45</v>
      </c>
      <c r="V137"/>
    </row>
    <row r="138" spans="1:22" x14ac:dyDescent="0.25">
      <c r="A138" t="s">
        <v>831</v>
      </c>
      <c r="B138" t="s">
        <v>832</v>
      </c>
      <c r="C138" s="1" t="str">
        <f>MID(A138,1,2)</f>
        <v>קמ</v>
      </c>
      <c r="D138" s="1" t="str">
        <f>MID(B138,3,2)</f>
        <v>מז</v>
      </c>
      <c r="E138" s="1" t="str">
        <f>CONCATENATE(I138,K138)</f>
        <v>קז</v>
      </c>
      <c r="F138" s="1">
        <f>VLOOKUP(I138,$U$23:$AL$40,MATCH(J138,$U$23:$AL$23,0),FALSE)</f>
        <v>1</v>
      </c>
      <c r="G138" s="1">
        <f>VLOOKUP(J138,$U$23:$AL$40,MATCH(K138,$U$23:$AL$23,0),FALSE)</f>
        <v>1</v>
      </c>
      <c r="H138" s="1">
        <f>VLOOKUP(I138,$U$23:$AL$40,MATCH(K138,$U$23:$AL$23,0),FALSE)</f>
        <v>3</v>
      </c>
      <c r="I138" s="1" t="str">
        <f>MID(A138,1,1)</f>
        <v>ק</v>
      </c>
      <c r="J138" s="1" t="str">
        <f>MID(A138,2,1)</f>
        <v>מ</v>
      </c>
      <c r="K138" s="1" t="str">
        <f>MID(A138,4,1)</f>
        <v>ז</v>
      </c>
      <c r="L138" s="1">
        <f>VLOOKUP(I138,$U:$V,2,0)</f>
        <v>14</v>
      </c>
      <c r="M138" s="1">
        <f>VLOOKUP(J138,$X:$Y,2,0)</f>
        <v>12</v>
      </c>
      <c r="N138" s="1">
        <f>VLOOKUP(K138,$AA:$AB,2,0)</f>
        <v>15</v>
      </c>
      <c r="O138" s="1">
        <f>IF(A138&lt;&gt;"",N138+M138+L138+F138+G138+H138,0)</f>
        <v>46</v>
      </c>
      <c r="V138"/>
    </row>
    <row r="139" spans="1:22" x14ac:dyDescent="0.25">
      <c r="A139" s="1" t="s">
        <v>587</v>
      </c>
      <c r="B139" s="1" t="s">
        <v>588</v>
      </c>
      <c r="C139" s="1" t="str">
        <f>MID(A139,1,2)</f>
        <v>קס</v>
      </c>
      <c r="D139" s="1" t="str">
        <f>MID(B139,3,2)</f>
        <v>סז</v>
      </c>
      <c r="E139" s="1" t="str">
        <f>CONCATENATE(I139,K139)</f>
        <v>קז</v>
      </c>
      <c r="F139" s="1">
        <f>VLOOKUP(I139,$U$23:$AL$40,MATCH(J139,$U$23:$AL$23,0),FALSE)</f>
        <v>3</v>
      </c>
      <c r="G139" s="1">
        <f>VLOOKUP(J139,$U$23:$AL$40,MATCH(K139,$U$23:$AL$23,0),FALSE)</f>
        <v>3</v>
      </c>
      <c r="H139" s="1">
        <f>VLOOKUP(I139,$U$23:$AL$40,MATCH(K139,$U$23:$AL$23,0),FALSE)</f>
        <v>3</v>
      </c>
      <c r="I139" s="1" t="str">
        <f>MID(A139,1,1)</f>
        <v>ק</v>
      </c>
      <c r="J139" s="1" t="str">
        <f>MID(A139,2,1)</f>
        <v>ס</v>
      </c>
      <c r="K139" s="1" t="str">
        <f>MID(A139,4,1)</f>
        <v>ז</v>
      </c>
      <c r="L139" s="1">
        <f>VLOOKUP(I139,$U:$V,2,0)</f>
        <v>14</v>
      </c>
      <c r="M139" s="1">
        <f>VLOOKUP(J139,$X:$Y,2,0)</f>
        <v>9</v>
      </c>
      <c r="N139" s="1">
        <f>VLOOKUP(K139,$AA:$AB,2,0)</f>
        <v>15</v>
      </c>
      <c r="O139" s="1">
        <f>IF(A139&lt;&gt;"",N139+M139+L139+F139+G139+H139,0)</f>
        <v>47</v>
      </c>
      <c r="V139"/>
    </row>
    <row r="140" spans="1:22" x14ac:dyDescent="0.25">
      <c r="A140" s="1" t="s">
        <v>548</v>
      </c>
      <c r="B140" s="1" t="s">
        <v>549</v>
      </c>
      <c r="C140" s="1" t="str">
        <f>MID(A140,1,2)</f>
        <v>קפ</v>
      </c>
      <c r="D140" s="1" t="str">
        <f>MID(B140,3,2)</f>
        <v>פל</v>
      </c>
      <c r="E140" s="1" t="str">
        <f>CONCATENATE(I140,K140)</f>
        <v>קל</v>
      </c>
      <c r="F140" s="1">
        <f>VLOOKUP(I140,$U$23:$AL$40,MATCH(J140,$U$23:$AL$23,0),FALSE)</f>
        <v>2</v>
      </c>
      <c r="G140" s="1">
        <f>VLOOKUP(J140,$U$23:$AL$40,MATCH(K140,$U$23:$AL$23,0),FALSE)</f>
        <v>3</v>
      </c>
      <c r="H140" s="1">
        <f>VLOOKUP(I140,$U$23:$AL$40,MATCH(K140,$U$23:$AL$23,0),FALSE)</f>
        <v>2</v>
      </c>
      <c r="I140" s="1" t="str">
        <f>MID(A140,1,1)</f>
        <v>ק</v>
      </c>
      <c r="J140" s="1" t="str">
        <f>MID(A140,2,1)</f>
        <v>פ</v>
      </c>
      <c r="K140" s="1" t="str">
        <f>MID(A140,4,1)</f>
        <v>ל</v>
      </c>
      <c r="L140" s="1">
        <f>VLOOKUP(I140,$U:$V,2,0)</f>
        <v>14</v>
      </c>
      <c r="M140" s="1">
        <f>VLOOKUP(J140,$X:$Y,2,0)</f>
        <v>10</v>
      </c>
      <c r="N140" s="1">
        <f>VLOOKUP(K140,$AA:$AB,2,0)</f>
        <v>14</v>
      </c>
      <c r="O140" s="1">
        <f>IF(A140&lt;&gt;"",N140+M140+L140+F140+G140+H140,0)</f>
        <v>45</v>
      </c>
      <c r="V140"/>
    </row>
    <row r="141" spans="1:22" x14ac:dyDescent="0.25">
      <c r="A141" t="s">
        <v>655</v>
      </c>
      <c r="B141" t="s">
        <v>656</v>
      </c>
      <c r="C141" s="1" t="str">
        <f>MID(A141,1,2)</f>
        <v>קפ</v>
      </c>
      <c r="D141" s="1" t="str">
        <f>MID(B141,3,2)</f>
        <v>פע</v>
      </c>
      <c r="E141" s="1" t="str">
        <f>CONCATENATE(I141,K141)</f>
        <v>קע</v>
      </c>
      <c r="F141" s="1">
        <f>VLOOKUP(I141,$U$23:$AL$40,MATCH(J141,$U$23:$AL$23,0),FALSE)</f>
        <v>2</v>
      </c>
      <c r="G141" s="1">
        <f>VLOOKUP(J141,$U$23:$AL$40,MATCH(K141,$U$23:$AL$23,0),FALSE)</f>
        <v>3</v>
      </c>
      <c r="H141" s="1">
        <f>VLOOKUP(I141,$U$23:$AL$40,MATCH(K141,$U$23:$AL$23,0),FALSE)</f>
        <v>3</v>
      </c>
      <c r="I141" s="1" t="str">
        <f>MID(A141,1,1)</f>
        <v>ק</v>
      </c>
      <c r="J141" s="1" t="str">
        <f>MID(A141,2,1)</f>
        <v>פ</v>
      </c>
      <c r="K141" s="1" t="str">
        <f>MID(A141,4,1)</f>
        <v>ע</v>
      </c>
      <c r="L141" s="1">
        <f>VLOOKUP(I141,$U:$V,2,0)</f>
        <v>14</v>
      </c>
      <c r="M141" s="1">
        <f>VLOOKUP(J141,$X:$Y,2,0)</f>
        <v>10</v>
      </c>
      <c r="N141" s="1">
        <f>VLOOKUP(K141,$AA:$AB,2,0)</f>
        <v>15</v>
      </c>
      <c r="O141" s="1">
        <f>IF(A141&lt;&gt;"",N141+M141+L141+F141+G141+H141,0)</f>
        <v>47</v>
      </c>
      <c r="V141"/>
    </row>
    <row r="142" spans="1:22" x14ac:dyDescent="0.25">
      <c r="A142" s="1" t="s">
        <v>529</v>
      </c>
      <c r="B142" s="1" t="s">
        <v>525</v>
      </c>
      <c r="C142" s="1" t="str">
        <f>MID(A142,1,2)</f>
        <v>קצ</v>
      </c>
      <c r="D142" s="1" t="str">
        <f>MID(B142,3,2)</f>
        <v>צס</v>
      </c>
      <c r="E142" s="1" t="str">
        <f>CONCATENATE(I142,K142)</f>
        <v>קס</v>
      </c>
      <c r="F142" s="1">
        <f>VLOOKUP(I142,$U$23:$AL$40,MATCH(J142,$U$23:$AL$23,0),FALSE)</f>
        <v>1</v>
      </c>
      <c r="G142" s="1">
        <f>VLOOKUP(J142,$U$23:$AL$40,MATCH(K142,$U$23:$AL$23,0),FALSE)</f>
        <v>4</v>
      </c>
      <c r="H142" s="1">
        <f>VLOOKUP(I142,$U$23:$AL$40,MATCH(K142,$U$23:$AL$23,0),FALSE)</f>
        <v>3</v>
      </c>
      <c r="I142" s="1" t="str">
        <f>MID(A142,1,1)</f>
        <v>ק</v>
      </c>
      <c r="J142" s="1" t="str">
        <f>MID(A142,2,1)</f>
        <v>צ</v>
      </c>
      <c r="K142" s="1" t="str">
        <f>MID(A142,4,1)</f>
        <v>ס</v>
      </c>
      <c r="L142" s="1">
        <f>VLOOKUP(I142,$U:$V,2,0)</f>
        <v>14</v>
      </c>
      <c r="M142" s="1">
        <f>VLOOKUP(J142,$X:$Y,2,0)</f>
        <v>10</v>
      </c>
      <c r="N142" s="1">
        <f>VLOOKUP(K142,$AA:$AB,2,0)</f>
        <v>15</v>
      </c>
      <c r="O142" s="1">
        <f>IF(A142&lt;&gt;"",N142+M142+L142+F142+G142+H142,0)</f>
        <v>47</v>
      </c>
      <c r="V142"/>
    </row>
    <row r="143" spans="1:22" x14ac:dyDescent="0.25">
      <c r="A143" t="s">
        <v>595</v>
      </c>
      <c r="B143" t="s">
        <v>596</v>
      </c>
      <c r="C143" s="1" t="str">
        <f>MID(A143,1,2)</f>
        <v>קש</v>
      </c>
      <c r="D143" s="1" t="str">
        <f>MID(B143,3,2)</f>
        <v>שס</v>
      </c>
      <c r="E143" s="1" t="str">
        <f>CONCATENATE(I143,K143)</f>
        <v>קס</v>
      </c>
      <c r="F143" s="1">
        <f>VLOOKUP(I143,$U$23:$AL$40,MATCH(J143,$U$23:$AL$23,0),FALSE)</f>
        <v>3</v>
      </c>
      <c r="G143" s="1">
        <f>VLOOKUP(J143,$U$23:$AL$40,MATCH(K143,$U$23:$AL$23,0),FALSE)</f>
        <v>1</v>
      </c>
      <c r="H143" s="1">
        <f>VLOOKUP(I143,$U$23:$AL$40,MATCH(K143,$U$23:$AL$23,0),FALSE)</f>
        <v>3</v>
      </c>
      <c r="I143" s="1" t="str">
        <f>MID(A143,1,1)</f>
        <v>ק</v>
      </c>
      <c r="J143" s="1" t="str">
        <f>MID(A143,2,1)</f>
        <v>ש</v>
      </c>
      <c r="K143" s="1" t="str">
        <f>MID(A143,4,1)</f>
        <v>ס</v>
      </c>
      <c r="L143" s="1">
        <f>VLOOKUP(I143,$U:$V,2,0)</f>
        <v>14</v>
      </c>
      <c r="M143" s="1">
        <f>VLOOKUP(J143,$X:$Y,2,0)</f>
        <v>9</v>
      </c>
      <c r="N143" s="1">
        <f>VLOOKUP(K143,$AA:$AB,2,0)</f>
        <v>15</v>
      </c>
      <c r="O143" s="1">
        <f>IF(A143&lt;&gt;"",N143+M143+L143+F143+G143+H143,0)</f>
        <v>45</v>
      </c>
      <c r="V143"/>
    </row>
    <row r="144" spans="1:22" x14ac:dyDescent="0.25">
      <c r="A144" s="1" t="s">
        <v>733</v>
      </c>
      <c r="B144" s="1" t="s">
        <v>734</v>
      </c>
      <c r="C144" s="1" t="str">
        <f>MID(A144,1,2)</f>
        <v>קת</v>
      </c>
      <c r="D144" s="1" t="str">
        <f>MID(B144,3,2)</f>
        <v>תר</v>
      </c>
      <c r="E144" s="1" t="str">
        <f>CONCATENATE(I144,K144)</f>
        <v>קר</v>
      </c>
      <c r="F144" s="1">
        <f>VLOOKUP(I144,$U$23:$AL$40,MATCH(J144,$U$23:$AL$23,0),FALSE)</f>
        <v>2</v>
      </c>
      <c r="G144" s="1">
        <f>VLOOKUP(J144,$U$23:$AL$40,MATCH(K144,$U$23:$AL$23,0),FALSE)</f>
        <v>2</v>
      </c>
      <c r="H144" s="1">
        <f>VLOOKUP(I144,$U$23:$AL$40,MATCH(K144,$U$23:$AL$23,0),FALSE)</f>
        <v>3</v>
      </c>
      <c r="I144" s="1" t="str">
        <f>MID(A144,1,1)</f>
        <v>ק</v>
      </c>
      <c r="J144" s="1" t="str">
        <f>MID(A144,2,1)</f>
        <v>ת</v>
      </c>
      <c r="K144" s="1" t="str">
        <f>MID(A144,4,1)</f>
        <v>ר</v>
      </c>
      <c r="L144" s="1">
        <f>VLOOKUP(I144,$U:$V,2,0)</f>
        <v>14</v>
      </c>
      <c r="M144" s="1">
        <f>VLOOKUP(J144,$X:$Y,2,0)</f>
        <v>12</v>
      </c>
      <c r="N144" s="1">
        <f>VLOOKUP(K144,$AA:$AB,2,0)</f>
        <v>14</v>
      </c>
      <c r="O144" s="1">
        <f>IF(A144&lt;&gt;"",N144+M144+L144+F144+G144+H144,0)</f>
        <v>47</v>
      </c>
      <c r="V144"/>
    </row>
    <row r="145" spans="1:22" x14ac:dyDescent="0.25">
      <c r="A145" s="1" t="s">
        <v>649</v>
      </c>
      <c r="B145" s="1" t="s">
        <v>650</v>
      </c>
      <c r="C145" s="1" t="str">
        <f>MID(A145,1,2)</f>
        <v>קת</v>
      </c>
      <c r="D145" s="1" t="str">
        <f>MID(B145,3,2)</f>
        <v>תש</v>
      </c>
      <c r="E145" s="1" t="str">
        <f>CONCATENATE(I145,K145)</f>
        <v>קש</v>
      </c>
      <c r="F145" s="1">
        <f>VLOOKUP(I145,$U$23:$AL$40,MATCH(J145,$U$23:$AL$23,0),FALSE)</f>
        <v>2</v>
      </c>
      <c r="G145" s="1">
        <f>VLOOKUP(J145,$U$23:$AL$40,MATCH(K145,$U$23:$AL$23,0),FALSE)</f>
        <v>1</v>
      </c>
      <c r="H145" s="1">
        <f>VLOOKUP(I145,$U$23:$AL$40,MATCH(K145,$U$23:$AL$23,0),FALSE)</f>
        <v>3</v>
      </c>
      <c r="I145" s="1" t="str">
        <f>MID(A145,1,1)</f>
        <v>ק</v>
      </c>
      <c r="J145" s="1" t="str">
        <f>MID(A145,2,1)</f>
        <v>ת</v>
      </c>
      <c r="K145" s="1" t="str">
        <f>MID(A145,4,1)</f>
        <v>ש</v>
      </c>
      <c r="L145" s="1">
        <f>VLOOKUP(I145,$U:$V,2,0)</f>
        <v>14</v>
      </c>
      <c r="M145" s="1">
        <f>VLOOKUP(J145,$X:$Y,2,0)</f>
        <v>12</v>
      </c>
      <c r="N145" s="1">
        <f>VLOOKUP(K145,$AA:$AB,2,0)</f>
        <v>15</v>
      </c>
      <c r="O145" s="1">
        <f>IF(A145&lt;&gt;"",N145+M145+L145+F145+G145+H145,0)</f>
        <v>47</v>
      </c>
      <c r="V145"/>
    </row>
    <row r="146" spans="1:22" x14ac:dyDescent="0.25">
      <c r="A146" t="s">
        <v>765</v>
      </c>
      <c r="B146" t="s">
        <v>766</v>
      </c>
      <c r="C146" s="1" t="str">
        <f>MID(A146,1,2)</f>
        <v>רד</v>
      </c>
      <c r="D146" s="1" t="str">
        <f>MID(B146,3,2)</f>
        <v>דק</v>
      </c>
      <c r="E146" s="1" t="str">
        <f>CONCATENATE(I146,K146)</f>
        <v>רק</v>
      </c>
      <c r="F146" s="1">
        <f>VLOOKUP(I146,$U$23:$AL$40,MATCH(J146,$U$23:$AL$23,0),FALSE)</f>
        <v>2</v>
      </c>
      <c r="G146" s="1">
        <f>VLOOKUP(J146,$U$23:$AL$40,MATCH(K146,$U$23:$AL$23,0),FALSE)</f>
        <v>4</v>
      </c>
      <c r="H146" s="1">
        <f>VLOOKUP(I146,$U$23:$AL$40,MATCH(K146,$U$23:$AL$23,0),FALSE)</f>
        <v>3</v>
      </c>
      <c r="I146" s="1" t="str">
        <f>MID(A146,1,1)</f>
        <v>ר</v>
      </c>
      <c r="J146" s="1" t="str">
        <f>MID(A146,2,1)</f>
        <v>ד</v>
      </c>
      <c r="K146" s="1" t="str">
        <f>MID(A146,4,1)</f>
        <v>ק</v>
      </c>
      <c r="L146" s="1">
        <f>VLOOKUP(I146,$U:$V,2,0)</f>
        <v>15</v>
      </c>
      <c r="M146" s="1">
        <f>VLOOKUP(J146,$X:$Y,2,0)</f>
        <v>9</v>
      </c>
      <c r="N146" s="1">
        <f>VLOOKUP(K146,$AA:$AB,2,0)</f>
        <v>15</v>
      </c>
      <c r="O146" s="1">
        <f>IF(A146&lt;&gt;"",N146+M146+L146+F146+G146+H146,0)</f>
        <v>48</v>
      </c>
      <c r="V146"/>
    </row>
    <row r="147" spans="1:22" x14ac:dyDescent="0.25">
      <c r="A147" t="s">
        <v>797</v>
      </c>
      <c r="B147" t="s">
        <v>798</v>
      </c>
      <c r="C147" s="1" t="str">
        <f>MID(A147,1,2)</f>
        <v>רח</v>
      </c>
      <c r="D147" s="1" t="str">
        <f>MID(B147,3,2)</f>
        <v>חג</v>
      </c>
      <c r="E147" s="1" t="str">
        <f>CONCATENATE(I147,K147)</f>
        <v>רג</v>
      </c>
      <c r="F147" s="1">
        <f>VLOOKUP(I147,$U$23:$AL$40,MATCH(J147,$U$23:$AL$23,0),FALSE)</f>
        <v>3</v>
      </c>
      <c r="G147" s="1">
        <f>VLOOKUP(J147,$U$23:$AL$40,MATCH(K147,$U$23:$AL$23,0),FALSE)</f>
        <v>3</v>
      </c>
      <c r="H147" s="1">
        <f>VLOOKUP(I147,$U$23:$AL$40,MATCH(K147,$U$23:$AL$23,0),FALSE)</f>
        <v>4</v>
      </c>
      <c r="I147" s="1" t="str">
        <f>MID(A147,1,1)</f>
        <v>ר</v>
      </c>
      <c r="J147" s="1" t="str">
        <f>MID(A147,2,1)</f>
        <v>ח</v>
      </c>
      <c r="K147" s="1" t="str">
        <f>MID(A147,4,1)</f>
        <v>ג</v>
      </c>
      <c r="L147" s="1">
        <f>VLOOKUP(I147,$U:$V,2,0)</f>
        <v>15</v>
      </c>
      <c r="M147" s="1">
        <f>VLOOKUP(J147,$X:$Y,2,0)</f>
        <v>9</v>
      </c>
      <c r="N147" s="1">
        <f>VLOOKUP(K147,$AA:$AB,2,0)</f>
        <v>15</v>
      </c>
      <c r="O147" s="1">
        <f>IF(A147&lt;&gt;"",N147+M147+L147+F147+G147+H147,0)</f>
        <v>49</v>
      </c>
      <c r="V147"/>
    </row>
    <row r="148" spans="1:22" x14ac:dyDescent="0.25">
      <c r="A148" s="1" t="s">
        <v>701</v>
      </c>
      <c r="B148" s="1" t="s">
        <v>702</v>
      </c>
      <c r="C148" s="1" t="str">
        <f>MID(A148,1,2)</f>
        <v>רט</v>
      </c>
      <c r="D148" s="1" t="str">
        <f>MID(B148,3,2)</f>
        <v>טג</v>
      </c>
      <c r="E148" s="1" t="str">
        <f>CONCATENATE(I148,K148)</f>
        <v>רג</v>
      </c>
      <c r="F148" s="1">
        <f>VLOOKUP(I148,$U$23:$AL$40,MATCH(J148,$U$23:$AL$23,0),FALSE)</f>
        <v>3</v>
      </c>
      <c r="G148" s="1">
        <f>VLOOKUP(J148,$U$23:$AL$40,MATCH(K148,$U$23:$AL$23,0),FALSE)</f>
        <v>4</v>
      </c>
      <c r="H148" s="1">
        <f>VLOOKUP(I148,$U$23:$AL$40,MATCH(K148,$U$23:$AL$23,0),FALSE)</f>
        <v>4</v>
      </c>
      <c r="I148" s="1" t="str">
        <f>MID(A148,1,1)</f>
        <v>ר</v>
      </c>
      <c r="J148" s="1" t="str">
        <f>MID(A148,2,1)</f>
        <v>ט</v>
      </c>
      <c r="K148" s="1" t="str">
        <f>MID(A148,4,1)</f>
        <v>ג</v>
      </c>
      <c r="L148" s="1">
        <f>VLOOKUP(I148,$U:$V,2,0)</f>
        <v>15</v>
      </c>
      <c r="M148" s="1">
        <f>VLOOKUP(J148,$X:$Y,2,0)</f>
        <v>8</v>
      </c>
      <c r="N148" s="1">
        <f>VLOOKUP(K148,$AA:$AB,2,0)</f>
        <v>15</v>
      </c>
      <c r="O148" s="1">
        <f>IF(A148&lt;&gt;"",N148+M148+L148+F148+G148+H148,0)</f>
        <v>49</v>
      </c>
      <c r="V148"/>
    </row>
    <row r="149" spans="1:22" x14ac:dyDescent="0.25">
      <c r="A149" s="1" t="s">
        <v>581</v>
      </c>
      <c r="B149" s="1" t="s">
        <v>582</v>
      </c>
      <c r="C149" s="1" t="str">
        <f>MID(A149,1,2)</f>
        <v>רט</v>
      </c>
      <c r="D149" s="1" t="str">
        <f>MID(B149,3,2)</f>
        <v>טס</v>
      </c>
      <c r="E149" s="1" t="str">
        <f>CONCATENATE(I149,K149)</f>
        <v>רס</v>
      </c>
      <c r="F149" s="1">
        <f>VLOOKUP(I149,$U$23:$AL$40,MATCH(J149,$U$23:$AL$23,0),FALSE)</f>
        <v>3</v>
      </c>
      <c r="G149" s="1">
        <f>VLOOKUP(J149,$U$23:$AL$40,MATCH(K149,$U$23:$AL$23,0),FALSE)</f>
        <v>4</v>
      </c>
      <c r="H149" s="1">
        <f>VLOOKUP(I149,$U$23:$AL$40,MATCH(K149,$U$23:$AL$23,0),FALSE)</f>
        <v>4</v>
      </c>
      <c r="I149" s="1" t="str">
        <f>MID(A149,1,1)</f>
        <v>ר</v>
      </c>
      <c r="J149" s="1" t="str">
        <f>MID(A149,2,1)</f>
        <v>ט</v>
      </c>
      <c r="K149" s="1" t="str">
        <f>MID(A149,4,1)</f>
        <v>ס</v>
      </c>
      <c r="L149" s="1">
        <f>VLOOKUP(I149,$U:$V,2,0)</f>
        <v>15</v>
      </c>
      <c r="M149" s="1">
        <f>VLOOKUP(J149,$X:$Y,2,0)</f>
        <v>8</v>
      </c>
      <c r="N149" s="1">
        <f>VLOOKUP(K149,$AA:$AB,2,0)</f>
        <v>15</v>
      </c>
      <c r="O149" s="1">
        <f>IF(A149&lt;&gt;"",N149+M149+L149+F149+G149+H149,0)</f>
        <v>49</v>
      </c>
      <c r="V149"/>
    </row>
    <row r="150" spans="1:22" x14ac:dyDescent="0.25">
      <c r="A150" t="s">
        <v>837</v>
      </c>
      <c r="B150" t="s">
        <v>838</v>
      </c>
      <c r="C150" s="1" t="str">
        <f>MID(A150,1,2)</f>
        <v>רכ</v>
      </c>
      <c r="D150" s="1" t="str">
        <f>MID(B150,3,2)</f>
        <v>כל</v>
      </c>
      <c r="E150" s="1" t="str">
        <f>CONCATENATE(I150,K150)</f>
        <v>רל</v>
      </c>
      <c r="F150" s="1">
        <f>VLOOKUP(I150,$U$23:$AL$40,MATCH(J150,$U$23:$AL$23,0),FALSE)</f>
        <v>2</v>
      </c>
      <c r="G150" s="1">
        <f>VLOOKUP(J150,$U$23:$AL$40,MATCH(K150,$U$23:$AL$23,0),FALSE)</f>
        <v>1</v>
      </c>
      <c r="H150" s="1">
        <f>VLOOKUP(I150,$U$23:$AL$40,MATCH(K150,$U$23:$AL$23,0),FALSE)</f>
        <v>4</v>
      </c>
      <c r="I150" s="1" t="str">
        <f>MID(A150,1,1)</f>
        <v>ר</v>
      </c>
      <c r="J150" s="1" t="str">
        <f>MID(A150,2,1)</f>
        <v>כ</v>
      </c>
      <c r="K150" s="1" t="str">
        <f>MID(A150,4,1)</f>
        <v>ל</v>
      </c>
      <c r="L150" s="1">
        <f>VLOOKUP(I150,$U:$V,2,0)</f>
        <v>15</v>
      </c>
      <c r="M150" s="1">
        <f>VLOOKUP(J150,$X:$Y,2,0)</f>
        <v>11</v>
      </c>
      <c r="N150" s="1">
        <f>VLOOKUP(K150,$AA:$AB,2,0)</f>
        <v>14</v>
      </c>
      <c r="O150" s="1">
        <f>IF(A150&lt;&gt;"",N150+M150+L150+F150+G150+H150,0)</f>
        <v>47</v>
      </c>
      <c r="V150"/>
    </row>
    <row r="151" spans="1:22" x14ac:dyDescent="0.25">
      <c r="A151" t="s">
        <v>813</v>
      </c>
      <c r="B151" t="s">
        <v>814</v>
      </c>
      <c r="C151" s="1" t="str">
        <f>MID(A151,1,2)</f>
        <v>רכ</v>
      </c>
      <c r="D151" s="1" t="str">
        <f>MID(B151,3,2)</f>
        <v>כס</v>
      </c>
      <c r="E151" s="1" t="str">
        <f>CONCATENATE(I151,K151)</f>
        <v>רס</v>
      </c>
      <c r="F151" s="1">
        <f>VLOOKUP(I151,$U$23:$AL$40,MATCH(J151,$U$23:$AL$23,0),FALSE)</f>
        <v>2</v>
      </c>
      <c r="G151" s="1">
        <f>VLOOKUP(J151,$U$23:$AL$40,MATCH(K151,$U$23:$AL$23,0),FALSE)</f>
        <v>1</v>
      </c>
      <c r="H151" s="1">
        <f>VLOOKUP(I151,$U$23:$AL$40,MATCH(K151,$U$23:$AL$23,0),FALSE)</f>
        <v>4</v>
      </c>
      <c r="I151" s="1" t="str">
        <f>MID(A151,1,1)</f>
        <v>ר</v>
      </c>
      <c r="J151" s="1" t="str">
        <f>MID(A151,2,1)</f>
        <v>כ</v>
      </c>
      <c r="K151" s="1" t="str">
        <f>MID(A151,4,1)</f>
        <v>ס</v>
      </c>
      <c r="L151" s="1">
        <f>VLOOKUP(I151,$U:$V,2,0)</f>
        <v>15</v>
      </c>
      <c r="M151" s="1">
        <f>VLOOKUP(J151,$X:$Y,2,0)</f>
        <v>11</v>
      </c>
      <c r="N151" s="1">
        <f>VLOOKUP(K151,$AA:$AB,2,0)</f>
        <v>15</v>
      </c>
      <c r="O151" s="1">
        <f>IF(A151&lt;&gt;"",N151+M151+L151+F151+G151+H151,0)</f>
        <v>48</v>
      </c>
      <c r="V151"/>
    </row>
    <row r="152" spans="1:22" x14ac:dyDescent="0.25">
      <c r="A152" t="s">
        <v>789</v>
      </c>
      <c r="B152" t="s">
        <v>790</v>
      </c>
      <c r="C152" s="1" t="str">
        <f>MID(A152,1,2)</f>
        <v>רל</v>
      </c>
      <c r="D152" s="1" t="str">
        <f>MID(B152,3,2)</f>
        <v>לד</v>
      </c>
      <c r="E152" s="1" t="str">
        <f>CONCATENATE(I152,K152)</f>
        <v>רד</v>
      </c>
      <c r="F152" s="1">
        <f>VLOOKUP(I152,$U$23:$AL$40,MATCH(J152,$U$23:$AL$23,0),FALSE)</f>
        <v>4</v>
      </c>
      <c r="G152" s="1">
        <f>VLOOKUP(J152,$U$23:$AL$40,MATCH(K152,$U$23:$AL$23,0),FALSE)</f>
        <v>1</v>
      </c>
      <c r="H152" s="1">
        <f>VLOOKUP(I152,$U$23:$AL$40,MATCH(K152,$U$23:$AL$23,0),FALSE)</f>
        <v>2</v>
      </c>
      <c r="I152" s="1" t="str">
        <f>MID(A152,1,1)</f>
        <v>ר</v>
      </c>
      <c r="J152" s="1" t="str">
        <f>MID(A152,2,1)</f>
        <v>ל</v>
      </c>
      <c r="K152" s="1" t="str">
        <f>MID(A152,4,1)</f>
        <v>ד</v>
      </c>
      <c r="L152" s="1">
        <f>VLOOKUP(I152,$U:$V,2,0)</f>
        <v>15</v>
      </c>
      <c r="M152" s="1">
        <f>VLOOKUP(J152,$X:$Y,2,0)</f>
        <v>10</v>
      </c>
      <c r="N152" s="1">
        <f>VLOOKUP(K152,$AA:$AB,2,0)</f>
        <v>14</v>
      </c>
      <c r="O152" s="1">
        <f>IF(A152&lt;&gt;"",N152+M152+L152+F152+G152+H152,0)</f>
        <v>46</v>
      </c>
      <c r="V152"/>
    </row>
    <row r="153" spans="1:22" x14ac:dyDescent="0.25">
      <c r="A153" t="s">
        <v>775</v>
      </c>
      <c r="B153" t="s">
        <v>776</v>
      </c>
      <c r="C153" s="1" t="str">
        <f>MID(A153,1,2)</f>
        <v>רל</v>
      </c>
      <c r="D153" s="1" t="str">
        <f>MID(B153,3,2)</f>
        <v>לח</v>
      </c>
      <c r="E153" s="1" t="str">
        <f>CONCATENATE(I153,K153)</f>
        <v>רח</v>
      </c>
      <c r="F153" s="1">
        <f>VLOOKUP(I153,$U$23:$AL$40,MATCH(J153,$U$23:$AL$23,0),FALSE)</f>
        <v>4</v>
      </c>
      <c r="G153" s="1">
        <f>VLOOKUP(J153,$U$23:$AL$40,MATCH(K153,$U$23:$AL$23,0),FALSE)</f>
        <v>1</v>
      </c>
      <c r="H153" s="1">
        <f>VLOOKUP(I153,$U$23:$AL$40,MATCH(K153,$U$23:$AL$23,0),FALSE)</f>
        <v>3</v>
      </c>
      <c r="I153" s="1" t="str">
        <f>MID(A153,1,1)</f>
        <v>ר</v>
      </c>
      <c r="J153" s="1" t="str">
        <f>MID(A153,2,1)</f>
        <v>ל</v>
      </c>
      <c r="K153" s="1" t="str">
        <f>MID(A153,4,1)</f>
        <v>ח</v>
      </c>
      <c r="L153" s="1">
        <f>VLOOKUP(I153,$U:$V,2,0)</f>
        <v>15</v>
      </c>
      <c r="M153" s="1">
        <f>VLOOKUP(J153,$X:$Y,2,0)</f>
        <v>10</v>
      </c>
      <c r="N153" s="1">
        <f>VLOOKUP(K153,$AA:$AB,2,0)</f>
        <v>14</v>
      </c>
      <c r="O153" s="1">
        <f>IF(A153&lt;&gt;"",N153+M153+L153+F153+G153+H153,0)</f>
        <v>47</v>
      </c>
      <c r="V153"/>
    </row>
    <row r="154" spans="1:22" x14ac:dyDescent="0.25">
      <c r="A154" s="1" t="s">
        <v>725</v>
      </c>
      <c r="B154" s="1" t="s">
        <v>726</v>
      </c>
      <c r="C154" s="1" t="str">
        <f>MID(A154,1,2)</f>
        <v>רמ</v>
      </c>
      <c r="D154" s="1" t="str">
        <f>MID(B154,3,2)</f>
        <v>מס</v>
      </c>
      <c r="E154" s="1" t="str">
        <f>CONCATENATE(I154,K154)</f>
        <v>רס</v>
      </c>
      <c r="F154" s="1">
        <f>VLOOKUP(I154,$U$23:$AL$40,MATCH(J154,$U$23:$AL$23,0),FALSE)</f>
        <v>1</v>
      </c>
      <c r="G154" s="1">
        <f>VLOOKUP(J154,$U$23:$AL$40,MATCH(K154,$U$23:$AL$23,0),FALSE)</f>
        <v>1</v>
      </c>
      <c r="H154" s="1">
        <f>VLOOKUP(I154,$U$23:$AL$40,MATCH(K154,$U$23:$AL$23,0),FALSE)</f>
        <v>4</v>
      </c>
      <c r="I154" s="1" t="str">
        <f>MID(A154,1,1)</f>
        <v>ר</v>
      </c>
      <c r="J154" s="1" t="str">
        <f>MID(A154,2,1)</f>
        <v>מ</v>
      </c>
      <c r="K154" s="1" t="str">
        <f>MID(A154,4,1)</f>
        <v>ס</v>
      </c>
      <c r="L154" s="1">
        <f>VLOOKUP(I154,$U:$V,2,0)</f>
        <v>15</v>
      </c>
      <c r="M154" s="1">
        <f>VLOOKUP(J154,$X:$Y,2,0)</f>
        <v>12</v>
      </c>
      <c r="N154" s="1">
        <f>VLOOKUP(K154,$AA:$AB,2,0)</f>
        <v>15</v>
      </c>
      <c r="O154" s="1">
        <f>IF(A154&lt;&gt;"",N154+M154+L154+F154+G154+H154,0)</f>
        <v>48</v>
      </c>
      <c r="V154"/>
    </row>
    <row r="155" spans="1:22" x14ac:dyDescent="0.25">
      <c r="A155" s="1" t="s">
        <v>540</v>
      </c>
      <c r="B155" s="1" t="s">
        <v>541</v>
      </c>
      <c r="C155" s="1" t="str">
        <f>MID(A155,1,2)</f>
        <v>רנ</v>
      </c>
      <c r="D155" s="1" t="str">
        <f>MID(B155,3,2)</f>
        <v>נל</v>
      </c>
      <c r="E155" s="1" t="str">
        <f>CONCATENATE(I155,K155)</f>
        <v>רל</v>
      </c>
      <c r="F155" s="1">
        <f>VLOOKUP(I155,$U$23:$AL$40,MATCH(J155,$U$23:$AL$23,0),FALSE)</f>
        <v>1</v>
      </c>
      <c r="G155" s="1">
        <f>VLOOKUP(J155,$U$23:$AL$40,MATCH(K155,$U$23:$AL$23,0),FALSE)</f>
        <v>2</v>
      </c>
      <c r="H155" s="1">
        <f>VLOOKUP(I155,$U$23:$AL$40,MATCH(K155,$U$23:$AL$23,0),FALSE)</f>
        <v>4</v>
      </c>
      <c r="I155" s="1" t="str">
        <f>MID(A155,1,1)</f>
        <v>ר</v>
      </c>
      <c r="J155" s="1" t="str">
        <f>MID(A155,2,1)</f>
        <v>נ</v>
      </c>
      <c r="K155" s="1" t="str">
        <f>MID(A155,4,1)</f>
        <v>ל</v>
      </c>
      <c r="L155" s="1">
        <f>VLOOKUP(I155,$U:$V,2,0)</f>
        <v>15</v>
      </c>
      <c r="M155" s="1">
        <f>VLOOKUP(J155,$X:$Y,2,0)</f>
        <v>12</v>
      </c>
      <c r="N155" s="1">
        <f>VLOOKUP(K155,$AA:$AB,2,0)</f>
        <v>14</v>
      </c>
      <c r="O155" s="1">
        <f>IF(A155&lt;&gt;"",N155+M155+L155+F155+G155+H155,0)</f>
        <v>48</v>
      </c>
      <c r="V155"/>
    </row>
    <row r="156" spans="1:22" x14ac:dyDescent="0.25">
      <c r="A156" s="1" t="s">
        <v>601</v>
      </c>
      <c r="B156" s="1" t="s">
        <v>602</v>
      </c>
      <c r="C156" s="1" t="str">
        <f>MID(A156,1,2)</f>
        <v>רע</v>
      </c>
      <c r="D156" s="1" t="str">
        <f>MID(B156,3,2)</f>
        <v>עז</v>
      </c>
      <c r="E156" s="1" t="str">
        <f>CONCATENATE(I156,K156)</f>
        <v>רז</v>
      </c>
      <c r="F156" s="1">
        <f>VLOOKUP(I156,$U$23:$AL$40,MATCH(J156,$U$23:$AL$23,0),FALSE)</f>
        <v>3</v>
      </c>
      <c r="G156" s="1">
        <f>VLOOKUP(J156,$U$23:$AL$40,MATCH(K156,$U$23:$AL$23,0),FALSE)</f>
        <v>4</v>
      </c>
      <c r="H156" s="1">
        <f>VLOOKUP(I156,$U$23:$AL$40,MATCH(K156,$U$23:$AL$23,0),FALSE)</f>
        <v>3</v>
      </c>
      <c r="I156" s="1" t="str">
        <f>MID(A156,1,1)</f>
        <v>ר</v>
      </c>
      <c r="J156" s="1" t="str">
        <f>MID(A156,2,1)</f>
        <v>ע</v>
      </c>
      <c r="K156" s="1" t="str">
        <f>MID(A156,4,1)</f>
        <v>ז</v>
      </c>
      <c r="L156" s="1">
        <f>VLOOKUP(I156,$U:$V,2,0)</f>
        <v>15</v>
      </c>
      <c r="M156" s="1">
        <f>VLOOKUP(J156,$X:$Y,2,0)</f>
        <v>8</v>
      </c>
      <c r="N156" s="1">
        <f>VLOOKUP(K156,$AA:$AB,2,0)</f>
        <v>15</v>
      </c>
      <c r="O156" s="1">
        <f>IF(A156&lt;&gt;"",N156+M156+L156+F156+G156+H156,0)</f>
        <v>48</v>
      </c>
      <c r="V156"/>
    </row>
    <row r="157" spans="1:22" x14ac:dyDescent="0.25">
      <c r="A157" s="1" t="s">
        <v>747</v>
      </c>
      <c r="B157" s="1" t="s">
        <v>748</v>
      </c>
      <c r="C157" s="1" t="str">
        <f>MID(A157,1,2)</f>
        <v>רש</v>
      </c>
      <c r="D157" s="1" t="str">
        <f>MID(B157,3,2)</f>
        <v>שג</v>
      </c>
      <c r="E157" s="1" t="str">
        <f>CONCATENATE(I157,K157)</f>
        <v>רג</v>
      </c>
      <c r="F157" s="1">
        <f>VLOOKUP(I157,$U$23:$AL$40,MATCH(J157,$U$23:$AL$23,0),FALSE)</f>
        <v>3</v>
      </c>
      <c r="G157" s="1">
        <f>VLOOKUP(J157,$U$23:$AL$40,MATCH(K157,$U$23:$AL$23,0),FALSE)</f>
        <v>1</v>
      </c>
      <c r="H157" s="1">
        <f>VLOOKUP(I157,$U$23:$AL$40,MATCH(K157,$U$23:$AL$23,0),FALSE)</f>
        <v>4</v>
      </c>
      <c r="I157" s="1" t="str">
        <f>MID(A157,1,1)</f>
        <v>ר</v>
      </c>
      <c r="J157" s="1" t="str">
        <f>MID(A157,2,1)</f>
        <v>ש</v>
      </c>
      <c r="K157" s="1" t="str">
        <f>MID(A157,4,1)</f>
        <v>ג</v>
      </c>
      <c r="L157" s="1">
        <f>VLOOKUP(I157,$U:$V,2,0)</f>
        <v>15</v>
      </c>
      <c r="M157" s="1">
        <f>VLOOKUP(J157,$X:$Y,2,0)</f>
        <v>9</v>
      </c>
      <c r="N157" s="1">
        <f>VLOOKUP(K157,$AA:$AB,2,0)</f>
        <v>15</v>
      </c>
      <c r="O157" s="1">
        <f>IF(A157&lt;&gt;"",N157+M157+L157+F157+G157+H157,0)</f>
        <v>47</v>
      </c>
      <c r="V157"/>
    </row>
    <row r="158" spans="1:22" x14ac:dyDescent="0.25">
      <c r="A158" s="1" t="s">
        <v>719</v>
      </c>
      <c r="B158" s="1" t="s">
        <v>720</v>
      </c>
      <c r="C158" s="1" t="str">
        <f>MID(A158,1,2)</f>
        <v>רש</v>
      </c>
      <c r="D158" s="1" t="str">
        <f>MID(B158,3,2)</f>
        <v>שח</v>
      </c>
      <c r="E158" s="1" t="str">
        <f>CONCATENATE(I158,K158)</f>
        <v>רח</v>
      </c>
      <c r="F158" s="1">
        <f>VLOOKUP(I158,$U$23:$AL$40,MATCH(J158,$U$23:$AL$23,0),FALSE)</f>
        <v>3</v>
      </c>
      <c r="G158" s="1">
        <f>VLOOKUP(J158,$U$23:$AL$40,MATCH(K158,$U$23:$AL$23,0),FALSE)</f>
        <v>1</v>
      </c>
      <c r="H158" s="1">
        <f>VLOOKUP(I158,$U$23:$AL$40,MATCH(K158,$U$23:$AL$23,0),FALSE)</f>
        <v>3</v>
      </c>
      <c r="I158" s="1" t="str">
        <f>MID(A158,1,1)</f>
        <v>ר</v>
      </c>
      <c r="J158" s="1" t="str">
        <f>MID(A158,2,1)</f>
        <v>ש</v>
      </c>
      <c r="K158" s="1" t="str">
        <f>MID(A158,4,1)</f>
        <v>ח</v>
      </c>
      <c r="L158" s="1">
        <f>VLOOKUP(I158,$U:$V,2,0)</f>
        <v>15</v>
      </c>
      <c r="M158" s="1">
        <f>VLOOKUP(J158,$X:$Y,2,0)</f>
        <v>9</v>
      </c>
      <c r="N158" s="1">
        <f>VLOOKUP(K158,$AA:$AB,2,0)</f>
        <v>14</v>
      </c>
      <c r="O158" s="1">
        <f>IF(A158&lt;&gt;"",N158+M158+L158+F158+G158+H158,0)</f>
        <v>45</v>
      </c>
      <c r="V158"/>
    </row>
    <row r="159" spans="1:22" x14ac:dyDescent="0.25">
      <c r="A159" t="s">
        <v>637</v>
      </c>
      <c r="B159" t="s">
        <v>638</v>
      </c>
      <c r="C159" s="1" t="str">
        <f>MID(A159,1,2)</f>
        <v>רת</v>
      </c>
      <c r="D159" s="1" t="str">
        <f>MID(B159,3,2)</f>
        <v>תע</v>
      </c>
      <c r="E159" s="1" t="str">
        <f>CONCATENATE(I159,K159)</f>
        <v>רע</v>
      </c>
      <c r="F159" s="1">
        <f>VLOOKUP(I159,$U$23:$AL$40,MATCH(J159,$U$23:$AL$23,0),FALSE)</f>
        <v>2</v>
      </c>
      <c r="G159" s="1">
        <f>VLOOKUP(J159,$U$23:$AL$40,MATCH(K159,$U$23:$AL$23,0),FALSE)</f>
        <v>1</v>
      </c>
      <c r="H159" s="1">
        <f>VLOOKUP(I159,$U$23:$AL$40,MATCH(K159,$U$23:$AL$23,0),FALSE)</f>
        <v>3</v>
      </c>
      <c r="I159" s="1" t="str">
        <f>MID(A159,1,1)</f>
        <v>ר</v>
      </c>
      <c r="J159" s="1" t="str">
        <f>MID(A159,2,1)</f>
        <v>ת</v>
      </c>
      <c r="K159" s="1" t="str">
        <f>MID(A159,4,1)</f>
        <v>ע</v>
      </c>
      <c r="L159" s="1">
        <f>VLOOKUP(I159,$U:$V,2,0)</f>
        <v>15</v>
      </c>
      <c r="M159" s="1">
        <f>VLOOKUP(J159,$X:$Y,2,0)</f>
        <v>12</v>
      </c>
      <c r="N159" s="1">
        <f>VLOOKUP(K159,$AA:$AB,2,0)</f>
        <v>15</v>
      </c>
      <c r="O159" s="1">
        <f>IF(A159&lt;&gt;"",N159+M159+L159+F159+G159+H159,0)</f>
        <v>48</v>
      </c>
      <c r="V159"/>
    </row>
    <row r="160" spans="1:22" x14ac:dyDescent="0.25">
      <c r="A160" t="s">
        <v>536</v>
      </c>
      <c r="B160" t="s">
        <v>537</v>
      </c>
      <c r="C160" s="1" t="str">
        <f>MID(A160,1,2)</f>
        <v>רת</v>
      </c>
      <c r="D160" s="1" t="str">
        <f>MID(B160,3,2)</f>
        <v>תק</v>
      </c>
      <c r="E160" s="1" t="str">
        <f>CONCATENATE(I160,K160)</f>
        <v>רק</v>
      </c>
      <c r="F160" s="1">
        <f>VLOOKUP(I160,$U$23:$AL$40,MATCH(J160,$U$23:$AL$23,0),FALSE)</f>
        <v>2</v>
      </c>
      <c r="G160" s="1">
        <f>VLOOKUP(J160,$U$23:$AL$40,MATCH(K160,$U$23:$AL$23,0),FALSE)</f>
        <v>2</v>
      </c>
      <c r="H160" s="1">
        <f>VLOOKUP(I160,$U$23:$AL$40,MATCH(K160,$U$23:$AL$23,0),FALSE)</f>
        <v>3</v>
      </c>
      <c r="I160" s="1" t="str">
        <f>MID(A160,1,1)</f>
        <v>ר</v>
      </c>
      <c r="J160" s="1" t="str">
        <f>MID(A160,2,1)</f>
        <v>ת</v>
      </c>
      <c r="K160" s="1" t="str">
        <f>MID(A160,4,1)</f>
        <v>ק</v>
      </c>
      <c r="L160" s="1">
        <f>VLOOKUP(I160,$U:$V,2,0)</f>
        <v>15</v>
      </c>
      <c r="M160" s="1">
        <f>VLOOKUP(J160,$X:$Y,2,0)</f>
        <v>12</v>
      </c>
      <c r="N160" s="1">
        <f>VLOOKUP(K160,$AA:$AB,2,0)</f>
        <v>15</v>
      </c>
      <c r="O160" s="1">
        <f>IF(A160&lt;&gt;"",N160+M160+L160+F160+G160+H160,0)</f>
        <v>49</v>
      </c>
      <c r="V160"/>
    </row>
    <row r="161" spans="1:22" x14ac:dyDescent="0.25">
      <c r="A161"/>
      <c r="B161"/>
      <c r="C161" s="1" t="str">
        <f>MID(A161,1,2)</f>
        <v/>
      </c>
      <c r="D161" s="1" t="str">
        <f>MID(B161,3,2)</f>
        <v/>
      </c>
      <c r="E161" s="1" t="str">
        <f>CONCATENATE(I161,K161)</f>
        <v/>
      </c>
      <c r="F161" s="1" t="e">
        <f>VLOOKUP(I161,$U$23:$AL$40,MATCH(J161,$U$23:$AL$23,0),FALSE)</f>
        <v>#N/A</v>
      </c>
      <c r="G161" s="1" t="e">
        <f>VLOOKUP(J161,$U$23:$AL$40,MATCH(K161,$U$23:$AL$23,0),FALSE)</f>
        <v>#N/A</v>
      </c>
      <c r="H161" s="1" t="e">
        <f>VLOOKUP(I161,$U$23:$AL$40,MATCH(K161,$U$23:$AL$23,0),FALSE)</f>
        <v>#N/A</v>
      </c>
      <c r="I161" s="1" t="str">
        <f>MID(A161,1,1)</f>
        <v/>
      </c>
      <c r="J161" s="1" t="str">
        <f>MID(A161,2,1)</f>
        <v/>
      </c>
      <c r="K161" s="1" t="str">
        <f>MID(A161,4,1)</f>
        <v/>
      </c>
      <c r="L161" s="1" t="e">
        <f>VLOOKUP(I161,$U:$V,2,0)</f>
        <v>#N/A</v>
      </c>
      <c r="M161" s="1" t="e">
        <f>VLOOKUP(J161,$X:$Y,2,0)</f>
        <v>#N/A</v>
      </c>
      <c r="N161" s="1" t="e">
        <f>VLOOKUP(K161,$AA:$AB,2,0)</f>
        <v>#N/A</v>
      </c>
      <c r="O161" s="1">
        <f>IF(A161&lt;&gt;"",N161+M161+L161+F161+G161+H161,0)</f>
        <v>0</v>
      </c>
      <c r="S161" s="40"/>
      <c r="V161"/>
    </row>
    <row r="162" spans="1:22" x14ac:dyDescent="0.25">
      <c r="A162"/>
      <c r="B162"/>
      <c r="C162" s="1" t="str">
        <f>MID(A162,1,2)</f>
        <v/>
      </c>
      <c r="D162" s="1" t="str">
        <f>MID(B162,3,2)</f>
        <v/>
      </c>
      <c r="E162" s="1" t="str">
        <f>CONCATENATE(I162,K162)</f>
        <v/>
      </c>
      <c r="F162" s="1" t="e">
        <f>VLOOKUP(I162,$U$23:$AL$40,MATCH(J162,$U$23:$AL$23,0),FALSE)</f>
        <v>#N/A</v>
      </c>
      <c r="G162" s="1" t="e">
        <f>VLOOKUP(J162,$U$23:$AL$40,MATCH(K162,$U$23:$AL$23,0),FALSE)</f>
        <v>#N/A</v>
      </c>
      <c r="H162" s="1" t="e">
        <f>VLOOKUP(I162,$U$23:$AL$40,MATCH(K162,$U$23:$AL$23,0),FALSE)</f>
        <v>#N/A</v>
      </c>
      <c r="I162" s="1" t="str">
        <f>MID(A162,1,1)</f>
        <v/>
      </c>
      <c r="J162" s="1" t="str">
        <f>MID(A162,2,1)</f>
        <v/>
      </c>
      <c r="K162" s="1" t="str">
        <f>MID(A162,4,1)</f>
        <v/>
      </c>
      <c r="L162" s="1" t="e">
        <f>VLOOKUP(I162,$U:$V,2,0)</f>
        <v>#N/A</v>
      </c>
      <c r="M162" s="1" t="e">
        <f>VLOOKUP(J162,$X:$Y,2,0)</f>
        <v>#N/A</v>
      </c>
      <c r="N162" s="1" t="e">
        <f>VLOOKUP(K162,$AA:$AB,2,0)</f>
        <v>#N/A</v>
      </c>
      <c r="O162" s="1">
        <f>IF(A162&lt;&gt;"",N162+M162+L162+F162+G162+H162,0)</f>
        <v>0</v>
      </c>
      <c r="S162" s="40"/>
      <c r="V162"/>
    </row>
    <row r="163" spans="1:22" x14ac:dyDescent="0.25">
      <c r="A163"/>
      <c r="B163"/>
      <c r="C163" s="1" t="str">
        <f>MID(A163,1,2)</f>
        <v/>
      </c>
      <c r="D163" s="1" t="str">
        <f>MID(B163,3,2)</f>
        <v/>
      </c>
      <c r="E163" s="1" t="str">
        <f>CONCATENATE(I163,K163)</f>
        <v/>
      </c>
      <c r="F163" s="1" t="e">
        <f>VLOOKUP(I163,$U$23:$AL$40,MATCH(J163,$U$23:$AL$23,0),FALSE)</f>
        <v>#N/A</v>
      </c>
      <c r="G163" s="1" t="e">
        <f>VLOOKUP(J163,$U$23:$AL$40,MATCH(K163,$U$23:$AL$23,0),FALSE)</f>
        <v>#N/A</v>
      </c>
      <c r="H163" s="1" t="e">
        <f>VLOOKUP(I163,$U$23:$AL$40,MATCH(K163,$U$23:$AL$23,0),FALSE)</f>
        <v>#N/A</v>
      </c>
      <c r="I163" s="1" t="str">
        <f>MID(A163,1,1)</f>
        <v/>
      </c>
      <c r="J163" s="1" t="str">
        <f>MID(A163,2,1)</f>
        <v/>
      </c>
      <c r="K163" s="1" t="str">
        <f>MID(A163,4,1)</f>
        <v/>
      </c>
      <c r="L163" s="1" t="e">
        <f>VLOOKUP(I163,$U:$V,2,0)</f>
        <v>#N/A</v>
      </c>
      <c r="M163" s="1" t="e">
        <f>VLOOKUP(J163,$X:$Y,2,0)</f>
        <v>#N/A</v>
      </c>
      <c r="N163" s="1" t="e">
        <f>VLOOKUP(K163,$AA:$AB,2,0)</f>
        <v>#N/A</v>
      </c>
      <c r="O163" s="1">
        <f>IF(A163&lt;&gt;"",N163+M163+L163+F163+G163+H163,0)</f>
        <v>0</v>
      </c>
      <c r="V163"/>
    </row>
    <row r="164" spans="1:22" x14ac:dyDescent="0.25">
      <c r="A164"/>
      <c r="B164"/>
      <c r="C164" s="1" t="str">
        <f>MID(A164,1,2)</f>
        <v/>
      </c>
      <c r="D164" s="1" t="str">
        <f>MID(B164,3,2)</f>
        <v/>
      </c>
      <c r="E164" s="1" t="str">
        <f>CONCATENATE(I164,K164)</f>
        <v/>
      </c>
      <c r="F164" s="1" t="e">
        <f>VLOOKUP(I164,$U$23:$AL$40,MATCH(J164,$U$23:$AL$23,0),FALSE)</f>
        <v>#N/A</v>
      </c>
      <c r="G164" s="1" t="e">
        <f>VLOOKUP(J164,$U$23:$AL$40,MATCH(K164,$U$23:$AL$23,0),FALSE)</f>
        <v>#N/A</v>
      </c>
      <c r="H164" s="1" t="e">
        <f>VLOOKUP(I164,$U$23:$AL$40,MATCH(K164,$U$23:$AL$23,0),FALSE)</f>
        <v>#N/A</v>
      </c>
      <c r="I164" s="1" t="str">
        <f>MID(A164,1,1)</f>
        <v/>
      </c>
      <c r="J164" s="1" t="str">
        <f>MID(A164,2,1)</f>
        <v/>
      </c>
      <c r="K164" s="1" t="str">
        <f>MID(A164,4,1)</f>
        <v/>
      </c>
      <c r="L164" s="1" t="e">
        <f>VLOOKUP(I164,$U:$V,2,0)</f>
        <v>#N/A</v>
      </c>
      <c r="M164" s="1" t="e">
        <f>VLOOKUP(J164,$X:$Y,2,0)</f>
        <v>#N/A</v>
      </c>
      <c r="N164" s="1" t="e">
        <f>VLOOKUP(K164,$AA:$AB,2,0)</f>
        <v>#N/A</v>
      </c>
      <c r="O164" s="1">
        <f>IF(A164&lt;&gt;"",N164+M164+L164+F164+G164+H164,0)</f>
        <v>0</v>
      </c>
      <c r="V164"/>
    </row>
    <row r="165" spans="1:22" x14ac:dyDescent="0.25">
      <c r="A165"/>
      <c r="B165"/>
      <c r="C165" s="1" t="str">
        <f>MID(A165,1,2)</f>
        <v/>
      </c>
      <c r="D165" s="1" t="str">
        <f>MID(B165,3,2)</f>
        <v/>
      </c>
      <c r="E165" s="1" t="str">
        <f>CONCATENATE(I165,K165)</f>
        <v/>
      </c>
      <c r="F165" s="1" t="e">
        <f>VLOOKUP(I165,$U$23:$AL$40,MATCH(J165,$U$23:$AL$23,0),FALSE)</f>
        <v>#N/A</v>
      </c>
      <c r="G165" s="1" t="e">
        <f>VLOOKUP(J165,$U$23:$AL$40,MATCH(K165,$U$23:$AL$23,0),FALSE)</f>
        <v>#N/A</v>
      </c>
      <c r="H165" s="1" t="e">
        <f>VLOOKUP(I165,$U$23:$AL$40,MATCH(K165,$U$23:$AL$23,0),FALSE)</f>
        <v>#N/A</v>
      </c>
      <c r="I165" s="1" t="str">
        <f>MID(A165,1,1)</f>
        <v/>
      </c>
      <c r="J165" s="1" t="str">
        <f>MID(A165,2,1)</f>
        <v/>
      </c>
      <c r="K165" s="1" t="str">
        <f>MID(A165,4,1)</f>
        <v/>
      </c>
      <c r="L165" s="1" t="e">
        <f>VLOOKUP(I165,$U:$V,2,0)</f>
        <v>#N/A</v>
      </c>
      <c r="M165" s="1" t="e">
        <f>VLOOKUP(J165,$X:$Y,2,0)</f>
        <v>#N/A</v>
      </c>
      <c r="N165" s="1" t="e">
        <f>VLOOKUP(K165,$AA:$AB,2,0)</f>
        <v>#N/A</v>
      </c>
      <c r="O165" s="1">
        <f>IF(A165&lt;&gt;"",N165+M165+L165+F165+G165+H165,0)</f>
        <v>0</v>
      </c>
      <c r="V165"/>
    </row>
    <row r="166" spans="1:22" x14ac:dyDescent="0.25">
      <c r="A166"/>
      <c r="B166"/>
      <c r="C166" s="1" t="str">
        <f>MID(A166,1,2)</f>
        <v/>
      </c>
      <c r="D166" s="1" t="str">
        <f>MID(B166,3,2)</f>
        <v/>
      </c>
      <c r="E166" s="1" t="str">
        <f>CONCATENATE(I166,K166)</f>
        <v/>
      </c>
      <c r="F166" s="1" t="e">
        <f>VLOOKUP(I166,$U$23:$AL$40,MATCH(J166,$U$23:$AL$23,0),FALSE)</f>
        <v>#N/A</v>
      </c>
      <c r="G166" s="1" t="e">
        <f>VLOOKUP(J166,$U$23:$AL$40,MATCH(K166,$U$23:$AL$23,0),FALSE)</f>
        <v>#N/A</v>
      </c>
      <c r="H166" s="1" t="e">
        <f>VLOOKUP(I166,$U$23:$AL$40,MATCH(K166,$U$23:$AL$23,0),FALSE)</f>
        <v>#N/A</v>
      </c>
      <c r="I166" s="1" t="str">
        <f>MID(A166,1,1)</f>
        <v/>
      </c>
      <c r="J166" s="1" t="str">
        <f>MID(A166,2,1)</f>
        <v/>
      </c>
      <c r="K166" s="1" t="str">
        <f>MID(A166,4,1)</f>
        <v/>
      </c>
      <c r="L166" s="1" t="e">
        <f>VLOOKUP(I166,$U:$V,2,0)</f>
        <v>#N/A</v>
      </c>
      <c r="M166" s="1" t="e">
        <f>VLOOKUP(J166,$X:$Y,2,0)</f>
        <v>#N/A</v>
      </c>
      <c r="N166" s="1" t="e">
        <f>VLOOKUP(K166,$AA:$AB,2,0)</f>
        <v>#N/A</v>
      </c>
      <c r="O166" s="1">
        <f>IF(A166&lt;&gt;"",N166+M166+L166+F166+G166+H166,0)</f>
        <v>0</v>
      </c>
      <c r="V166"/>
    </row>
    <row r="167" spans="1:22" x14ac:dyDescent="0.25">
      <c r="A167"/>
      <c r="B167"/>
      <c r="C167" s="1" t="str">
        <f>MID(A167,1,2)</f>
        <v/>
      </c>
      <c r="D167" s="1" t="str">
        <f>MID(B167,3,2)</f>
        <v/>
      </c>
      <c r="E167" s="1" t="str">
        <f>CONCATENATE(I167,K167)</f>
        <v/>
      </c>
      <c r="F167" s="1" t="e">
        <f>VLOOKUP(I167,$U$23:$AL$40,MATCH(J167,$U$23:$AL$23,0),FALSE)</f>
        <v>#N/A</v>
      </c>
      <c r="G167" s="1" t="e">
        <f>VLOOKUP(J167,$U$23:$AL$40,MATCH(K167,$U$23:$AL$23,0),FALSE)</f>
        <v>#N/A</v>
      </c>
      <c r="H167" s="1" t="e">
        <f>VLOOKUP(I167,$U$23:$AL$40,MATCH(K167,$U$23:$AL$23,0),FALSE)</f>
        <v>#N/A</v>
      </c>
      <c r="I167" s="1" t="str">
        <f>MID(A167,1,1)</f>
        <v/>
      </c>
      <c r="J167" s="1" t="str">
        <f>MID(A167,2,1)</f>
        <v/>
      </c>
      <c r="K167" s="1" t="str">
        <f>MID(A167,4,1)</f>
        <v/>
      </c>
      <c r="L167" s="1" t="e">
        <f>VLOOKUP(I167,$U:$V,2,0)</f>
        <v>#N/A</v>
      </c>
      <c r="M167" s="1" t="e">
        <f>VLOOKUP(J167,$X:$Y,2,0)</f>
        <v>#N/A</v>
      </c>
      <c r="N167" s="1" t="e">
        <f>VLOOKUP(K167,$AA:$AB,2,0)</f>
        <v>#N/A</v>
      </c>
      <c r="O167" s="1">
        <f>IF(A167&lt;&gt;"",N167+M167+L167+F167+G167+H167,0)</f>
        <v>0</v>
      </c>
      <c r="V167"/>
    </row>
    <row r="168" spans="1:22" x14ac:dyDescent="0.25">
      <c r="A168"/>
      <c r="B168"/>
      <c r="C168" s="1" t="str">
        <f>MID(A168,1,2)</f>
        <v/>
      </c>
      <c r="D168" s="1" t="str">
        <f>MID(B168,3,2)</f>
        <v/>
      </c>
      <c r="E168" s="1" t="str">
        <f>CONCATENATE(I168,K168)</f>
        <v/>
      </c>
      <c r="F168" s="1" t="e">
        <f>VLOOKUP(I168,$U$23:$AL$40,MATCH(J168,$U$23:$AL$23,0),FALSE)</f>
        <v>#N/A</v>
      </c>
      <c r="G168" s="1" t="e">
        <f>VLOOKUP(J168,$U$23:$AL$40,MATCH(K168,$U$23:$AL$23,0),FALSE)</f>
        <v>#N/A</v>
      </c>
      <c r="H168" s="1" t="e">
        <f>VLOOKUP(I168,$U$23:$AL$40,MATCH(K168,$U$23:$AL$23,0),FALSE)</f>
        <v>#N/A</v>
      </c>
      <c r="I168" s="1" t="str">
        <f>MID(A168,1,1)</f>
        <v/>
      </c>
      <c r="J168" s="1" t="str">
        <f>MID(A168,2,1)</f>
        <v/>
      </c>
      <c r="K168" s="1" t="str">
        <f>MID(A168,4,1)</f>
        <v/>
      </c>
      <c r="L168" s="1" t="e">
        <f>VLOOKUP(I168,$U:$V,2,0)</f>
        <v>#N/A</v>
      </c>
      <c r="M168" s="1" t="e">
        <f>VLOOKUP(J168,$X:$Y,2,0)</f>
        <v>#N/A</v>
      </c>
      <c r="N168" s="1" t="e">
        <f>VLOOKUP(K168,$AA:$AB,2,0)</f>
        <v>#N/A</v>
      </c>
      <c r="O168" s="1">
        <f>IF(A168&lt;&gt;"",N168+M168+L168+F168+G168+H168,0)</f>
        <v>0</v>
      </c>
      <c r="V168"/>
    </row>
    <row r="169" spans="1:22" x14ac:dyDescent="0.25">
      <c r="A169"/>
      <c r="B169"/>
      <c r="C169" s="1" t="str">
        <f>MID(A169,1,2)</f>
        <v/>
      </c>
      <c r="D169" s="1" t="str">
        <f>MID(B169,3,2)</f>
        <v/>
      </c>
      <c r="E169" s="1" t="str">
        <f>CONCATENATE(I169,K169)</f>
        <v/>
      </c>
      <c r="F169" s="1" t="e">
        <f>VLOOKUP(I169,$U$23:$AL$40,MATCH(J169,$U$23:$AL$23,0),FALSE)</f>
        <v>#N/A</v>
      </c>
      <c r="G169" s="1" t="e">
        <f>VLOOKUP(J169,$U$23:$AL$40,MATCH(K169,$U$23:$AL$23,0),FALSE)</f>
        <v>#N/A</v>
      </c>
      <c r="H169" s="1" t="e">
        <f>VLOOKUP(I169,$U$23:$AL$40,MATCH(K169,$U$23:$AL$23,0),FALSE)</f>
        <v>#N/A</v>
      </c>
      <c r="I169" s="1" t="str">
        <f>MID(A169,1,1)</f>
        <v/>
      </c>
      <c r="J169" s="1" t="str">
        <f>MID(A169,2,1)</f>
        <v/>
      </c>
      <c r="K169" s="1" t="str">
        <f>MID(A169,4,1)</f>
        <v/>
      </c>
      <c r="L169" s="1" t="e">
        <f>VLOOKUP(I169,$U:$V,2,0)</f>
        <v>#N/A</v>
      </c>
      <c r="M169" s="1" t="e">
        <f>VLOOKUP(J169,$X:$Y,2,0)</f>
        <v>#N/A</v>
      </c>
      <c r="N169" s="1" t="e">
        <f>VLOOKUP(K169,$AA:$AB,2,0)</f>
        <v>#N/A</v>
      </c>
      <c r="O169" s="1">
        <f>IF(A169&lt;&gt;"",N169+M169+L169+F169+G169+H169,0)</f>
        <v>0</v>
      </c>
      <c r="V169"/>
    </row>
    <row r="170" spans="1:22" x14ac:dyDescent="0.25">
      <c r="A170"/>
      <c r="B170"/>
      <c r="C170" s="1" t="str">
        <f>MID(A170,1,2)</f>
        <v/>
      </c>
      <c r="D170" s="1" t="str">
        <f>MID(B170,3,2)</f>
        <v/>
      </c>
      <c r="E170" s="1" t="str">
        <f>CONCATENATE(I170,K170)</f>
        <v/>
      </c>
      <c r="F170" s="1" t="e">
        <f>VLOOKUP(I170,$U$23:$AL$40,MATCH(J170,$U$23:$AL$23,0),FALSE)</f>
        <v>#N/A</v>
      </c>
      <c r="G170" s="1" t="e">
        <f>VLOOKUP(J170,$U$23:$AL$40,MATCH(K170,$U$23:$AL$23,0),FALSE)</f>
        <v>#N/A</v>
      </c>
      <c r="H170" s="1" t="e">
        <f>VLOOKUP(I170,$U$23:$AL$40,MATCH(K170,$U$23:$AL$23,0),FALSE)</f>
        <v>#N/A</v>
      </c>
      <c r="I170" s="1" t="str">
        <f>MID(A170,1,1)</f>
        <v/>
      </c>
      <c r="J170" s="1" t="str">
        <f>MID(A170,2,1)</f>
        <v/>
      </c>
      <c r="K170" s="1" t="str">
        <f>MID(A170,4,1)</f>
        <v/>
      </c>
      <c r="L170" s="1" t="e">
        <f>VLOOKUP(I170,$U:$V,2,0)</f>
        <v>#N/A</v>
      </c>
      <c r="M170" s="1" t="e">
        <f>VLOOKUP(J170,$X:$Y,2,0)</f>
        <v>#N/A</v>
      </c>
      <c r="N170" s="1" t="e">
        <f>VLOOKUP(K170,$AA:$AB,2,0)</f>
        <v>#N/A</v>
      </c>
      <c r="O170" s="1">
        <f>IF(A170&lt;&gt;"",N170+M170+L170+F170+G170+H170,0)</f>
        <v>0</v>
      </c>
      <c r="V170"/>
    </row>
    <row r="171" spans="1:22" x14ac:dyDescent="0.25">
      <c r="A171"/>
      <c r="B171"/>
      <c r="C171" s="1" t="str">
        <f>MID(A171,1,2)</f>
        <v/>
      </c>
      <c r="D171" s="1" t="str">
        <f>MID(B171,3,2)</f>
        <v/>
      </c>
      <c r="E171" s="1" t="str">
        <f>CONCATENATE(I171,K171)</f>
        <v/>
      </c>
      <c r="F171" s="1" t="e">
        <f>VLOOKUP(I171,$U$23:$AL$40,MATCH(J171,$U$23:$AL$23,0),FALSE)</f>
        <v>#N/A</v>
      </c>
      <c r="G171" s="1" t="e">
        <f>VLOOKUP(J171,$U$23:$AL$40,MATCH(K171,$U$23:$AL$23,0),FALSE)</f>
        <v>#N/A</v>
      </c>
      <c r="H171" s="1" t="e">
        <f>VLOOKUP(I171,$U$23:$AL$40,MATCH(K171,$U$23:$AL$23,0),FALSE)</f>
        <v>#N/A</v>
      </c>
      <c r="I171" s="1" t="str">
        <f>MID(A171,1,1)</f>
        <v/>
      </c>
      <c r="J171" s="1" t="str">
        <f>MID(A171,2,1)</f>
        <v/>
      </c>
      <c r="K171" s="1" t="str">
        <f>MID(A171,4,1)</f>
        <v/>
      </c>
      <c r="L171" s="1" t="e">
        <f>VLOOKUP(I171,$U:$V,2,0)</f>
        <v>#N/A</v>
      </c>
      <c r="M171" s="1" t="e">
        <f>VLOOKUP(J171,$X:$Y,2,0)</f>
        <v>#N/A</v>
      </c>
      <c r="N171" s="1" t="e">
        <f>VLOOKUP(K171,$AA:$AB,2,0)</f>
        <v>#N/A</v>
      </c>
      <c r="O171" s="1">
        <f>IF(A171&lt;&gt;"",N171+M171+L171+F171+G171+H171,0)</f>
        <v>0</v>
      </c>
      <c r="V171"/>
    </row>
    <row r="172" spans="1:22" x14ac:dyDescent="0.25">
      <c r="A172"/>
      <c r="B172"/>
      <c r="C172" s="1" t="str">
        <f>MID(A172,1,2)</f>
        <v/>
      </c>
      <c r="D172" s="1" t="str">
        <f>MID(B172,3,2)</f>
        <v/>
      </c>
      <c r="E172" s="1" t="str">
        <f>CONCATENATE(I172,K172)</f>
        <v/>
      </c>
      <c r="F172" s="1" t="e">
        <f>VLOOKUP(I172,$U$23:$AL$40,MATCH(J172,$U$23:$AL$23,0),FALSE)</f>
        <v>#N/A</v>
      </c>
      <c r="G172" s="1" t="e">
        <f>VLOOKUP(J172,$U$23:$AL$40,MATCH(K172,$U$23:$AL$23,0),FALSE)</f>
        <v>#N/A</v>
      </c>
      <c r="H172" s="1" t="e">
        <f>VLOOKUP(I172,$U$23:$AL$40,MATCH(K172,$U$23:$AL$23,0),FALSE)</f>
        <v>#N/A</v>
      </c>
      <c r="I172" s="1" t="str">
        <f>MID(A172,1,1)</f>
        <v/>
      </c>
      <c r="J172" s="1" t="str">
        <f>MID(A172,2,1)</f>
        <v/>
      </c>
      <c r="K172" s="1" t="str">
        <f>MID(A172,4,1)</f>
        <v/>
      </c>
      <c r="L172" s="1" t="e">
        <f>VLOOKUP(I172,$U:$V,2,0)</f>
        <v>#N/A</v>
      </c>
      <c r="M172" s="1" t="e">
        <f>VLOOKUP(J172,$X:$Y,2,0)</f>
        <v>#N/A</v>
      </c>
      <c r="N172" s="1" t="e">
        <f>VLOOKUP(K172,$AA:$AB,2,0)</f>
        <v>#N/A</v>
      </c>
      <c r="O172" s="1">
        <f>IF(A172&lt;&gt;"",N172+M172+L172+F172+G172+H172,0)</f>
        <v>0</v>
      </c>
      <c r="V172"/>
    </row>
    <row r="173" spans="1:22" x14ac:dyDescent="0.25">
      <c r="A173"/>
      <c r="B173"/>
      <c r="C173" s="1" t="str">
        <f>MID(A173,1,2)</f>
        <v/>
      </c>
      <c r="D173" s="1" t="str">
        <f>MID(B173,3,2)</f>
        <v/>
      </c>
      <c r="E173" s="1" t="str">
        <f>CONCATENATE(I173,K173)</f>
        <v/>
      </c>
      <c r="F173" s="1" t="e">
        <f>VLOOKUP(I173,$U$23:$AL$40,MATCH(J173,$U$23:$AL$23,0),FALSE)</f>
        <v>#N/A</v>
      </c>
      <c r="G173" s="1" t="e">
        <f>VLOOKUP(J173,$U$23:$AL$40,MATCH(K173,$U$23:$AL$23,0),FALSE)</f>
        <v>#N/A</v>
      </c>
      <c r="H173" s="1" t="e">
        <f>VLOOKUP(I173,$U$23:$AL$40,MATCH(K173,$U$23:$AL$23,0),FALSE)</f>
        <v>#N/A</v>
      </c>
      <c r="I173" s="1" t="str">
        <f>MID(A173,1,1)</f>
        <v/>
      </c>
      <c r="J173" s="1" t="str">
        <f>MID(A173,2,1)</f>
        <v/>
      </c>
      <c r="K173" s="1" t="str">
        <f>MID(A173,4,1)</f>
        <v/>
      </c>
      <c r="L173" s="1" t="e">
        <f>VLOOKUP(I173,$U:$V,2,0)</f>
        <v>#N/A</v>
      </c>
      <c r="M173" s="1" t="e">
        <f>VLOOKUP(J173,$X:$Y,2,0)</f>
        <v>#N/A</v>
      </c>
      <c r="N173" s="1" t="e">
        <f>VLOOKUP(K173,$AA:$AB,2,0)</f>
        <v>#N/A</v>
      </c>
      <c r="O173" s="1">
        <f>IF(A173&lt;&gt;"",N173+M173+L173+F173+G173+H173,0)</f>
        <v>0</v>
      </c>
      <c r="V173"/>
    </row>
    <row r="174" spans="1:22" x14ac:dyDescent="0.25">
      <c r="A174"/>
      <c r="B174"/>
      <c r="C174" s="1" t="str">
        <f>MID(A174,1,2)</f>
        <v/>
      </c>
      <c r="D174" s="1" t="str">
        <f>MID(B174,3,2)</f>
        <v/>
      </c>
      <c r="E174" s="1" t="str">
        <f>CONCATENATE(I174,K174)</f>
        <v/>
      </c>
      <c r="F174" s="1" t="e">
        <f>VLOOKUP(I174,$U$23:$AL$40,MATCH(J174,$U$23:$AL$23,0),FALSE)</f>
        <v>#N/A</v>
      </c>
      <c r="G174" s="1" t="e">
        <f>VLOOKUP(J174,$U$23:$AL$40,MATCH(K174,$U$23:$AL$23,0),FALSE)</f>
        <v>#N/A</v>
      </c>
      <c r="H174" s="1" t="e">
        <f>VLOOKUP(I174,$U$23:$AL$40,MATCH(K174,$U$23:$AL$23,0),FALSE)</f>
        <v>#N/A</v>
      </c>
      <c r="I174" s="1" t="str">
        <f>MID(A174,1,1)</f>
        <v/>
      </c>
      <c r="J174" s="1" t="str">
        <f>MID(A174,2,1)</f>
        <v/>
      </c>
      <c r="K174" s="1" t="str">
        <f>MID(A174,4,1)</f>
        <v/>
      </c>
      <c r="L174" s="1" t="e">
        <f>VLOOKUP(I174,$U:$V,2,0)</f>
        <v>#N/A</v>
      </c>
      <c r="M174" s="1" t="e">
        <f>VLOOKUP(J174,$X:$Y,2,0)</f>
        <v>#N/A</v>
      </c>
      <c r="N174" s="1" t="e">
        <f>VLOOKUP(K174,$AA:$AB,2,0)</f>
        <v>#N/A</v>
      </c>
      <c r="O174" s="1">
        <f>IF(A174&lt;&gt;"",N174+M174+L174+F174+G174+H174,0)</f>
        <v>0</v>
      </c>
      <c r="V174"/>
    </row>
    <row r="175" spans="1:22" x14ac:dyDescent="0.25">
      <c r="A175"/>
      <c r="B175"/>
      <c r="C175" s="1" t="str">
        <f>MID(A175,1,2)</f>
        <v/>
      </c>
      <c r="D175" s="1" t="str">
        <f>MID(B175,3,2)</f>
        <v/>
      </c>
      <c r="E175" s="1" t="str">
        <f>CONCATENATE(I175,K175)</f>
        <v/>
      </c>
      <c r="F175" s="1" t="e">
        <f>VLOOKUP(I175,$U$23:$AL$40,MATCH(J175,$U$23:$AL$23,0),FALSE)</f>
        <v>#N/A</v>
      </c>
      <c r="G175" s="1" t="e">
        <f>VLOOKUP(J175,$U$23:$AL$40,MATCH(K175,$U$23:$AL$23,0),FALSE)</f>
        <v>#N/A</v>
      </c>
      <c r="H175" s="1" t="e">
        <f>VLOOKUP(I175,$U$23:$AL$40,MATCH(K175,$U$23:$AL$23,0),FALSE)</f>
        <v>#N/A</v>
      </c>
      <c r="I175" s="1" t="str">
        <f>MID(A175,1,1)</f>
        <v/>
      </c>
      <c r="J175" s="1" t="str">
        <f>MID(A175,2,1)</f>
        <v/>
      </c>
      <c r="K175" s="1" t="str">
        <f>MID(A175,4,1)</f>
        <v/>
      </c>
      <c r="L175" s="1" t="e">
        <f>VLOOKUP(I175,$U:$V,2,0)</f>
        <v>#N/A</v>
      </c>
      <c r="M175" s="1" t="e">
        <f>VLOOKUP(J175,$X:$Y,2,0)</f>
        <v>#N/A</v>
      </c>
      <c r="N175" s="1" t="e">
        <f>VLOOKUP(K175,$AA:$AB,2,0)</f>
        <v>#N/A</v>
      </c>
      <c r="O175" s="1">
        <f>IF(A175&lt;&gt;"",N175+M175+L175+F175+G175+H175,0)</f>
        <v>0</v>
      </c>
      <c r="V175"/>
    </row>
    <row r="176" spans="1:22" x14ac:dyDescent="0.25">
      <c r="A176"/>
      <c r="B176"/>
      <c r="C176" s="1" t="str">
        <f>MID(A176,1,2)</f>
        <v/>
      </c>
      <c r="D176" s="1" t="str">
        <f>MID(B176,3,2)</f>
        <v/>
      </c>
      <c r="E176" s="1" t="str">
        <f>CONCATENATE(I176,K176)</f>
        <v/>
      </c>
      <c r="F176" s="1" t="e">
        <f>VLOOKUP(I176,$U$23:$AL$40,MATCH(J176,$U$23:$AL$23,0),FALSE)</f>
        <v>#N/A</v>
      </c>
      <c r="G176" s="1" t="e">
        <f>VLOOKUP(J176,$U$23:$AL$40,MATCH(K176,$U$23:$AL$23,0),FALSE)</f>
        <v>#N/A</v>
      </c>
      <c r="H176" s="1" t="e">
        <f>VLOOKUP(I176,$U$23:$AL$40,MATCH(K176,$U$23:$AL$23,0),FALSE)</f>
        <v>#N/A</v>
      </c>
      <c r="I176" s="1" t="str">
        <f>MID(A176,1,1)</f>
        <v/>
      </c>
      <c r="J176" s="1" t="str">
        <f>MID(A176,2,1)</f>
        <v/>
      </c>
      <c r="K176" s="1" t="str">
        <f>MID(A176,4,1)</f>
        <v/>
      </c>
      <c r="L176" s="1" t="e">
        <f>VLOOKUP(I176,$U:$V,2,0)</f>
        <v>#N/A</v>
      </c>
      <c r="M176" s="1" t="e">
        <f>VLOOKUP(J176,$X:$Y,2,0)</f>
        <v>#N/A</v>
      </c>
      <c r="N176" s="1" t="e">
        <f>VLOOKUP(K176,$AA:$AB,2,0)</f>
        <v>#N/A</v>
      </c>
      <c r="O176" s="1">
        <f>IF(A176&lt;&gt;"",N176+M176+L176+F176+G176+H176,0)</f>
        <v>0</v>
      </c>
      <c r="V176"/>
    </row>
    <row r="177" spans="1:22" x14ac:dyDescent="0.25">
      <c r="A177"/>
      <c r="B177"/>
      <c r="C177" s="1" t="str">
        <f>MID(A177,1,2)</f>
        <v/>
      </c>
      <c r="D177" s="1" t="str">
        <f>MID(B177,3,2)</f>
        <v/>
      </c>
      <c r="E177" s="1" t="str">
        <f>CONCATENATE(I177,K177)</f>
        <v/>
      </c>
      <c r="F177" s="1" t="e">
        <f>VLOOKUP(I177,$U$23:$AL$40,MATCH(J177,$U$23:$AL$23,0),FALSE)</f>
        <v>#N/A</v>
      </c>
      <c r="G177" s="1" t="e">
        <f>VLOOKUP(J177,$U$23:$AL$40,MATCH(K177,$U$23:$AL$23,0),FALSE)</f>
        <v>#N/A</v>
      </c>
      <c r="H177" s="1" t="e">
        <f>VLOOKUP(I177,$U$23:$AL$40,MATCH(K177,$U$23:$AL$23,0),FALSE)</f>
        <v>#N/A</v>
      </c>
      <c r="I177" s="1" t="str">
        <f>MID(A177,1,1)</f>
        <v/>
      </c>
      <c r="J177" s="1" t="str">
        <f>MID(A177,2,1)</f>
        <v/>
      </c>
      <c r="K177" s="1" t="str">
        <f>MID(A177,4,1)</f>
        <v/>
      </c>
      <c r="L177" s="1" t="e">
        <f>VLOOKUP(I177,$U:$V,2,0)</f>
        <v>#N/A</v>
      </c>
      <c r="M177" s="1" t="e">
        <f>VLOOKUP(J177,$X:$Y,2,0)</f>
        <v>#N/A</v>
      </c>
      <c r="N177" s="1" t="e">
        <f>VLOOKUP(K177,$AA:$AB,2,0)</f>
        <v>#N/A</v>
      </c>
      <c r="O177" s="1">
        <f>IF(A177&lt;&gt;"",N177+M177+L177+F177+G177+H177,0)</f>
        <v>0</v>
      </c>
      <c r="V177"/>
    </row>
    <row r="178" spans="1:22" x14ac:dyDescent="0.25">
      <c r="A178"/>
      <c r="B178"/>
      <c r="C178" s="1" t="str">
        <f>MID(A178,1,2)</f>
        <v/>
      </c>
      <c r="D178" s="1" t="str">
        <f>MID(B178,3,2)</f>
        <v/>
      </c>
      <c r="E178" s="1" t="str">
        <f>CONCATENATE(I178,K178)</f>
        <v/>
      </c>
      <c r="F178" s="1" t="e">
        <f>VLOOKUP(I178,$U$23:$AL$40,MATCH(J178,$U$23:$AL$23,0),FALSE)</f>
        <v>#N/A</v>
      </c>
      <c r="G178" s="1" t="e">
        <f>VLOOKUP(J178,$U$23:$AL$40,MATCH(K178,$U$23:$AL$23,0),FALSE)</f>
        <v>#N/A</v>
      </c>
      <c r="H178" s="1" t="e">
        <f>VLOOKUP(I178,$U$23:$AL$40,MATCH(K178,$U$23:$AL$23,0),FALSE)</f>
        <v>#N/A</v>
      </c>
      <c r="I178" s="1" t="str">
        <f>MID(A178,1,1)</f>
        <v/>
      </c>
      <c r="J178" s="1" t="str">
        <f>MID(A178,2,1)</f>
        <v/>
      </c>
      <c r="K178" s="1" t="str">
        <f>MID(A178,4,1)</f>
        <v/>
      </c>
      <c r="L178" s="1" t="e">
        <f>VLOOKUP(I178,$U:$V,2,0)</f>
        <v>#N/A</v>
      </c>
      <c r="M178" s="1" t="e">
        <f>VLOOKUP(J178,$X:$Y,2,0)</f>
        <v>#N/A</v>
      </c>
      <c r="N178" s="1" t="e">
        <f>VLOOKUP(K178,$AA:$AB,2,0)</f>
        <v>#N/A</v>
      </c>
      <c r="O178" s="1">
        <f>IF(A178&lt;&gt;"",N178+M178+L178+F178+G178+H178,0)</f>
        <v>0</v>
      </c>
      <c r="V178"/>
    </row>
    <row r="179" spans="1:22" x14ac:dyDescent="0.25">
      <c r="A179"/>
      <c r="B179"/>
      <c r="C179" s="1" t="str">
        <f>MID(A179,1,2)</f>
        <v/>
      </c>
      <c r="D179" s="1" t="str">
        <f>MID(B179,3,2)</f>
        <v/>
      </c>
      <c r="E179" s="1" t="str">
        <f>CONCATENATE(I179,K179)</f>
        <v/>
      </c>
      <c r="F179" s="1" t="e">
        <f>VLOOKUP(I179,$U$23:$AL$40,MATCH(J179,$U$23:$AL$23,0),FALSE)</f>
        <v>#N/A</v>
      </c>
      <c r="G179" s="1" t="e">
        <f>VLOOKUP(J179,$U$23:$AL$40,MATCH(K179,$U$23:$AL$23,0),FALSE)</f>
        <v>#N/A</v>
      </c>
      <c r="H179" s="1" t="e">
        <f>VLOOKUP(I179,$U$23:$AL$40,MATCH(K179,$U$23:$AL$23,0),FALSE)</f>
        <v>#N/A</v>
      </c>
      <c r="I179" s="1" t="str">
        <f>MID(A179,1,1)</f>
        <v/>
      </c>
      <c r="J179" s="1" t="str">
        <f>MID(A179,2,1)</f>
        <v/>
      </c>
      <c r="K179" s="1" t="str">
        <f>MID(A179,4,1)</f>
        <v/>
      </c>
      <c r="L179" s="1" t="e">
        <f>VLOOKUP(I179,$U:$V,2,0)</f>
        <v>#N/A</v>
      </c>
      <c r="M179" s="1" t="e">
        <f>VLOOKUP(J179,$X:$Y,2,0)</f>
        <v>#N/A</v>
      </c>
      <c r="N179" s="1" t="e">
        <f>VLOOKUP(K179,$AA:$AB,2,0)</f>
        <v>#N/A</v>
      </c>
      <c r="O179" s="1">
        <f>IF(A179&lt;&gt;"",N179+M179+L179+F179+G179+H179,0)</f>
        <v>0</v>
      </c>
      <c r="V179"/>
    </row>
    <row r="180" spans="1:22" x14ac:dyDescent="0.25">
      <c r="A180"/>
      <c r="B180"/>
      <c r="C180" s="1" t="str">
        <f>MID(A180,1,2)</f>
        <v/>
      </c>
      <c r="D180" s="1" t="str">
        <f>MID(B180,3,2)</f>
        <v/>
      </c>
      <c r="E180" s="1" t="str">
        <f>CONCATENATE(I180,K180)</f>
        <v/>
      </c>
      <c r="F180" s="1" t="e">
        <f>VLOOKUP(I180,$U$23:$AL$40,MATCH(J180,$U$23:$AL$23,0),FALSE)</f>
        <v>#N/A</v>
      </c>
      <c r="G180" s="1" t="e">
        <f>VLOOKUP(J180,$U$23:$AL$40,MATCH(K180,$U$23:$AL$23,0),FALSE)</f>
        <v>#N/A</v>
      </c>
      <c r="H180" s="1" t="e">
        <f>VLOOKUP(I180,$U$23:$AL$40,MATCH(K180,$U$23:$AL$23,0),FALSE)</f>
        <v>#N/A</v>
      </c>
      <c r="I180" s="1" t="str">
        <f>MID(A180,1,1)</f>
        <v/>
      </c>
      <c r="J180" s="1" t="str">
        <f>MID(A180,2,1)</f>
        <v/>
      </c>
      <c r="K180" s="1" t="str">
        <f>MID(A180,4,1)</f>
        <v/>
      </c>
      <c r="L180" s="1" t="e">
        <f>VLOOKUP(I180,$U:$V,2,0)</f>
        <v>#N/A</v>
      </c>
      <c r="M180" s="1" t="e">
        <f>VLOOKUP(J180,$X:$Y,2,0)</f>
        <v>#N/A</v>
      </c>
      <c r="N180" s="1" t="e">
        <f>VLOOKUP(K180,$AA:$AB,2,0)</f>
        <v>#N/A</v>
      </c>
      <c r="O180" s="1">
        <f>IF(A180&lt;&gt;"",N180+M180+L180+F180+G180+H180,0)</f>
        <v>0</v>
      </c>
    </row>
    <row r="181" spans="1:22" x14ac:dyDescent="0.25">
      <c r="A181"/>
      <c r="B181"/>
      <c r="C181" s="1" t="str">
        <f>MID(A181,1,2)</f>
        <v/>
      </c>
      <c r="D181" s="1" t="str">
        <f>MID(B181,3,2)</f>
        <v/>
      </c>
      <c r="E181" s="1" t="str">
        <f>CONCATENATE(I181,K181)</f>
        <v/>
      </c>
      <c r="F181" s="1" t="e">
        <f>VLOOKUP(I181,$U$23:$AL$40,MATCH(J181,$U$23:$AL$23,0),FALSE)</f>
        <v>#N/A</v>
      </c>
      <c r="G181" s="1" t="e">
        <f>VLOOKUP(J181,$U$23:$AL$40,MATCH(K181,$U$23:$AL$23,0),FALSE)</f>
        <v>#N/A</v>
      </c>
      <c r="H181" s="1" t="e">
        <f>VLOOKUP(I181,$U$23:$AL$40,MATCH(K181,$U$23:$AL$23,0),FALSE)</f>
        <v>#N/A</v>
      </c>
      <c r="I181" s="1" t="str">
        <f>MID(A181,1,1)</f>
        <v/>
      </c>
      <c r="J181" s="1" t="str">
        <f>MID(A181,2,1)</f>
        <v/>
      </c>
      <c r="K181" s="1" t="str">
        <f>MID(A181,4,1)</f>
        <v/>
      </c>
      <c r="L181" s="1" t="e">
        <f>VLOOKUP(I181,$U:$V,2,0)</f>
        <v>#N/A</v>
      </c>
      <c r="M181" s="1" t="e">
        <f>VLOOKUP(J181,$X:$Y,2,0)</f>
        <v>#N/A</v>
      </c>
      <c r="N181" s="1" t="e">
        <f>VLOOKUP(K181,$AA:$AB,2,0)</f>
        <v>#N/A</v>
      </c>
      <c r="O181" s="1">
        <f>IF(A181&lt;&gt;"",N181+M181+L181+F181+G181+H181,0)</f>
        <v>0</v>
      </c>
    </row>
    <row r="182" spans="1:22" x14ac:dyDescent="0.25">
      <c r="A182"/>
      <c r="B182"/>
      <c r="C182" s="1" t="str">
        <f>MID(A182,1,2)</f>
        <v/>
      </c>
      <c r="D182" s="1" t="str">
        <f>MID(B182,3,2)</f>
        <v/>
      </c>
      <c r="E182" s="1" t="str">
        <f>CONCATENATE(I182,K182)</f>
        <v/>
      </c>
      <c r="F182" s="1" t="e">
        <f>VLOOKUP(I182,$U$23:$AL$40,MATCH(J182,$U$23:$AL$23,0),FALSE)</f>
        <v>#N/A</v>
      </c>
      <c r="G182" s="1" t="e">
        <f>VLOOKUP(J182,$U$23:$AL$40,MATCH(K182,$U$23:$AL$23,0),FALSE)</f>
        <v>#N/A</v>
      </c>
      <c r="H182" s="1" t="e">
        <f>VLOOKUP(I182,$U$23:$AL$40,MATCH(K182,$U$23:$AL$23,0),FALSE)</f>
        <v>#N/A</v>
      </c>
      <c r="I182" s="1" t="str">
        <f>MID(A182,1,1)</f>
        <v/>
      </c>
      <c r="J182" s="1" t="str">
        <f>MID(A182,2,1)</f>
        <v/>
      </c>
      <c r="K182" s="1" t="str">
        <f>MID(A182,4,1)</f>
        <v/>
      </c>
      <c r="L182" s="1" t="e">
        <f>VLOOKUP(I182,$U:$V,2,0)</f>
        <v>#N/A</v>
      </c>
      <c r="M182" s="1" t="e">
        <f>VLOOKUP(J182,$X:$Y,2,0)</f>
        <v>#N/A</v>
      </c>
      <c r="N182" s="1" t="e">
        <f>VLOOKUP(K182,$AA:$AB,2,0)</f>
        <v>#N/A</v>
      </c>
      <c r="O182" s="1">
        <f>IF(A182&lt;&gt;"",N182+M182+L182+F182+G182+H182,0)</f>
        <v>0</v>
      </c>
    </row>
    <row r="183" spans="1:22" x14ac:dyDescent="0.25">
      <c r="A183"/>
      <c r="B183"/>
      <c r="C183" s="1" t="str">
        <f>MID(A183,1,2)</f>
        <v/>
      </c>
      <c r="D183" s="1" t="str">
        <f>MID(B183,3,2)</f>
        <v/>
      </c>
      <c r="E183" s="1" t="str">
        <f>CONCATENATE(I183,K183)</f>
        <v/>
      </c>
      <c r="F183" s="1" t="e">
        <f>VLOOKUP(I183,$U$23:$AL$40,MATCH(J183,$U$23:$AL$23,0),FALSE)</f>
        <v>#N/A</v>
      </c>
      <c r="G183" s="1" t="e">
        <f>VLOOKUP(J183,$U$23:$AL$40,MATCH(K183,$U$23:$AL$23,0),FALSE)</f>
        <v>#N/A</v>
      </c>
      <c r="H183" s="1" t="e">
        <f>VLOOKUP(I183,$U$23:$AL$40,MATCH(K183,$U$23:$AL$23,0),FALSE)</f>
        <v>#N/A</v>
      </c>
      <c r="I183" s="1" t="str">
        <f>MID(A183,1,1)</f>
        <v/>
      </c>
      <c r="J183" s="1" t="str">
        <f>MID(A183,2,1)</f>
        <v/>
      </c>
      <c r="K183" s="1" t="str">
        <f>MID(A183,4,1)</f>
        <v/>
      </c>
      <c r="L183" s="1" t="e">
        <f>VLOOKUP(I183,$U:$V,2,0)</f>
        <v>#N/A</v>
      </c>
      <c r="M183" s="1" t="e">
        <f>VLOOKUP(J183,$X:$Y,2,0)</f>
        <v>#N/A</v>
      </c>
      <c r="N183" s="1" t="e">
        <f>VLOOKUP(K183,$AA:$AB,2,0)</f>
        <v>#N/A</v>
      </c>
      <c r="O183" s="1">
        <f>IF(A183&lt;&gt;"",N183+M183+L183+F183+G183+H183,0)</f>
        <v>0</v>
      </c>
    </row>
    <row r="184" spans="1:22" x14ac:dyDescent="0.25">
      <c r="A184"/>
      <c r="B184"/>
      <c r="C184" s="1" t="str">
        <f>MID(A184,1,2)</f>
        <v/>
      </c>
      <c r="D184" s="1" t="str">
        <f>MID(B184,3,2)</f>
        <v/>
      </c>
      <c r="E184" s="1" t="str">
        <f>CONCATENATE(I184,K184)</f>
        <v/>
      </c>
      <c r="F184" s="1" t="e">
        <f>VLOOKUP(I184,$U$23:$AL$40,MATCH(J184,$U$23:$AL$23,0),FALSE)</f>
        <v>#N/A</v>
      </c>
      <c r="G184" s="1" t="e">
        <f>VLOOKUP(J184,$U$23:$AL$40,MATCH(K184,$U$23:$AL$23,0),FALSE)</f>
        <v>#N/A</v>
      </c>
      <c r="H184" s="1" t="e">
        <f>VLOOKUP(I184,$U$23:$AL$40,MATCH(K184,$U$23:$AL$23,0),FALSE)</f>
        <v>#N/A</v>
      </c>
      <c r="I184" s="1" t="str">
        <f>MID(A184,1,1)</f>
        <v/>
      </c>
      <c r="J184" s="1" t="str">
        <f>MID(A184,2,1)</f>
        <v/>
      </c>
      <c r="K184" s="1" t="str">
        <f>MID(A184,4,1)</f>
        <v/>
      </c>
      <c r="L184" s="1" t="e">
        <f>VLOOKUP(I184,$U:$V,2,0)</f>
        <v>#N/A</v>
      </c>
      <c r="M184" s="1" t="e">
        <f>VLOOKUP(J184,$X:$Y,2,0)</f>
        <v>#N/A</v>
      </c>
      <c r="N184" s="1" t="e">
        <f>VLOOKUP(K184,$AA:$AB,2,0)</f>
        <v>#N/A</v>
      </c>
      <c r="O184" s="1">
        <f>IF(A184&lt;&gt;"",N184+M184+L184+F184+G184+H184,0)</f>
        <v>0</v>
      </c>
    </row>
    <row r="185" spans="1:22" x14ac:dyDescent="0.25">
      <c r="A185"/>
      <c r="B185"/>
      <c r="C185" s="1" t="str">
        <f>MID(A185,1,2)</f>
        <v/>
      </c>
      <c r="D185" s="1" t="str">
        <f>MID(B185,3,2)</f>
        <v/>
      </c>
      <c r="E185" s="1" t="str">
        <f>CONCATENATE(I185,K185)</f>
        <v/>
      </c>
      <c r="F185" s="1" t="e">
        <f>VLOOKUP(I185,$U$23:$AL$40,MATCH(J185,$U$23:$AL$23,0),FALSE)</f>
        <v>#N/A</v>
      </c>
      <c r="G185" s="1" t="e">
        <f>VLOOKUP(J185,$U$23:$AL$40,MATCH(K185,$U$23:$AL$23,0),FALSE)</f>
        <v>#N/A</v>
      </c>
      <c r="H185" s="1" t="e">
        <f>VLOOKUP(I185,$U$23:$AL$40,MATCH(K185,$U$23:$AL$23,0),FALSE)</f>
        <v>#N/A</v>
      </c>
      <c r="I185" s="1" t="str">
        <f>MID(A185,1,1)</f>
        <v/>
      </c>
      <c r="J185" s="1" t="str">
        <f>MID(A185,2,1)</f>
        <v/>
      </c>
      <c r="K185" s="1" t="str">
        <f>MID(A185,4,1)</f>
        <v/>
      </c>
      <c r="L185" s="1" t="e">
        <f>VLOOKUP(I185,$U:$V,2,0)</f>
        <v>#N/A</v>
      </c>
      <c r="M185" s="1" t="e">
        <f>VLOOKUP(J185,$X:$Y,2,0)</f>
        <v>#N/A</v>
      </c>
      <c r="N185" s="1" t="e">
        <f>VLOOKUP(K185,$AA:$AB,2,0)</f>
        <v>#N/A</v>
      </c>
      <c r="O185" s="1">
        <f>IF(A185&lt;&gt;"",N185+M185+L185+F185+G185+H185,0)</f>
        <v>0</v>
      </c>
    </row>
    <row r="186" spans="1:22" x14ac:dyDescent="0.25">
      <c r="A186"/>
      <c r="B186"/>
      <c r="C186" s="1" t="str">
        <f>MID(A186,1,2)</f>
        <v/>
      </c>
      <c r="D186" s="1" t="str">
        <f>MID(B186,3,2)</f>
        <v/>
      </c>
      <c r="E186" s="1" t="str">
        <f>CONCATENATE(I186,K186)</f>
        <v/>
      </c>
      <c r="F186" s="1" t="e">
        <f>VLOOKUP(I186,$U$23:$AL$40,MATCH(J186,$U$23:$AL$23,0),FALSE)</f>
        <v>#N/A</v>
      </c>
      <c r="G186" s="1" t="e">
        <f>VLOOKUP(J186,$U$23:$AL$40,MATCH(K186,$U$23:$AL$23,0),FALSE)</f>
        <v>#N/A</v>
      </c>
      <c r="H186" s="1" t="e">
        <f>VLOOKUP(I186,$U$23:$AL$40,MATCH(K186,$U$23:$AL$23,0),FALSE)</f>
        <v>#N/A</v>
      </c>
      <c r="I186" s="1" t="str">
        <f>MID(A186,1,1)</f>
        <v/>
      </c>
      <c r="J186" s="1" t="str">
        <f>MID(A186,2,1)</f>
        <v/>
      </c>
      <c r="K186" s="1" t="str">
        <f>MID(A186,4,1)</f>
        <v/>
      </c>
      <c r="L186" s="1" t="e">
        <f>VLOOKUP(I186,$U:$V,2,0)</f>
        <v>#N/A</v>
      </c>
      <c r="M186" s="1" t="e">
        <f>VLOOKUP(J186,$X:$Y,2,0)</f>
        <v>#N/A</v>
      </c>
      <c r="N186" s="1" t="e">
        <f>VLOOKUP(K186,$AA:$AB,2,0)</f>
        <v>#N/A</v>
      </c>
      <c r="O186" s="1">
        <f>IF(A186&lt;&gt;"",N186+M186+L186+F186+G186+H186,0)</f>
        <v>0</v>
      </c>
      <c r="S186" s="40"/>
      <c r="U186"/>
    </row>
    <row r="187" spans="1:22" x14ac:dyDescent="0.25">
      <c r="A187"/>
      <c r="B187"/>
      <c r="C187" s="1" t="str">
        <f>MID(A187,1,2)</f>
        <v/>
      </c>
      <c r="D187" s="1" t="str">
        <f>MID(B187,3,2)</f>
        <v/>
      </c>
      <c r="E187" s="1" t="str">
        <f>CONCATENATE(I187,K187)</f>
        <v/>
      </c>
      <c r="F187" s="1" t="e">
        <f>VLOOKUP(I187,$U$23:$AL$40,MATCH(J187,$U$23:$AL$23,0),FALSE)</f>
        <v>#N/A</v>
      </c>
      <c r="G187" s="1" t="e">
        <f>VLOOKUP(J187,$U$23:$AL$40,MATCH(K187,$U$23:$AL$23,0),FALSE)</f>
        <v>#N/A</v>
      </c>
      <c r="H187" s="1" t="e">
        <f>VLOOKUP(I187,$U$23:$AL$40,MATCH(K187,$U$23:$AL$23,0),FALSE)</f>
        <v>#N/A</v>
      </c>
      <c r="I187" s="1" t="str">
        <f>MID(A187,1,1)</f>
        <v/>
      </c>
      <c r="J187" s="1" t="str">
        <f>MID(A187,2,1)</f>
        <v/>
      </c>
      <c r="K187" s="1" t="str">
        <f>MID(A187,4,1)</f>
        <v/>
      </c>
      <c r="L187" s="1" t="e">
        <f>VLOOKUP(I187,$U:$V,2,0)</f>
        <v>#N/A</v>
      </c>
      <c r="M187" s="1" t="e">
        <f>VLOOKUP(J187,$X:$Y,2,0)</f>
        <v>#N/A</v>
      </c>
      <c r="N187" s="1" t="e">
        <f>VLOOKUP(K187,$AA:$AB,2,0)</f>
        <v>#N/A</v>
      </c>
      <c r="O187" s="1">
        <f>IF(A187&lt;&gt;"",N187+M187+L187+F187+G187+H187,0)</f>
        <v>0</v>
      </c>
      <c r="U187"/>
    </row>
    <row r="188" spans="1:22" x14ac:dyDescent="0.25">
      <c r="A188"/>
      <c r="B188"/>
      <c r="C188" s="1" t="str">
        <f>MID(A188,1,2)</f>
        <v/>
      </c>
      <c r="D188" s="1" t="str">
        <f>MID(B188,3,2)</f>
        <v/>
      </c>
      <c r="E188" s="1" t="str">
        <f>CONCATENATE(I188,K188)</f>
        <v/>
      </c>
      <c r="F188" s="1" t="e">
        <f>VLOOKUP(I188,$U$23:$AL$40,MATCH(J188,$U$23:$AL$23,0),FALSE)</f>
        <v>#N/A</v>
      </c>
      <c r="G188" s="1" t="e">
        <f>VLOOKUP(J188,$U$23:$AL$40,MATCH(K188,$U$23:$AL$23,0),FALSE)</f>
        <v>#N/A</v>
      </c>
      <c r="H188" s="1" t="e">
        <f>VLOOKUP(I188,$U$23:$AL$40,MATCH(K188,$U$23:$AL$23,0),FALSE)</f>
        <v>#N/A</v>
      </c>
      <c r="I188" s="1" t="str">
        <f>MID(A188,1,1)</f>
        <v/>
      </c>
      <c r="J188" s="1" t="str">
        <f>MID(A188,2,1)</f>
        <v/>
      </c>
      <c r="K188" s="1" t="str">
        <f>MID(A188,4,1)</f>
        <v/>
      </c>
      <c r="L188" s="1" t="e">
        <f>VLOOKUP(I188,$U:$V,2,0)</f>
        <v>#N/A</v>
      </c>
      <c r="M188" s="1" t="e">
        <f>VLOOKUP(J188,$X:$Y,2,0)</f>
        <v>#N/A</v>
      </c>
      <c r="N188" s="1" t="e">
        <f>VLOOKUP(K188,$AA:$AB,2,0)</f>
        <v>#N/A</v>
      </c>
      <c r="O188" s="1">
        <f>IF(A188&lt;&gt;"",N188+M188+L188+F188+G188+H188,0)</f>
        <v>0</v>
      </c>
      <c r="U188"/>
    </row>
    <row r="189" spans="1:22" x14ac:dyDescent="0.25">
      <c r="A189"/>
      <c r="B189"/>
      <c r="C189" s="1" t="str">
        <f>MID(A189,1,2)</f>
        <v/>
      </c>
      <c r="D189" s="1" t="str">
        <f>MID(B189,3,2)</f>
        <v/>
      </c>
      <c r="E189" s="1" t="str">
        <f>CONCATENATE(I189,K189)</f>
        <v/>
      </c>
      <c r="F189" s="1" t="e">
        <f>VLOOKUP(I189,$U$23:$AL$40,MATCH(J189,$U$23:$AL$23,0),FALSE)</f>
        <v>#N/A</v>
      </c>
      <c r="G189" s="1" t="e">
        <f>VLOOKUP(J189,$U$23:$AL$40,MATCH(K189,$U$23:$AL$23,0),FALSE)</f>
        <v>#N/A</v>
      </c>
      <c r="H189" s="1" t="e">
        <f>VLOOKUP(I189,$U$23:$AL$40,MATCH(K189,$U$23:$AL$23,0),FALSE)</f>
        <v>#N/A</v>
      </c>
      <c r="I189" s="1" t="str">
        <f>MID(A189,1,1)</f>
        <v/>
      </c>
      <c r="J189" s="1" t="str">
        <f>MID(A189,2,1)</f>
        <v/>
      </c>
      <c r="K189" s="1" t="str">
        <f>MID(A189,4,1)</f>
        <v/>
      </c>
      <c r="L189" s="1" t="e">
        <f>VLOOKUP(I189,$U:$V,2,0)</f>
        <v>#N/A</v>
      </c>
      <c r="M189" s="1" t="e">
        <f>VLOOKUP(J189,$X:$Y,2,0)</f>
        <v>#N/A</v>
      </c>
      <c r="N189" s="1" t="e">
        <f>VLOOKUP(K189,$AA:$AB,2,0)</f>
        <v>#N/A</v>
      </c>
      <c r="O189" s="1">
        <f>IF(A189&lt;&gt;"",N189+M189+L189+F189+G189+H189,0)</f>
        <v>0</v>
      </c>
      <c r="U189"/>
    </row>
    <row r="190" spans="1:22" x14ac:dyDescent="0.25">
      <c r="A190"/>
      <c r="B190"/>
      <c r="C190" s="1" t="str">
        <f>MID(A190,1,2)</f>
        <v/>
      </c>
      <c r="D190" s="1" t="str">
        <f>MID(B190,3,2)</f>
        <v/>
      </c>
      <c r="E190" s="1" t="str">
        <f>CONCATENATE(I190,K190)</f>
        <v/>
      </c>
      <c r="F190" s="1" t="e">
        <f>VLOOKUP(I190,$U$23:$AL$40,MATCH(J190,$U$23:$AL$23,0),FALSE)</f>
        <v>#N/A</v>
      </c>
      <c r="G190" s="1" t="e">
        <f>VLOOKUP(J190,$U$23:$AL$40,MATCH(K190,$U$23:$AL$23,0),FALSE)</f>
        <v>#N/A</v>
      </c>
      <c r="H190" s="1" t="e">
        <f>VLOOKUP(I190,$U$23:$AL$40,MATCH(K190,$U$23:$AL$23,0),FALSE)</f>
        <v>#N/A</v>
      </c>
      <c r="I190" s="1" t="str">
        <f>MID(A190,1,1)</f>
        <v/>
      </c>
      <c r="J190" s="1" t="str">
        <f>MID(A190,2,1)</f>
        <v/>
      </c>
      <c r="K190" s="1" t="str">
        <f>MID(A190,4,1)</f>
        <v/>
      </c>
      <c r="L190" s="1" t="e">
        <f>VLOOKUP(I190,$U:$V,2,0)</f>
        <v>#N/A</v>
      </c>
      <c r="M190" s="1" t="e">
        <f>VLOOKUP(J190,$X:$Y,2,0)</f>
        <v>#N/A</v>
      </c>
      <c r="N190" s="1" t="e">
        <f>VLOOKUP(K190,$AA:$AB,2,0)</f>
        <v>#N/A</v>
      </c>
      <c r="O190" s="1">
        <f>IF(A190&lt;&gt;"",N190+M190+L190+F190+G190+H190,0)</f>
        <v>0</v>
      </c>
      <c r="U190"/>
    </row>
    <row r="191" spans="1:22" x14ac:dyDescent="0.25">
      <c r="A191"/>
      <c r="B191"/>
      <c r="C191" s="1" t="str">
        <f>MID(A191,1,2)</f>
        <v/>
      </c>
      <c r="D191" s="1" t="str">
        <f>MID(B191,3,2)</f>
        <v/>
      </c>
      <c r="E191" s="1" t="str">
        <f>CONCATENATE(I191,K191)</f>
        <v/>
      </c>
      <c r="F191" s="1" t="e">
        <f>VLOOKUP(I191,$U$23:$AL$40,MATCH(J191,$U$23:$AL$23,0),FALSE)</f>
        <v>#N/A</v>
      </c>
      <c r="G191" s="1" t="e">
        <f>VLOOKUP(J191,$U$23:$AL$40,MATCH(K191,$U$23:$AL$23,0),FALSE)</f>
        <v>#N/A</v>
      </c>
      <c r="H191" s="1" t="e">
        <f>VLOOKUP(I191,$U$23:$AL$40,MATCH(K191,$U$23:$AL$23,0),FALSE)</f>
        <v>#N/A</v>
      </c>
      <c r="I191" s="1" t="str">
        <f>MID(A191,1,1)</f>
        <v/>
      </c>
      <c r="J191" s="1" t="str">
        <f>MID(A191,2,1)</f>
        <v/>
      </c>
      <c r="K191" s="1" t="str">
        <f>MID(A191,4,1)</f>
        <v/>
      </c>
      <c r="L191" s="1" t="e">
        <f>VLOOKUP(I191,$U:$V,2,0)</f>
        <v>#N/A</v>
      </c>
      <c r="M191" s="1" t="e">
        <f>VLOOKUP(J191,$X:$Y,2,0)</f>
        <v>#N/A</v>
      </c>
      <c r="N191" s="1" t="e">
        <f>VLOOKUP(K191,$AA:$AB,2,0)</f>
        <v>#N/A</v>
      </c>
      <c r="O191" s="1">
        <f>IF(A191&lt;&gt;"",N191+M191+L191+F191+G191+H191,0)</f>
        <v>0</v>
      </c>
      <c r="U191"/>
    </row>
    <row r="192" spans="1:22" x14ac:dyDescent="0.25">
      <c r="A192"/>
      <c r="B192"/>
      <c r="C192" s="1" t="str">
        <f>MID(A192,1,2)</f>
        <v/>
      </c>
      <c r="D192" s="1" t="str">
        <f>MID(B192,3,2)</f>
        <v/>
      </c>
      <c r="E192" s="1" t="str">
        <f>CONCATENATE(I192,K192)</f>
        <v/>
      </c>
      <c r="F192" s="1" t="e">
        <f>VLOOKUP(I192,$U$23:$AL$40,MATCH(J192,$U$23:$AL$23,0),FALSE)</f>
        <v>#N/A</v>
      </c>
      <c r="G192" s="1" t="e">
        <f>VLOOKUP(J192,$U$23:$AL$40,MATCH(K192,$U$23:$AL$23,0),FALSE)</f>
        <v>#N/A</v>
      </c>
      <c r="H192" s="1" t="e">
        <f>VLOOKUP(I192,$U$23:$AL$40,MATCH(K192,$U$23:$AL$23,0),FALSE)</f>
        <v>#N/A</v>
      </c>
      <c r="I192" s="1" t="str">
        <f>MID(A192,1,1)</f>
        <v/>
      </c>
      <c r="J192" s="1" t="str">
        <f>MID(A192,2,1)</f>
        <v/>
      </c>
      <c r="K192" s="1" t="str">
        <f>MID(A192,4,1)</f>
        <v/>
      </c>
      <c r="L192" s="1" t="e">
        <f>VLOOKUP(I192,$U:$V,2,0)</f>
        <v>#N/A</v>
      </c>
      <c r="M192" s="1" t="e">
        <f>VLOOKUP(J192,$X:$Y,2,0)</f>
        <v>#N/A</v>
      </c>
      <c r="N192" s="1" t="e">
        <f>VLOOKUP(K192,$AA:$AB,2,0)</f>
        <v>#N/A</v>
      </c>
      <c r="O192" s="1">
        <f>IF(A192&lt;&gt;"",N192+M192+L192+F192+G192+H192,0)</f>
        <v>0</v>
      </c>
      <c r="U192"/>
    </row>
    <row r="193" spans="1:21" x14ac:dyDescent="0.25">
      <c r="A193"/>
      <c r="B193"/>
      <c r="C193" s="1" t="str">
        <f>MID(A193,1,2)</f>
        <v/>
      </c>
      <c r="D193" s="1" t="str">
        <f>MID(B193,3,2)</f>
        <v/>
      </c>
      <c r="E193" s="1" t="str">
        <f>CONCATENATE(I193,K193)</f>
        <v/>
      </c>
      <c r="F193" s="1" t="e">
        <f>VLOOKUP(I193,$U$23:$AL$40,MATCH(J193,$U$23:$AL$23,0),FALSE)</f>
        <v>#N/A</v>
      </c>
      <c r="G193" s="1" t="e">
        <f>VLOOKUP(J193,$U$23:$AL$40,MATCH(K193,$U$23:$AL$23,0),FALSE)</f>
        <v>#N/A</v>
      </c>
      <c r="H193" s="1" t="e">
        <f>VLOOKUP(I193,$U$23:$AL$40,MATCH(K193,$U$23:$AL$23,0),FALSE)</f>
        <v>#N/A</v>
      </c>
      <c r="I193" s="1" t="str">
        <f>MID(A193,1,1)</f>
        <v/>
      </c>
      <c r="J193" s="1" t="str">
        <f>MID(A193,2,1)</f>
        <v/>
      </c>
      <c r="K193" s="1" t="str">
        <f>MID(A193,4,1)</f>
        <v/>
      </c>
      <c r="L193" s="1" t="e">
        <f>VLOOKUP(I193,$U:$V,2,0)</f>
        <v>#N/A</v>
      </c>
      <c r="M193" s="1" t="e">
        <f>VLOOKUP(J193,$X:$Y,2,0)</f>
        <v>#N/A</v>
      </c>
      <c r="N193" s="1" t="e">
        <f>VLOOKUP(K193,$AA:$AB,2,0)</f>
        <v>#N/A</v>
      </c>
      <c r="O193" s="1">
        <f>IF(A193&lt;&gt;"",N193+M193+L193+F193+G193+H193,0)</f>
        <v>0</v>
      </c>
      <c r="U193"/>
    </row>
    <row r="194" spans="1:21" x14ac:dyDescent="0.25">
      <c r="A194"/>
      <c r="B194"/>
      <c r="C194" s="1" t="str">
        <f>MID(A194,1,2)</f>
        <v/>
      </c>
      <c r="D194" s="1" t="str">
        <f>MID(B194,3,2)</f>
        <v/>
      </c>
      <c r="E194" s="1" t="str">
        <f>CONCATENATE(I194,K194)</f>
        <v/>
      </c>
      <c r="F194" s="1" t="e">
        <f>VLOOKUP(I194,$U$23:$AL$40,MATCH(J194,$U$23:$AL$23,0),FALSE)</f>
        <v>#N/A</v>
      </c>
      <c r="G194" s="1" t="e">
        <f>VLOOKUP(J194,$U$23:$AL$40,MATCH(K194,$U$23:$AL$23,0),FALSE)</f>
        <v>#N/A</v>
      </c>
      <c r="H194" s="1" t="e">
        <f>VLOOKUP(I194,$U$23:$AL$40,MATCH(K194,$U$23:$AL$23,0),FALSE)</f>
        <v>#N/A</v>
      </c>
      <c r="I194" s="1" t="str">
        <f>MID(A194,1,1)</f>
        <v/>
      </c>
      <c r="J194" s="1" t="str">
        <f>MID(A194,2,1)</f>
        <v/>
      </c>
      <c r="K194" s="1" t="str">
        <f>MID(A194,4,1)</f>
        <v/>
      </c>
      <c r="L194" s="1" t="e">
        <f>VLOOKUP(I194,$U:$V,2,0)</f>
        <v>#N/A</v>
      </c>
      <c r="M194" s="1" t="e">
        <f>VLOOKUP(J194,$X:$Y,2,0)</f>
        <v>#N/A</v>
      </c>
      <c r="N194" s="1" t="e">
        <f>VLOOKUP(K194,$AA:$AB,2,0)</f>
        <v>#N/A</v>
      </c>
      <c r="O194" s="1">
        <f>IF(A194&lt;&gt;"",N194+M194+L194+F194+G194+H194,0)</f>
        <v>0</v>
      </c>
      <c r="U194"/>
    </row>
    <row r="195" spans="1:21" x14ac:dyDescent="0.25">
      <c r="A195"/>
      <c r="B195"/>
      <c r="C195" s="1" t="str">
        <f>MID(A195,1,2)</f>
        <v/>
      </c>
      <c r="D195" s="1" t="str">
        <f>MID(B195,3,2)</f>
        <v/>
      </c>
      <c r="E195" s="1" t="str">
        <f>CONCATENATE(I195,K195)</f>
        <v/>
      </c>
      <c r="F195" s="1" t="e">
        <f>VLOOKUP(I195,$U$23:$AL$40,MATCH(J195,$U$23:$AL$23,0),FALSE)</f>
        <v>#N/A</v>
      </c>
      <c r="G195" s="1" t="e">
        <f>VLOOKUP(J195,$U$23:$AL$40,MATCH(K195,$U$23:$AL$23,0),FALSE)</f>
        <v>#N/A</v>
      </c>
      <c r="H195" s="1" t="e">
        <f>VLOOKUP(I195,$U$23:$AL$40,MATCH(K195,$U$23:$AL$23,0),FALSE)</f>
        <v>#N/A</v>
      </c>
      <c r="I195" s="1" t="str">
        <f>MID(A195,1,1)</f>
        <v/>
      </c>
      <c r="J195" s="1" t="str">
        <f>MID(A195,2,1)</f>
        <v/>
      </c>
      <c r="K195" s="1" t="str">
        <f>MID(A195,4,1)</f>
        <v/>
      </c>
      <c r="L195" s="1" t="e">
        <f>VLOOKUP(I195,$U:$V,2,0)</f>
        <v>#N/A</v>
      </c>
      <c r="M195" s="1" t="e">
        <f>VLOOKUP(J195,$X:$Y,2,0)</f>
        <v>#N/A</v>
      </c>
      <c r="N195" s="1" t="e">
        <f>VLOOKUP(K195,$AA:$AB,2,0)</f>
        <v>#N/A</v>
      </c>
      <c r="O195" s="1">
        <f>IF(A195&lt;&gt;"",N195+M195+L195+F195+G195+H195,0)</f>
        <v>0</v>
      </c>
      <c r="U195"/>
    </row>
    <row r="196" spans="1:21" x14ac:dyDescent="0.25">
      <c r="A196"/>
      <c r="B196"/>
      <c r="C196" s="1" t="str">
        <f>MID(A196,1,2)</f>
        <v/>
      </c>
      <c r="D196" s="1" t="str">
        <f>MID(B196,3,2)</f>
        <v/>
      </c>
      <c r="E196" s="1" t="str">
        <f>CONCATENATE(I196,K196)</f>
        <v/>
      </c>
      <c r="F196" s="1" t="e">
        <f>VLOOKUP(I196,$U$23:$AL$40,MATCH(J196,$U$23:$AL$23,0),FALSE)</f>
        <v>#N/A</v>
      </c>
      <c r="G196" s="1" t="e">
        <f>VLOOKUP(J196,$U$23:$AL$40,MATCH(K196,$U$23:$AL$23,0),FALSE)</f>
        <v>#N/A</v>
      </c>
      <c r="H196" s="1" t="e">
        <f>VLOOKUP(I196,$U$23:$AL$40,MATCH(K196,$U$23:$AL$23,0),FALSE)</f>
        <v>#N/A</v>
      </c>
      <c r="I196" s="1" t="str">
        <f>MID(A196,1,1)</f>
        <v/>
      </c>
      <c r="J196" s="1" t="str">
        <f>MID(A196,2,1)</f>
        <v/>
      </c>
      <c r="K196" s="1" t="str">
        <f>MID(A196,4,1)</f>
        <v/>
      </c>
      <c r="L196" s="1" t="e">
        <f>VLOOKUP(I196,$U:$V,2,0)</f>
        <v>#N/A</v>
      </c>
      <c r="M196" s="1" t="e">
        <f>VLOOKUP(J196,$X:$Y,2,0)</f>
        <v>#N/A</v>
      </c>
      <c r="N196" s="1" t="e">
        <f>VLOOKUP(K196,$AA:$AB,2,0)</f>
        <v>#N/A</v>
      </c>
      <c r="O196" s="1">
        <f>IF(A196&lt;&gt;"",N196+M196+L196+F196+G196+H196,0)</f>
        <v>0</v>
      </c>
      <c r="U196"/>
    </row>
    <row r="197" spans="1:21" x14ac:dyDescent="0.25">
      <c r="A197"/>
      <c r="B197"/>
      <c r="C197" s="1" t="str">
        <f>MID(A197,1,2)</f>
        <v/>
      </c>
      <c r="D197" s="1" t="str">
        <f>MID(B197,3,2)</f>
        <v/>
      </c>
      <c r="E197" s="1" t="str">
        <f>CONCATENATE(I197,K197)</f>
        <v/>
      </c>
      <c r="F197" s="1" t="e">
        <f>VLOOKUP(I197,$U$23:$AL$40,MATCH(J197,$U$23:$AL$23,0),FALSE)</f>
        <v>#N/A</v>
      </c>
      <c r="G197" s="1" t="e">
        <f>VLOOKUP(J197,$U$23:$AL$40,MATCH(K197,$U$23:$AL$23,0),FALSE)</f>
        <v>#N/A</v>
      </c>
      <c r="H197" s="1" t="e">
        <f>VLOOKUP(I197,$U$23:$AL$40,MATCH(K197,$U$23:$AL$23,0),FALSE)</f>
        <v>#N/A</v>
      </c>
      <c r="I197" s="1" t="str">
        <f>MID(A197,1,1)</f>
        <v/>
      </c>
      <c r="J197" s="1" t="str">
        <f>MID(A197,2,1)</f>
        <v/>
      </c>
      <c r="K197" s="1" t="str">
        <f>MID(A197,4,1)</f>
        <v/>
      </c>
      <c r="L197" s="1" t="e">
        <f>VLOOKUP(I197,$U:$V,2,0)</f>
        <v>#N/A</v>
      </c>
      <c r="M197" s="1" t="e">
        <f>VLOOKUP(J197,$X:$Y,2,0)</f>
        <v>#N/A</v>
      </c>
      <c r="N197" s="1" t="e">
        <f>VLOOKUP(K197,$AA:$AB,2,0)</f>
        <v>#N/A</v>
      </c>
      <c r="O197" s="1">
        <f>IF(A197&lt;&gt;"",N197+M197+L197+F197+G197+H197,0)</f>
        <v>0</v>
      </c>
      <c r="U197"/>
    </row>
    <row r="198" spans="1:21" x14ac:dyDescent="0.25">
      <c r="A198"/>
      <c r="B198"/>
      <c r="C198" s="1" t="str">
        <f>MID(A198,1,2)</f>
        <v/>
      </c>
      <c r="D198" s="1" t="str">
        <f>MID(B198,3,2)</f>
        <v/>
      </c>
      <c r="E198" s="1" t="str">
        <f>CONCATENATE(I198,K198)</f>
        <v/>
      </c>
      <c r="F198" s="1" t="e">
        <f>VLOOKUP(I198,$U$23:$AL$40,MATCH(J198,$U$23:$AL$23,0),FALSE)</f>
        <v>#N/A</v>
      </c>
      <c r="G198" s="1" t="e">
        <f>VLOOKUP(J198,$U$23:$AL$40,MATCH(K198,$U$23:$AL$23,0),FALSE)</f>
        <v>#N/A</v>
      </c>
      <c r="H198" s="1" t="e">
        <f>VLOOKUP(I198,$U$23:$AL$40,MATCH(K198,$U$23:$AL$23,0),FALSE)</f>
        <v>#N/A</v>
      </c>
      <c r="I198" s="1" t="str">
        <f>MID(A198,1,1)</f>
        <v/>
      </c>
      <c r="J198" s="1" t="str">
        <f>MID(A198,2,1)</f>
        <v/>
      </c>
      <c r="K198" s="1" t="str">
        <f>MID(A198,4,1)</f>
        <v/>
      </c>
      <c r="L198" s="1" t="e">
        <f>VLOOKUP(I198,$U:$V,2,0)</f>
        <v>#N/A</v>
      </c>
      <c r="M198" s="1" t="e">
        <f>VLOOKUP(J198,$X:$Y,2,0)</f>
        <v>#N/A</v>
      </c>
      <c r="N198" s="1" t="e">
        <f>VLOOKUP(K198,$AA:$AB,2,0)</f>
        <v>#N/A</v>
      </c>
      <c r="O198" s="1">
        <f>IF(A198&lt;&gt;"",N198+M198+L198+F198+G198+H198,0)</f>
        <v>0</v>
      </c>
      <c r="U198"/>
    </row>
    <row r="199" spans="1:21" x14ac:dyDescent="0.25">
      <c r="A199"/>
      <c r="B199"/>
      <c r="C199" s="1" t="str">
        <f>MID(A199,1,2)</f>
        <v/>
      </c>
      <c r="D199" s="1" t="str">
        <f>MID(B199,3,2)</f>
        <v/>
      </c>
      <c r="E199" s="1" t="str">
        <f>CONCATENATE(I199,K199)</f>
        <v/>
      </c>
      <c r="F199" s="1" t="e">
        <f>VLOOKUP(I199,$U$23:$AL$40,MATCH(J199,$U$23:$AL$23,0),FALSE)</f>
        <v>#N/A</v>
      </c>
      <c r="G199" s="1" t="e">
        <f>VLOOKUP(J199,$U$23:$AL$40,MATCH(K199,$U$23:$AL$23,0),FALSE)</f>
        <v>#N/A</v>
      </c>
      <c r="H199" s="1" t="e">
        <f>VLOOKUP(I199,$U$23:$AL$40,MATCH(K199,$U$23:$AL$23,0),FALSE)</f>
        <v>#N/A</v>
      </c>
      <c r="I199" s="1" t="str">
        <f>MID(A199,1,1)</f>
        <v/>
      </c>
      <c r="J199" s="1" t="str">
        <f>MID(A199,2,1)</f>
        <v/>
      </c>
      <c r="K199" s="1" t="str">
        <f>MID(A199,4,1)</f>
        <v/>
      </c>
      <c r="L199" s="1" t="e">
        <f>VLOOKUP(I199,$U:$V,2,0)</f>
        <v>#N/A</v>
      </c>
      <c r="M199" s="1" t="e">
        <f>VLOOKUP(J199,$X:$Y,2,0)</f>
        <v>#N/A</v>
      </c>
      <c r="N199" s="1" t="e">
        <f>VLOOKUP(K199,$AA:$AB,2,0)</f>
        <v>#N/A</v>
      </c>
      <c r="O199" s="1">
        <f>IF(A199&lt;&gt;"",N199+M199+L199+F199+G199+H199,0)</f>
        <v>0</v>
      </c>
      <c r="U199"/>
    </row>
    <row r="200" spans="1:21" x14ac:dyDescent="0.25">
      <c r="A200"/>
      <c r="B200"/>
      <c r="C200" s="1" t="str">
        <f>MID(A200,1,2)</f>
        <v/>
      </c>
      <c r="D200" s="1" t="str">
        <f>MID(B200,3,2)</f>
        <v/>
      </c>
      <c r="E200" s="1" t="str">
        <f>CONCATENATE(I200,K200)</f>
        <v/>
      </c>
      <c r="F200" s="1" t="e">
        <f>VLOOKUP(I200,$U$23:$AL$40,MATCH(J200,$U$23:$AL$23,0),FALSE)</f>
        <v>#N/A</v>
      </c>
      <c r="G200" s="1" t="e">
        <f>VLOOKUP(J200,$U$23:$AL$40,MATCH(K200,$U$23:$AL$23,0),FALSE)</f>
        <v>#N/A</v>
      </c>
      <c r="H200" s="1" t="e">
        <f>VLOOKUP(I200,$U$23:$AL$40,MATCH(K200,$U$23:$AL$23,0),FALSE)</f>
        <v>#N/A</v>
      </c>
      <c r="I200" s="1" t="str">
        <f>MID(A200,1,1)</f>
        <v/>
      </c>
      <c r="J200" s="1" t="str">
        <f>MID(A200,2,1)</f>
        <v/>
      </c>
      <c r="K200" s="1" t="str">
        <f>MID(A200,4,1)</f>
        <v/>
      </c>
      <c r="L200" s="1" t="e">
        <f>VLOOKUP(I200,$U:$V,2,0)</f>
        <v>#N/A</v>
      </c>
      <c r="M200" s="1" t="e">
        <f>VLOOKUP(J200,$X:$Y,2,0)</f>
        <v>#N/A</v>
      </c>
      <c r="N200" s="1" t="e">
        <f>VLOOKUP(K200,$AA:$AB,2,0)</f>
        <v>#N/A</v>
      </c>
      <c r="O200" s="1">
        <f>IF(A200&lt;&gt;"",N200+M200+L200+F200+G200+H200,0)</f>
        <v>0</v>
      </c>
      <c r="U200"/>
    </row>
    <row r="201" spans="1:21" x14ac:dyDescent="0.25">
      <c r="A201"/>
      <c r="B201"/>
      <c r="C201" s="1" t="str">
        <f>MID(A201,1,2)</f>
        <v/>
      </c>
      <c r="D201" s="1" t="str">
        <f>MID(B201,3,2)</f>
        <v/>
      </c>
      <c r="E201" s="1" t="str">
        <f>CONCATENATE(I201,K201)</f>
        <v/>
      </c>
      <c r="F201" s="1" t="e">
        <f>VLOOKUP(I201,$U$23:$AL$40,MATCH(J201,$U$23:$AL$23,0),FALSE)</f>
        <v>#N/A</v>
      </c>
      <c r="G201" s="1" t="e">
        <f>VLOOKUP(J201,$U$23:$AL$40,MATCH(K201,$U$23:$AL$23,0),FALSE)</f>
        <v>#N/A</v>
      </c>
      <c r="H201" s="1" t="e">
        <f>VLOOKUP(I201,$U$23:$AL$40,MATCH(K201,$U$23:$AL$23,0),FALSE)</f>
        <v>#N/A</v>
      </c>
      <c r="I201" s="1" t="str">
        <f>MID(A201,1,1)</f>
        <v/>
      </c>
      <c r="J201" s="1" t="str">
        <f>MID(A201,2,1)</f>
        <v/>
      </c>
      <c r="K201" s="1" t="str">
        <f>MID(A201,4,1)</f>
        <v/>
      </c>
      <c r="L201" s="1" t="e">
        <f>VLOOKUP(I201,$U:$V,2,0)</f>
        <v>#N/A</v>
      </c>
      <c r="M201" s="1" t="e">
        <f>VLOOKUP(J201,$X:$Y,2,0)</f>
        <v>#N/A</v>
      </c>
      <c r="N201" s="1" t="e">
        <f>VLOOKUP(K201,$AA:$AB,2,0)</f>
        <v>#N/A</v>
      </c>
      <c r="O201" s="1">
        <f>IF(A201&lt;&gt;"",N201+M201+L201+F201+G201+H201,0)</f>
        <v>0</v>
      </c>
      <c r="U201"/>
    </row>
    <row r="202" spans="1:21" x14ac:dyDescent="0.25">
      <c r="A202"/>
      <c r="B202"/>
      <c r="C202" s="1" t="str">
        <f>MID(A202,1,2)</f>
        <v/>
      </c>
      <c r="D202" s="1" t="str">
        <f>MID(B202,3,2)</f>
        <v/>
      </c>
      <c r="E202" s="1" t="str">
        <f>CONCATENATE(I202,K202)</f>
        <v/>
      </c>
      <c r="F202" s="1" t="e">
        <f>VLOOKUP(I202,$U$23:$AL$40,MATCH(J202,$U$23:$AL$23,0),FALSE)</f>
        <v>#N/A</v>
      </c>
      <c r="G202" s="1" t="e">
        <f>VLOOKUP(J202,$U$23:$AL$40,MATCH(K202,$U$23:$AL$23,0),FALSE)</f>
        <v>#N/A</v>
      </c>
      <c r="H202" s="1" t="e">
        <f>VLOOKUP(I202,$U$23:$AL$40,MATCH(K202,$U$23:$AL$23,0),FALSE)</f>
        <v>#N/A</v>
      </c>
      <c r="I202" s="1" t="str">
        <f>MID(A202,1,1)</f>
        <v/>
      </c>
      <c r="J202" s="1" t="str">
        <f>MID(A202,2,1)</f>
        <v/>
      </c>
      <c r="K202" s="1" t="str">
        <f>MID(A202,4,1)</f>
        <v/>
      </c>
      <c r="L202" s="1" t="e">
        <f>VLOOKUP(I202,$U:$V,2,0)</f>
        <v>#N/A</v>
      </c>
      <c r="M202" s="1" t="e">
        <f>VLOOKUP(J202,$X:$Y,2,0)</f>
        <v>#N/A</v>
      </c>
      <c r="N202" s="1" t="e">
        <f>VLOOKUP(K202,$AA:$AB,2,0)</f>
        <v>#N/A</v>
      </c>
      <c r="O202" s="1">
        <f>IF(A202&lt;&gt;"",N202+M202+L202+F202+G202+H202,0)</f>
        <v>0</v>
      </c>
      <c r="U202"/>
    </row>
    <row r="203" spans="1:21" x14ac:dyDescent="0.25">
      <c r="A203"/>
      <c r="B203"/>
      <c r="C203" s="1" t="str">
        <f>MID(A203,1,2)</f>
        <v/>
      </c>
      <c r="D203" s="1" t="str">
        <f>MID(B203,3,2)</f>
        <v/>
      </c>
      <c r="E203" s="1" t="str">
        <f>CONCATENATE(I203,K203)</f>
        <v/>
      </c>
      <c r="F203" s="1" t="e">
        <f>VLOOKUP(I203,$U$23:$AL$40,MATCH(J203,$U$23:$AL$23,0),FALSE)</f>
        <v>#N/A</v>
      </c>
      <c r="G203" s="1" t="e">
        <f>VLOOKUP(J203,$U$23:$AL$40,MATCH(K203,$U$23:$AL$23,0),FALSE)</f>
        <v>#N/A</v>
      </c>
      <c r="H203" s="1" t="e">
        <f>VLOOKUP(I203,$U$23:$AL$40,MATCH(K203,$U$23:$AL$23,0),FALSE)</f>
        <v>#N/A</v>
      </c>
      <c r="I203" s="1" t="str">
        <f>MID(A203,1,1)</f>
        <v/>
      </c>
      <c r="J203" s="1" t="str">
        <f>MID(A203,2,1)</f>
        <v/>
      </c>
      <c r="K203" s="1" t="str">
        <f>MID(A203,4,1)</f>
        <v/>
      </c>
      <c r="L203" s="1" t="e">
        <f>VLOOKUP(I203,$U:$V,2,0)</f>
        <v>#N/A</v>
      </c>
      <c r="M203" s="1" t="e">
        <f>VLOOKUP(J203,$X:$Y,2,0)</f>
        <v>#N/A</v>
      </c>
      <c r="N203" s="1" t="e">
        <f>VLOOKUP(K203,$AA:$AB,2,0)</f>
        <v>#N/A</v>
      </c>
      <c r="O203" s="1">
        <f>IF(A203&lt;&gt;"",N203+M203+L203+F203+G203+H203,0)</f>
        <v>0</v>
      </c>
      <c r="U203"/>
    </row>
    <row r="204" spans="1:21" x14ac:dyDescent="0.25">
      <c r="A204"/>
      <c r="B204"/>
      <c r="C204" s="1" t="str">
        <f>MID(A204,1,2)</f>
        <v/>
      </c>
      <c r="D204" s="1" t="str">
        <f>MID(B204,3,2)</f>
        <v/>
      </c>
      <c r="E204" s="1" t="str">
        <f>CONCATENATE(I204,K204)</f>
        <v/>
      </c>
      <c r="F204" s="1" t="e">
        <f>VLOOKUP(I204,$U$23:$AL$40,MATCH(J204,$U$23:$AL$23,0),FALSE)</f>
        <v>#N/A</v>
      </c>
      <c r="G204" s="1" t="e">
        <f>VLOOKUP(J204,$U$23:$AL$40,MATCH(K204,$U$23:$AL$23,0),FALSE)</f>
        <v>#N/A</v>
      </c>
      <c r="H204" s="1" t="e">
        <f>VLOOKUP(I204,$U$23:$AL$40,MATCH(K204,$U$23:$AL$23,0),FALSE)</f>
        <v>#N/A</v>
      </c>
      <c r="I204" s="1" t="str">
        <f>MID(A204,1,1)</f>
        <v/>
      </c>
      <c r="J204" s="1" t="str">
        <f>MID(A204,2,1)</f>
        <v/>
      </c>
      <c r="K204" s="1" t="str">
        <f>MID(A204,4,1)</f>
        <v/>
      </c>
      <c r="L204" s="1" t="e">
        <f>VLOOKUP(I204,$U:$V,2,0)</f>
        <v>#N/A</v>
      </c>
      <c r="M204" s="1" t="e">
        <f>VLOOKUP(J204,$X:$Y,2,0)</f>
        <v>#N/A</v>
      </c>
      <c r="N204" s="1" t="e">
        <f>VLOOKUP(K204,$AA:$AB,2,0)</f>
        <v>#N/A</v>
      </c>
      <c r="O204" s="1">
        <f>IF(A204&lt;&gt;"",N204+M204+L204+F204+G204+H204,0)</f>
        <v>0</v>
      </c>
      <c r="U204"/>
    </row>
    <row r="205" spans="1:21" x14ac:dyDescent="0.25">
      <c r="A205"/>
      <c r="B205"/>
      <c r="C205" s="1" t="str">
        <f>MID(A205,1,2)</f>
        <v/>
      </c>
      <c r="D205" s="1" t="str">
        <f>MID(B205,3,2)</f>
        <v/>
      </c>
      <c r="E205" s="1" t="str">
        <f>CONCATENATE(I205,K205)</f>
        <v/>
      </c>
      <c r="F205" s="1" t="e">
        <f>VLOOKUP(I205,$U$23:$AL$40,MATCH(J205,$U$23:$AL$23,0),FALSE)</f>
        <v>#N/A</v>
      </c>
      <c r="G205" s="1" t="e">
        <f>VLOOKUP(J205,$U$23:$AL$40,MATCH(K205,$U$23:$AL$23,0),FALSE)</f>
        <v>#N/A</v>
      </c>
      <c r="H205" s="1" t="e">
        <f>VLOOKUP(I205,$U$23:$AL$40,MATCH(K205,$U$23:$AL$23,0),FALSE)</f>
        <v>#N/A</v>
      </c>
      <c r="I205" s="1" t="str">
        <f>MID(A205,1,1)</f>
        <v/>
      </c>
      <c r="J205" s="1" t="str">
        <f>MID(A205,2,1)</f>
        <v/>
      </c>
      <c r="K205" s="1" t="str">
        <f>MID(A205,4,1)</f>
        <v/>
      </c>
      <c r="L205" s="1" t="e">
        <f>VLOOKUP(I205,$U:$V,2,0)</f>
        <v>#N/A</v>
      </c>
      <c r="M205" s="1" t="e">
        <f>VLOOKUP(J205,$X:$Y,2,0)</f>
        <v>#N/A</v>
      </c>
      <c r="N205" s="1" t="e">
        <f>VLOOKUP(K205,$AA:$AB,2,0)</f>
        <v>#N/A</v>
      </c>
      <c r="O205" s="1">
        <f>IF(A205&lt;&gt;"",N205+M205+L205+F205+G205+H205,0)</f>
        <v>0</v>
      </c>
      <c r="U205"/>
    </row>
    <row r="206" spans="1:21" x14ac:dyDescent="0.25">
      <c r="A206"/>
      <c r="B206"/>
      <c r="C206" s="1" t="str">
        <f>MID(A206,1,2)</f>
        <v/>
      </c>
      <c r="D206" s="1" t="str">
        <f>MID(B206,3,2)</f>
        <v/>
      </c>
      <c r="E206" s="1" t="str">
        <f>CONCATENATE(I206,K206)</f>
        <v/>
      </c>
      <c r="F206" s="1" t="e">
        <f>VLOOKUP(I206,$U$23:$AL$40,MATCH(J206,$U$23:$AL$23,0),FALSE)</f>
        <v>#N/A</v>
      </c>
      <c r="G206" s="1" t="e">
        <f>VLOOKUP(J206,$U$23:$AL$40,MATCH(K206,$U$23:$AL$23,0),FALSE)</f>
        <v>#N/A</v>
      </c>
      <c r="H206" s="1" t="e">
        <f>VLOOKUP(I206,$U$23:$AL$40,MATCH(K206,$U$23:$AL$23,0),FALSE)</f>
        <v>#N/A</v>
      </c>
      <c r="I206" s="1" t="str">
        <f>MID(A206,1,1)</f>
        <v/>
      </c>
      <c r="J206" s="1" t="str">
        <f>MID(A206,2,1)</f>
        <v/>
      </c>
      <c r="K206" s="1" t="str">
        <f>MID(A206,4,1)</f>
        <v/>
      </c>
      <c r="L206" s="1" t="e">
        <f>VLOOKUP(I206,$U:$V,2,0)</f>
        <v>#N/A</v>
      </c>
      <c r="M206" s="1" t="e">
        <f>VLOOKUP(J206,$X:$Y,2,0)</f>
        <v>#N/A</v>
      </c>
      <c r="N206" s="1" t="e">
        <f>VLOOKUP(K206,$AA:$AB,2,0)</f>
        <v>#N/A</v>
      </c>
      <c r="O206" s="1">
        <f>IF(A206&lt;&gt;"",N206+M206+L206+F206+G206+H206,0)</f>
        <v>0</v>
      </c>
      <c r="U206"/>
    </row>
    <row r="207" spans="1:21" x14ac:dyDescent="0.25">
      <c r="A207"/>
      <c r="B207"/>
      <c r="C207" s="1" t="str">
        <f>MID(A207,1,2)</f>
        <v/>
      </c>
      <c r="D207" s="1" t="str">
        <f>MID(B207,3,2)</f>
        <v/>
      </c>
      <c r="E207" s="1" t="str">
        <f>CONCATENATE(I207,K207)</f>
        <v/>
      </c>
      <c r="F207" s="1" t="e">
        <f>VLOOKUP(I207,$U$23:$AL$40,MATCH(J207,$U$23:$AL$23,0),FALSE)</f>
        <v>#N/A</v>
      </c>
      <c r="G207" s="1" t="e">
        <f>VLOOKUP(J207,$U$23:$AL$40,MATCH(K207,$U$23:$AL$23,0),FALSE)</f>
        <v>#N/A</v>
      </c>
      <c r="H207" s="1" t="e">
        <f>VLOOKUP(I207,$U$23:$AL$40,MATCH(K207,$U$23:$AL$23,0),FALSE)</f>
        <v>#N/A</v>
      </c>
      <c r="I207" s="1" t="str">
        <f>MID(A207,1,1)</f>
        <v/>
      </c>
      <c r="J207" s="1" t="str">
        <f>MID(A207,2,1)</f>
        <v/>
      </c>
      <c r="K207" s="1" t="str">
        <f>MID(A207,4,1)</f>
        <v/>
      </c>
      <c r="L207" s="1" t="e">
        <f>VLOOKUP(I207,$U:$V,2,0)</f>
        <v>#N/A</v>
      </c>
      <c r="M207" s="1" t="e">
        <f>VLOOKUP(J207,$X:$Y,2,0)</f>
        <v>#N/A</v>
      </c>
      <c r="N207" s="1" t="e">
        <f>VLOOKUP(K207,$AA:$AB,2,0)</f>
        <v>#N/A</v>
      </c>
      <c r="O207" s="1">
        <f>IF(A207&lt;&gt;"",N207+M207+L207+F207+G207+H207,0)</f>
        <v>0</v>
      </c>
      <c r="U207"/>
    </row>
    <row r="208" spans="1:21" x14ac:dyDescent="0.25">
      <c r="A208"/>
      <c r="B208"/>
      <c r="C208" s="1" t="str">
        <f>MID(A208,1,2)</f>
        <v/>
      </c>
      <c r="D208" s="1" t="str">
        <f>MID(B208,3,2)</f>
        <v/>
      </c>
      <c r="E208" s="1" t="str">
        <f>CONCATENATE(I208,K208)</f>
        <v/>
      </c>
      <c r="F208" s="1" t="e">
        <f>VLOOKUP(I208,$U$23:$AL$40,MATCH(J208,$U$23:$AL$23,0),FALSE)</f>
        <v>#N/A</v>
      </c>
      <c r="G208" s="1" t="e">
        <f>VLOOKUP(J208,$U$23:$AL$40,MATCH(K208,$U$23:$AL$23,0),FALSE)</f>
        <v>#N/A</v>
      </c>
      <c r="H208" s="1" t="e">
        <f>VLOOKUP(I208,$U$23:$AL$40,MATCH(K208,$U$23:$AL$23,0),FALSE)</f>
        <v>#N/A</v>
      </c>
      <c r="I208" s="1" t="str">
        <f>MID(A208,1,1)</f>
        <v/>
      </c>
      <c r="J208" s="1" t="str">
        <f>MID(A208,2,1)</f>
        <v/>
      </c>
      <c r="K208" s="1" t="str">
        <f>MID(A208,4,1)</f>
        <v/>
      </c>
      <c r="L208" s="1" t="e">
        <f>VLOOKUP(I208,$U:$V,2,0)</f>
        <v>#N/A</v>
      </c>
      <c r="M208" s="1" t="e">
        <f>VLOOKUP(J208,$X:$Y,2,0)</f>
        <v>#N/A</v>
      </c>
      <c r="N208" s="1" t="e">
        <f>VLOOKUP(K208,$AA:$AB,2,0)</f>
        <v>#N/A</v>
      </c>
      <c r="O208" s="1">
        <f>IF(A208&lt;&gt;"",N208+M208+L208+F208+G208+H208,0)</f>
        <v>0</v>
      </c>
      <c r="U208"/>
    </row>
    <row r="209" spans="1:21" x14ac:dyDescent="0.25">
      <c r="A209"/>
      <c r="B209"/>
      <c r="C209" s="1" t="str">
        <f>MID(A209,1,2)</f>
        <v/>
      </c>
      <c r="D209" s="1" t="str">
        <f>MID(B209,3,2)</f>
        <v/>
      </c>
      <c r="E209" s="1" t="str">
        <f>CONCATENATE(I209,K209)</f>
        <v/>
      </c>
      <c r="F209" s="1" t="e">
        <f>VLOOKUP(I209,$U$23:$AL$40,MATCH(J209,$U$23:$AL$23,0),FALSE)</f>
        <v>#N/A</v>
      </c>
      <c r="G209" s="1" t="e">
        <f>VLOOKUP(J209,$U$23:$AL$40,MATCH(K209,$U$23:$AL$23,0),FALSE)</f>
        <v>#N/A</v>
      </c>
      <c r="H209" s="1" t="e">
        <f>VLOOKUP(I209,$U$23:$AL$40,MATCH(K209,$U$23:$AL$23,0),FALSE)</f>
        <v>#N/A</v>
      </c>
      <c r="I209" s="1" t="str">
        <f>MID(A209,1,1)</f>
        <v/>
      </c>
      <c r="J209" s="1" t="str">
        <f>MID(A209,2,1)</f>
        <v/>
      </c>
      <c r="K209" s="1" t="str">
        <f>MID(A209,4,1)</f>
        <v/>
      </c>
      <c r="L209" s="1" t="e">
        <f>VLOOKUP(I209,$U:$V,2,0)</f>
        <v>#N/A</v>
      </c>
      <c r="M209" s="1" t="e">
        <f>VLOOKUP(J209,$X:$Y,2,0)</f>
        <v>#N/A</v>
      </c>
      <c r="N209" s="1" t="e">
        <f>VLOOKUP(K209,$AA:$AB,2,0)</f>
        <v>#N/A</v>
      </c>
      <c r="O209" s="1">
        <f>IF(A209&lt;&gt;"",N209+M209+L209+F209+G209+H209,0)</f>
        <v>0</v>
      </c>
      <c r="U209"/>
    </row>
    <row r="210" spans="1:21" x14ac:dyDescent="0.25">
      <c r="A210"/>
      <c r="B210"/>
      <c r="C210" s="1" t="str">
        <f>MID(A210,1,2)</f>
        <v/>
      </c>
      <c r="D210" s="1" t="str">
        <f>MID(B210,3,2)</f>
        <v/>
      </c>
      <c r="E210" s="1" t="str">
        <f>CONCATENATE(I210,K210)</f>
        <v/>
      </c>
      <c r="F210" s="1" t="e">
        <f>VLOOKUP(I210,$U$23:$AL$40,MATCH(J210,$U$23:$AL$23,0),FALSE)</f>
        <v>#N/A</v>
      </c>
      <c r="G210" s="1" t="e">
        <f>VLOOKUP(J210,$U$23:$AL$40,MATCH(K210,$U$23:$AL$23,0),FALSE)</f>
        <v>#N/A</v>
      </c>
      <c r="H210" s="1" t="e">
        <f>VLOOKUP(I210,$U$23:$AL$40,MATCH(K210,$U$23:$AL$23,0),FALSE)</f>
        <v>#N/A</v>
      </c>
      <c r="I210" s="1" t="str">
        <f>MID(A210,1,1)</f>
        <v/>
      </c>
      <c r="J210" s="1" t="str">
        <f>MID(A210,2,1)</f>
        <v/>
      </c>
      <c r="K210" s="1" t="str">
        <f>MID(A210,4,1)</f>
        <v/>
      </c>
      <c r="L210" s="1" t="e">
        <f>VLOOKUP(I210,$U:$V,2,0)</f>
        <v>#N/A</v>
      </c>
      <c r="M210" s="1" t="e">
        <f>VLOOKUP(J210,$X:$Y,2,0)</f>
        <v>#N/A</v>
      </c>
      <c r="N210" s="1" t="e">
        <f>VLOOKUP(K210,$AA:$AB,2,0)</f>
        <v>#N/A</v>
      </c>
      <c r="O210" s="1">
        <f>IF(A210&lt;&gt;"",N210+M210+L210+F210+G210+H210,0)</f>
        <v>0</v>
      </c>
      <c r="U210"/>
    </row>
    <row r="211" spans="1:21" x14ac:dyDescent="0.25">
      <c r="A211"/>
      <c r="B211"/>
      <c r="C211" s="1" t="str">
        <f>MID(A211,1,2)</f>
        <v/>
      </c>
      <c r="D211" s="1" t="str">
        <f>MID(B211,3,2)</f>
        <v/>
      </c>
      <c r="E211" s="1" t="str">
        <f>CONCATENATE(I211,K211)</f>
        <v/>
      </c>
      <c r="F211" s="1" t="e">
        <f>VLOOKUP(I211,$U$23:$AL$40,MATCH(J211,$U$23:$AL$23,0),FALSE)</f>
        <v>#N/A</v>
      </c>
      <c r="G211" s="1" t="e">
        <f>VLOOKUP(J211,$U$23:$AL$40,MATCH(K211,$U$23:$AL$23,0),FALSE)</f>
        <v>#N/A</v>
      </c>
      <c r="H211" s="1" t="e">
        <f>VLOOKUP(I211,$U$23:$AL$40,MATCH(K211,$U$23:$AL$23,0),FALSE)</f>
        <v>#N/A</v>
      </c>
      <c r="I211" s="1" t="str">
        <f>MID(A211,1,1)</f>
        <v/>
      </c>
      <c r="J211" s="1" t="str">
        <f>MID(A211,2,1)</f>
        <v/>
      </c>
      <c r="K211" s="1" t="str">
        <f>MID(A211,4,1)</f>
        <v/>
      </c>
      <c r="L211" s="1" t="e">
        <f>VLOOKUP(I211,$U:$V,2,0)</f>
        <v>#N/A</v>
      </c>
      <c r="M211" s="1" t="e">
        <f>VLOOKUP(J211,$X:$Y,2,0)</f>
        <v>#N/A</v>
      </c>
      <c r="N211" s="1" t="e">
        <f>VLOOKUP(K211,$AA:$AB,2,0)</f>
        <v>#N/A</v>
      </c>
      <c r="O211" s="1">
        <f>IF(A211&lt;&gt;"",N211+M211+L211+F211+G211+H211,0)</f>
        <v>0</v>
      </c>
      <c r="U211"/>
    </row>
    <row r="212" spans="1:21" x14ac:dyDescent="0.25">
      <c r="A212"/>
      <c r="B212"/>
      <c r="C212" s="1" t="str">
        <f>MID(A212,1,2)</f>
        <v/>
      </c>
      <c r="D212" s="1" t="str">
        <f>MID(B212,3,2)</f>
        <v/>
      </c>
      <c r="E212" s="1" t="str">
        <f>CONCATENATE(I212,K212)</f>
        <v/>
      </c>
      <c r="F212" s="1" t="e">
        <f>VLOOKUP(I212,$U$23:$AL$40,MATCH(J212,$U$23:$AL$23,0),FALSE)</f>
        <v>#N/A</v>
      </c>
      <c r="G212" s="1" t="e">
        <f>VLOOKUP(J212,$U$23:$AL$40,MATCH(K212,$U$23:$AL$23,0),FALSE)</f>
        <v>#N/A</v>
      </c>
      <c r="H212" s="1" t="e">
        <f>VLOOKUP(I212,$U$23:$AL$40,MATCH(K212,$U$23:$AL$23,0),FALSE)</f>
        <v>#N/A</v>
      </c>
      <c r="I212" s="1" t="str">
        <f>MID(A212,1,1)</f>
        <v/>
      </c>
      <c r="J212" s="1" t="str">
        <f>MID(A212,2,1)</f>
        <v/>
      </c>
      <c r="K212" s="1" t="str">
        <f>MID(A212,4,1)</f>
        <v/>
      </c>
      <c r="L212" s="1" t="e">
        <f>VLOOKUP(I212,$U:$V,2,0)</f>
        <v>#N/A</v>
      </c>
      <c r="M212" s="1" t="e">
        <f>VLOOKUP(J212,$X:$Y,2,0)</f>
        <v>#N/A</v>
      </c>
      <c r="N212" s="1" t="e">
        <f>VLOOKUP(K212,$AA:$AB,2,0)</f>
        <v>#N/A</v>
      </c>
      <c r="O212" s="1">
        <f>IF(A212&lt;&gt;"",N212+M212+L212+F212+G212+H212,0)</f>
        <v>0</v>
      </c>
      <c r="U212"/>
    </row>
    <row r="213" spans="1:21" x14ac:dyDescent="0.25">
      <c r="A213"/>
      <c r="B213"/>
      <c r="C213" s="1" t="str">
        <f>MID(A213,1,2)</f>
        <v/>
      </c>
      <c r="D213" s="1" t="str">
        <f>MID(B213,3,2)</f>
        <v/>
      </c>
      <c r="E213" s="1" t="str">
        <f>CONCATENATE(I213,K213)</f>
        <v/>
      </c>
      <c r="F213" s="1" t="e">
        <f>VLOOKUP(I213,$U$23:$AL$40,MATCH(J213,$U$23:$AL$23,0),FALSE)</f>
        <v>#N/A</v>
      </c>
      <c r="G213" s="1" t="e">
        <f>VLOOKUP(J213,$U$23:$AL$40,MATCH(K213,$U$23:$AL$23,0),FALSE)</f>
        <v>#N/A</v>
      </c>
      <c r="H213" s="1" t="e">
        <f>VLOOKUP(I213,$U$23:$AL$40,MATCH(K213,$U$23:$AL$23,0),FALSE)</f>
        <v>#N/A</v>
      </c>
      <c r="I213" s="1" t="str">
        <f>MID(A213,1,1)</f>
        <v/>
      </c>
      <c r="J213" s="1" t="str">
        <f>MID(A213,2,1)</f>
        <v/>
      </c>
      <c r="K213" s="1" t="str">
        <f>MID(A213,4,1)</f>
        <v/>
      </c>
      <c r="L213" s="1" t="e">
        <f>VLOOKUP(I213,$U:$V,2,0)</f>
        <v>#N/A</v>
      </c>
      <c r="M213" s="1" t="e">
        <f>VLOOKUP(J213,$X:$Y,2,0)</f>
        <v>#N/A</v>
      </c>
      <c r="N213" s="1" t="e">
        <f>VLOOKUP(K213,$AA:$AB,2,0)</f>
        <v>#N/A</v>
      </c>
      <c r="O213" s="1">
        <f>IF(A213&lt;&gt;"",N213+M213+L213+F213+G213+H213,0)</f>
        <v>0</v>
      </c>
      <c r="U213"/>
    </row>
    <row r="214" spans="1:21" x14ac:dyDescent="0.25">
      <c r="A214"/>
      <c r="B214"/>
      <c r="C214" s="1" t="str">
        <f>MID(A214,1,2)</f>
        <v/>
      </c>
      <c r="D214" s="1" t="str">
        <f>MID(B214,3,2)</f>
        <v/>
      </c>
      <c r="E214" s="1" t="str">
        <f>CONCATENATE(I214,K214)</f>
        <v/>
      </c>
      <c r="F214" s="1" t="e">
        <f>VLOOKUP(I214,$U$23:$AL$40,MATCH(J214,$U$23:$AL$23,0),FALSE)</f>
        <v>#N/A</v>
      </c>
      <c r="G214" s="1" t="e">
        <f>VLOOKUP(J214,$U$23:$AL$40,MATCH(K214,$U$23:$AL$23,0),FALSE)</f>
        <v>#N/A</v>
      </c>
      <c r="H214" s="1" t="e">
        <f>VLOOKUP(I214,$U$23:$AL$40,MATCH(K214,$U$23:$AL$23,0),FALSE)</f>
        <v>#N/A</v>
      </c>
      <c r="I214" s="1" t="str">
        <f>MID(A214,1,1)</f>
        <v/>
      </c>
      <c r="J214" s="1" t="str">
        <f>MID(A214,2,1)</f>
        <v/>
      </c>
      <c r="K214" s="1" t="str">
        <f>MID(A214,4,1)</f>
        <v/>
      </c>
      <c r="L214" s="1" t="e">
        <f>VLOOKUP(I214,$U:$V,2,0)</f>
        <v>#N/A</v>
      </c>
      <c r="M214" s="1" t="e">
        <f>VLOOKUP(J214,$X:$Y,2,0)</f>
        <v>#N/A</v>
      </c>
      <c r="N214" s="1" t="e">
        <f>VLOOKUP(K214,$AA:$AB,2,0)</f>
        <v>#N/A</v>
      </c>
      <c r="O214" s="1">
        <f>IF(A214&lt;&gt;"",N214+M214+L214+F214+G214+H214,0)</f>
        <v>0</v>
      </c>
      <c r="U214"/>
    </row>
    <row r="215" spans="1:21" x14ac:dyDescent="0.25">
      <c r="A215"/>
      <c r="B215"/>
      <c r="C215" s="1" t="str">
        <f>MID(A215,1,2)</f>
        <v/>
      </c>
      <c r="D215" s="1" t="str">
        <f>MID(B215,3,2)</f>
        <v/>
      </c>
      <c r="E215" s="1" t="str">
        <f>CONCATENATE(I215,K215)</f>
        <v/>
      </c>
      <c r="F215" s="1" t="e">
        <f>VLOOKUP(I215,$U$23:$AL$40,MATCH(J215,$U$23:$AL$23,0),FALSE)</f>
        <v>#N/A</v>
      </c>
      <c r="G215" s="1" t="e">
        <f>VLOOKUP(J215,$U$23:$AL$40,MATCH(K215,$U$23:$AL$23,0),FALSE)</f>
        <v>#N/A</v>
      </c>
      <c r="H215" s="1" t="e">
        <f>VLOOKUP(I215,$U$23:$AL$40,MATCH(K215,$U$23:$AL$23,0),FALSE)</f>
        <v>#N/A</v>
      </c>
      <c r="I215" s="1" t="str">
        <f>MID(A215,1,1)</f>
        <v/>
      </c>
      <c r="J215" s="1" t="str">
        <f>MID(A215,2,1)</f>
        <v/>
      </c>
      <c r="K215" s="1" t="str">
        <f>MID(A215,4,1)</f>
        <v/>
      </c>
      <c r="L215" s="1" t="e">
        <f>VLOOKUP(I215,$U:$V,2,0)</f>
        <v>#N/A</v>
      </c>
      <c r="M215" s="1" t="e">
        <f>VLOOKUP(J215,$X:$Y,2,0)</f>
        <v>#N/A</v>
      </c>
      <c r="N215" s="1" t="e">
        <f>VLOOKUP(K215,$AA:$AB,2,0)</f>
        <v>#N/A</v>
      </c>
      <c r="O215" s="1">
        <f>IF(A215&lt;&gt;"",N215+M215+L215+F215+G215+H215,0)</f>
        <v>0</v>
      </c>
      <c r="U215"/>
    </row>
    <row r="216" spans="1:21" x14ac:dyDescent="0.25">
      <c r="A216"/>
      <c r="B216"/>
      <c r="C216" s="1" t="str">
        <f>MID(A216,1,2)</f>
        <v/>
      </c>
      <c r="D216" s="1" t="str">
        <f>MID(B216,3,2)</f>
        <v/>
      </c>
      <c r="E216" s="1" t="str">
        <f>CONCATENATE(I216,K216)</f>
        <v/>
      </c>
      <c r="F216" s="1" t="e">
        <f>VLOOKUP(I216,$U$23:$AL$40,MATCH(J216,$U$23:$AL$23,0),FALSE)</f>
        <v>#N/A</v>
      </c>
      <c r="G216" s="1" t="e">
        <f>VLOOKUP(J216,$U$23:$AL$40,MATCH(K216,$U$23:$AL$23,0),FALSE)</f>
        <v>#N/A</v>
      </c>
      <c r="H216" s="1" t="e">
        <f>VLOOKUP(I216,$U$23:$AL$40,MATCH(K216,$U$23:$AL$23,0),FALSE)</f>
        <v>#N/A</v>
      </c>
      <c r="I216" s="1" t="str">
        <f>MID(A216,1,1)</f>
        <v/>
      </c>
      <c r="J216" s="1" t="str">
        <f>MID(A216,2,1)</f>
        <v/>
      </c>
      <c r="K216" s="1" t="str">
        <f>MID(A216,4,1)</f>
        <v/>
      </c>
      <c r="L216" s="1" t="e">
        <f>VLOOKUP(I216,$U:$V,2,0)</f>
        <v>#N/A</v>
      </c>
      <c r="M216" s="1" t="e">
        <f>VLOOKUP(J216,$X:$Y,2,0)</f>
        <v>#N/A</v>
      </c>
      <c r="N216" s="1" t="e">
        <f>VLOOKUP(K216,$AA:$AB,2,0)</f>
        <v>#N/A</v>
      </c>
      <c r="O216" s="1">
        <f>IF(A216&lt;&gt;"",N216+M216+L216+F216+G216+H216,0)</f>
        <v>0</v>
      </c>
      <c r="U216"/>
    </row>
    <row r="217" spans="1:21" x14ac:dyDescent="0.25">
      <c r="A217"/>
      <c r="B217"/>
      <c r="C217" s="1" t="str">
        <f>MID(A217,1,2)</f>
        <v/>
      </c>
      <c r="D217" s="1" t="str">
        <f>MID(B217,3,2)</f>
        <v/>
      </c>
      <c r="E217" s="1" t="str">
        <f>CONCATENATE(I217,K217)</f>
        <v/>
      </c>
      <c r="F217" s="1" t="e">
        <f>VLOOKUP(I217,$U$23:$AL$40,MATCH(J217,$U$23:$AL$23,0),FALSE)</f>
        <v>#N/A</v>
      </c>
      <c r="G217" s="1" t="e">
        <f>VLOOKUP(J217,$U$23:$AL$40,MATCH(K217,$U$23:$AL$23,0),FALSE)</f>
        <v>#N/A</v>
      </c>
      <c r="H217" s="1" t="e">
        <f>VLOOKUP(I217,$U$23:$AL$40,MATCH(K217,$U$23:$AL$23,0),FALSE)</f>
        <v>#N/A</v>
      </c>
      <c r="I217" s="1" t="str">
        <f>MID(A217,1,1)</f>
        <v/>
      </c>
      <c r="J217" s="1" t="str">
        <f>MID(A217,2,1)</f>
        <v/>
      </c>
      <c r="K217" s="1" t="str">
        <f>MID(A217,4,1)</f>
        <v/>
      </c>
      <c r="L217" s="1" t="e">
        <f>VLOOKUP(I217,$U:$V,2,0)</f>
        <v>#N/A</v>
      </c>
      <c r="M217" s="1" t="e">
        <f>VLOOKUP(J217,$X:$Y,2,0)</f>
        <v>#N/A</v>
      </c>
      <c r="N217" s="1" t="e">
        <f>VLOOKUP(K217,$AA:$AB,2,0)</f>
        <v>#N/A</v>
      </c>
      <c r="O217" s="1">
        <f>IF(A217&lt;&gt;"",N217+M217+L217+F217+G217+H217,0)</f>
        <v>0</v>
      </c>
      <c r="U217"/>
    </row>
    <row r="218" spans="1:21" x14ac:dyDescent="0.25">
      <c r="A218"/>
      <c r="B218"/>
      <c r="C218" s="1" t="str">
        <f>MID(A218,1,2)</f>
        <v/>
      </c>
      <c r="D218" s="1" t="str">
        <f>MID(B218,3,2)</f>
        <v/>
      </c>
      <c r="E218" s="1" t="str">
        <f>CONCATENATE(I218,K218)</f>
        <v/>
      </c>
      <c r="F218" s="1" t="e">
        <f>VLOOKUP(I218,$U$23:$AL$40,MATCH(J218,$U$23:$AL$23,0),FALSE)</f>
        <v>#N/A</v>
      </c>
      <c r="G218" s="1" t="e">
        <f>VLOOKUP(J218,$U$23:$AL$40,MATCH(K218,$U$23:$AL$23,0),FALSE)</f>
        <v>#N/A</v>
      </c>
      <c r="H218" s="1" t="e">
        <f>VLOOKUP(I218,$U$23:$AL$40,MATCH(K218,$U$23:$AL$23,0),FALSE)</f>
        <v>#N/A</v>
      </c>
      <c r="I218" s="1" t="str">
        <f>MID(A218,1,1)</f>
        <v/>
      </c>
      <c r="J218" s="1" t="str">
        <f>MID(A218,2,1)</f>
        <v/>
      </c>
      <c r="K218" s="1" t="str">
        <f>MID(A218,4,1)</f>
        <v/>
      </c>
      <c r="L218" s="1" t="e">
        <f>VLOOKUP(I218,$U:$V,2,0)</f>
        <v>#N/A</v>
      </c>
      <c r="M218" s="1" t="e">
        <f>VLOOKUP(J218,$X:$Y,2,0)</f>
        <v>#N/A</v>
      </c>
      <c r="N218" s="1" t="e">
        <f>VLOOKUP(K218,$AA:$AB,2,0)</f>
        <v>#N/A</v>
      </c>
      <c r="O218" s="1">
        <f>IF(A218&lt;&gt;"",N218+M218+L218+F218+G218+H218,0)</f>
        <v>0</v>
      </c>
      <c r="U218"/>
    </row>
    <row r="219" spans="1:21" x14ac:dyDescent="0.25">
      <c r="A219"/>
      <c r="B219"/>
      <c r="C219" s="1" t="str">
        <f>MID(A219,1,2)</f>
        <v/>
      </c>
      <c r="D219" s="1" t="str">
        <f>MID(B219,3,2)</f>
        <v/>
      </c>
      <c r="E219" s="1" t="str">
        <f>CONCATENATE(I219,K219)</f>
        <v/>
      </c>
      <c r="F219" s="1" t="e">
        <f>VLOOKUP(I219,$U$23:$AL$40,MATCH(J219,$U$23:$AL$23,0),FALSE)</f>
        <v>#N/A</v>
      </c>
      <c r="G219" s="1" t="e">
        <f>VLOOKUP(J219,$U$23:$AL$40,MATCH(K219,$U$23:$AL$23,0),FALSE)</f>
        <v>#N/A</v>
      </c>
      <c r="H219" s="1" t="e">
        <f>VLOOKUP(I219,$U$23:$AL$40,MATCH(K219,$U$23:$AL$23,0),FALSE)</f>
        <v>#N/A</v>
      </c>
      <c r="I219" s="1" t="str">
        <f>MID(A219,1,1)</f>
        <v/>
      </c>
      <c r="J219" s="1" t="str">
        <f>MID(A219,2,1)</f>
        <v/>
      </c>
      <c r="K219" s="1" t="str">
        <f>MID(A219,4,1)</f>
        <v/>
      </c>
      <c r="L219" s="1" t="e">
        <f>VLOOKUP(I219,$U:$V,2,0)</f>
        <v>#N/A</v>
      </c>
      <c r="M219" s="1" t="e">
        <f>VLOOKUP(J219,$X:$Y,2,0)</f>
        <v>#N/A</v>
      </c>
      <c r="N219" s="1" t="e">
        <f>VLOOKUP(K219,$AA:$AB,2,0)</f>
        <v>#N/A</v>
      </c>
      <c r="O219" s="1">
        <f>IF(A219&lt;&gt;"",N219+M219+L219+F219+G219+H219,0)</f>
        <v>0</v>
      </c>
      <c r="U219"/>
    </row>
    <row r="220" spans="1:21" x14ac:dyDescent="0.25">
      <c r="A220"/>
      <c r="B220"/>
      <c r="C220" s="1" t="str">
        <f>MID(A220,1,2)</f>
        <v/>
      </c>
      <c r="D220" s="1" t="str">
        <f>MID(B220,3,2)</f>
        <v/>
      </c>
      <c r="E220" s="1" t="str">
        <f>CONCATENATE(I220,K220)</f>
        <v/>
      </c>
      <c r="F220" s="1" t="e">
        <f>VLOOKUP(I220,$U$23:$AL$40,MATCH(J220,$U$23:$AL$23,0),FALSE)</f>
        <v>#N/A</v>
      </c>
      <c r="G220" s="1" t="e">
        <f>VLOOKUP(J220,$U$23:$AL$40,MATCH(K220,$U$23:$AL$23,0),FALSE)</f>
        <v>#N/A</v>
      </c>
      <c r="H220" s="1" t="e">
        <f>VLOOKUP(I220,$U$23:$AL$40,MATCH(K220,$U$23:$AL$23,0),FALSE)</f>
        <v>#N/A</v>
      </c>
      <c r="I220" s="1" t="str">
        <f>MID(A220,1,1)</f>
        <v/>
      </c>
      <c r="J220" s="1" t="str">
        <f>MID(A220,2,1)</f>
        <v/>
      </c>
      <c r="K220" s="1" t="str">
        <f>MID(A220,4,1)</f>
        <v/>
      </c>
      <c r="L220" s="1" t="e">
        <f>VLOOKUP(I220,$U:$V,2,0)</f>
        <v>#N/A</v>
      </c>
      <c r="M220" s="1" t="e">
        <f>VLOOKUP(J220,$X:$Y,2,0)</f>
        <v>#N/A</v>
      </c>
      <c r="N220" s="1" t="e">
        <f>VLOOKUP(K220,$AA:$AB,2,0)</f>
        <v>#N/A</v>
      </c>
      <c r="O220" s="1">
        <f>IF(A220&lt;&gt;"",N220+M220+L220+F220+G220+H220,0)</f>
        <v>0</v>
      </c>
      <c r="U220"/>
    </row>
    <row r="221" spans="1:21" x14ac:dyDescent="0.25">
      <c r="A221"/>
      <c r="B221"/>
      <c r="C221" s="1" t="str">
        <f>MID(A221,1,2)</f>
        <v/>
      </c>
      <c r="D221" s="1" t="str">
        <f>MID(B221,3,2)</f>
        <v/>
      </c>
      <c r="E221" s="1" t="str">
        <f>CONCATENATE(I221,K221)</f>
        <v/>
      </c>
      <c r="F221" s="1" t="e">
        <f>VLOOKUP(I221,$U$23:$AL$40,MATCH(J221,$U$23:$AL$23,0),FALSE)</f>
        <v>#N/A</v>
      </c>
      <c r="G221" s="1" t="e">
        <f>VLOOKUP(J221,$U$23:$AL$40,MATCH(K221,$U$23:$AL$23,0),FALSE)</f>
        <v>#N/A</v>
      </c>
      <c r="H221" s="1" t="e">
        <f>VLOOKUP(I221,$U$23:$AL$40,MATCH(K221,$U$23:$AL$23,0),FALSE)</f>
        <v>#N/A</v>
      </c>
      <c r="I221" s="1" t="str">
        <f>MID(A221,1,1)</f>
        <v/>
      </c>
      <c r="J221" s="1" t="str">
        <f>MID(A221,2,1)</f>
        <v/>
      </c>
      <c r="K221" s="1" t="str">
        <f>MID(A221,4,1)</f>
        <v/>
      </c>
      <c r="L221" s="1" t="e">
        <f>VLOOKUP(I221,$U:$V,2,0)</f>
        <v>#N/A</v>
      </c>
      <c r="M221" s="1" t="e">
        <f>VLOOKUP(J221,$X:$Y,2,0)</f>
        <v>#N/A</v>
      </c>
      <c r="N221" s="1" t="e">
        <f>VLOOKUP(K221,$AA:$AB,2,0)</f>
        <v>#N/A</v>
      </c>
      <c r="O221" s="1">
        <f>IF(A221&lt;&gt;"",N221+M221+L221+F221+G221+H221,0)</f>
        <v>0</v>
      </c>
      <c r="U221"/>
    </row>
    <row r="222" spans="1:21" x14ac:dyDescent="0.25">
      <c r="A222"/>
      <c r="B222"/>
      <c r="C222" s="1" t="str">
        <f>MID(A222,1,2)</f>
        <v/>
      </c>
      <c r="D222" s="1" t="str">
        <f>MID(B222,3,2)</f>
        <v/>
      </c>
      <c r="E222" s="1" t="str">
        <f>CONCATENATE(I222,K222)</f>
        <v/>
      </c>
      <c r="F222" s="1" t="e">
        <f>VLOOKUP(I222,$U$23:$AL$40,MATCH(J222,$U$23:$AL$23,0),FALSE)</f>
        <v>#N/A</v>
      </c>
      <c r="G222" s="1" t="e">
        <f>VLOOKUP(J222,$U$23:$AL$40,MATCH(K222,$U$23:$AL$23,0),FALSE)</f>
        <v>#N/A</v>
      </c>
      <c r="H222" s="1" t="e">
        <f>VLOOKUP(I222,$U$23:$AL$40,MATCH(K222,$U$23:$AL$23,0),FALSE)</f>
        <v>#N/A</v>
      </c>
      <c r="I222" s="1" t="str">
        <f>MID(A222,1,1)</f>
        <v/>
      </c>
      <c r="J222" s="1" t="str">
        <f>MID(A222,2,1)</f>
        <v/>
      </c>
      <c r="K222" s="1" t="str">
        <f>MID(A222,4,1)</f>
        <v/>
      </c>
      <c r="L222" s="1" t="e">
        <f>VLOOKUP(I222,$U:$V,2,0)</f>
        <v>#N/A</v>
      </c>
      <c r="M222" s="1" t="e">
        <f>VLOOKUP(J222,$X:$Y,2,0)</f>
        <v>#N/A</v>
      </c>
      <c r="N222" s="1" t="e">
        <f>VLOOKUP(K222,$AA:$AB,2,0)</f>
        <v>#N/A</v>
      </c>
      <c r="O222" s="1">
        <f>IF(A222&lt;&gt;"",N222+M222+L222+F222+G222+H222,0)</f>
        <v>0</v>
      </c>
      <c r="U222"/>
    </row>
    <row r="223" spans="1:21" x14ac:dyDescent="0.25">
      <c r="A223"/>
      <c r="B223"/>
      <c r="C223" s="1" t="str">
        <f>MID(A223,1,2)</f>
        <v/>
      </c>
      <c r="D223" s="1" t="str">
        <f>MID(B223,3,2)</f>
        <v/>
      </c>
      <c r="E223" s="1" t="str">
        <f>CONCATENATE(I223,K223)</f>
        <v/>
      </c>
      <c r="F223" s="1" t="e">
        <f>VLOOKUP(I223,$U$23:$AL$40,MATCH(J223,$U$23:$AL$23,0),FALSE)</f>
        <v>#N/A</v>
      </c>
      <c r="G223" s="1" t="e">
        <f>VLOOKUP(J223,$U$23:$AL$40,MATCH(K223,$U$23:$AL$23,0),FALSE)</f>
        <v>#N/A</v>
      </c>
      <c r="H223" s="1" t="e">
        <f>VLOOKUP(I223,$U$23:$AL$40,MATCH(K223,$U$23:$AL$23,0),FALSE)</f>
        <v>#N/A</v>
      </c>
      <c r="I223" s="1" t="str">
        <f>MID(A223,1,1)</f>
        <v/>
      </c>
      <c r="J223" s="1" t="str">
        <f>MID(A223,2,1)</f>
        <v/>
      </c>
      <c r="K223" s="1" t="str">
        <f>MID(A223,4,1)</f>
        <v/>
      </c>
      <c r="L223" s="1" t="e">
        <f>VLOOKUP(I223,$U:$V,2,0)</f>
        <v>#N/A</v>
      </c>
      <c r="M223" s="1" t="e">
        <f>VLOOKUP(J223,$X:$Y,2,0)</f>
        <v>#N/A</v>
      </c>
      <c r="N223" s="1" t="e">
        <f>VLOOKUP(K223,$AA:$AB,2,0)</f>
        <v>#N/A</v>
      </c>
      <c r="O223" s="1">
        <f>IF(A223&lt;&gt;"",N223+M223+L223+F223+G223+H223,0)</f>
        <v>0</v>
      </c>
      <c r="U223"/>
    </row>
    <row r="224" spans="1:21" x14ac:dyDescent="0.25">
      <c r="A224"/>
      <c r="B224"/>
      <c r="C224" s="1" t="str">
        <f>MID(A224,1,2)</f>
        <v/>
      </c>
      <c r="D224" s="1" t="str">
        <f>MID(B224,3,2)</f>
        <v/>
      </c>
      <c r="E224" s="1" t="str">
        <f>CONCATENATE(I224,K224)</f>
        <v/>
      </c>
      <c r="F224" s="1" t="e">
        <f>VLOOKUP(I224,$U$23:$AL$40,MATCH(J224,$U$23:$AL$23,0),FALSE)</f>
        <v>#N/A</v>
      </c>
      <c r="G224" s="1" t="e">
        <f>VLOOKUP(J224,$U$23:$AL$40,MATCH(K224,$U$23:$AL$23,0),FALSE)</f>
        <v>#N/A</v>
      </c>
      <c r="H224" s="1" t="e">
        <f>VLOOKUP(I224,$U$23:$AL$40,MATCH(K224,$U$23:$AL$23,0),FALSE)</f>
        <v>#N/A</v>
      </c>
      <c r="I224" s="1" t="str">
        <f>MID(A224,1,1)</f>
        <v/>
      </c>
      <c r="J224" s="1" t="str">
        <f>MID(A224,2,1)</f>
        <v/>
      </c>
      <c r="K224" s="1" t="str">
        <f>MID(A224,4,1)</f>
        <v/>
      </c>
      <c r="L224" s="1" t="e">
        <f>VLOOKUP(I224,$U:$V,2,0)</f>
        <v>#N/A</v>
      </c>
      <c r="M224" s="1" t="e">
        <f>VLOOKUP(J224,$X:$Y,2,0)</f>
        <v>#N/A</v>
      </c>
      <c r="N224" s="1" t="e">
        <f>VLOOKUP(K224,$AA:$AB,2,0)</f>
        <v>#N/A</v>
      </c>
      <c r="O224" s="1">
        <f>IF(A224&lt;&gt;"",N224+M224+L224+F224+G224+H224,0)</f>
        <v>0</v>
      </c>
    </row>
    <row r="225" spans="1:15" x14ac:dyDescent="0.25">
      <c r="A225"/>
      <c r="B225"/>
      <c r="C225" s="1" t="str">
        <f>MID(A225,1,2)</f>
        <v/>
      </c>
      <c r="D225" s="1" t="str">
        <f>MID(B225,3,2)</f>
        <v/>
      </c>
      <c r="E225" s="1" t="str">
        <f>CONCATENATE(I225,K225)</f>
        <v/>
      </c>
      <c r="F225" s="1" t="e">
        <f>VLOOKUP(I225,$U$23:$AL$40,MATCH(J225,$U$23:$AL$23,0),FALSE)</f>
        <v>#N/A</v>
      </c>
      <c r="G225" s="1" t="e">
        <f>VLOOKUP(J225,$U$23:$AL$40,MATCH(K225,$U$23:$AL$23,0),FALSE)</f>
        <v>#N/A</v>
      </c>
      <c r="H225" s="1" t="e">
        <f>VLOOKUP(I225,$U$23:$AL$40,MATCH(K225,$U$23:$AL$23,0),FALSE)</f>
        <v>#N/A</v>
      </c>
      <c r="I225" s="1" t="str">
        <f>MID(A225,1,1)</f>
        <v/>
      </c>
      <c r="J225" s="1" t="str">
        <f>MID(A225,2,1)</f>
        <v/>
      </c>
      <c r="K225" s="1" t="str">
        <f>MID(A225,4,1)</f>
        <v/>
      </c>
      <c r="L225" s="1" t="e">
        <f>VLOOKUP(I225,$U:$V,2,0)</f>
        <v>#N/A</v>
      </c>
      <c r="M225" s="1" t="e">
        <f>VLOOKUP(J225,$X:$Y,2,0)</f>
        <v>#N/A</v>
      </c>
      <c r="N225" s="1" t="e">
        <f>VLOOKUP(K225,$AA:$AB,2,0)</f>
        <v>#N/A</v>
      </c>
      <c r="O225" s="1">
        <f>IF(A225&lt;&gt;"",N225+M225+L225+F225+G225+H225,0)</f>
        <v>0</v>
      </c>
    </row>
    <row r="226" spans="1:15" x14ac:dyDescent="0.25">
      <c r="A226"/>
      <c r="B226"/>
      <c r="C226" s="1" t="str">
        <f>MID(A226,1,2)</f>
        <v/>
      </c>
      <c r="D226" s="1" t="str">
        <f>MID(B226,3,2)</f>
        <v/>
      </c>
      <c r="E226" s="1" t="str">
        <f>CONCATENATE(I226,K226)</f>
        <v/>
      </c>
      <c r="F226" s="1" t="e">
        <f>VLOOKUP(I226,$U$23:$AL$40,MATCH(J226,$U$23:$AL$23,0),FALSE)</f>
        <v>#N/A</v>
      </c>
      <c r="G226" s="1" t="e">
        <f>VLOOKUP(J226,$U$23:$AL$40,MATCH(K226,$U$23:$AL$23,0),FALSE)</f>
        <v>#N/A</v>
      </c>
      <c r="H226" s="1" t="e">
        <f>VLOOKUP(I226,$U$23:$AL$40,MATCH(K226,$U$23:$AL$23,0),FALSE)</f>
        <v>#N/A</v>
      </c>
      <c r="I226" s="1" t="str">
        <f>MID(A226,1,1)</f>
        <v/>
      </c>
      <c r="J226" s="1" t="str">
        <f>MID(A226,2,1)</f>
        <v/>
      </c>
      <c r="K226" s="1" t="str">
        <f>MID(A226,4,1)</f>
        <v/>
      </c>
      <c r="L226" s="1" t="e">
        <f>VLOOKUP(I226,$U:$V,2,0)</f>
        <v>#N/A</v>
      </c>
      <c r="M226" s="1" t="e">
        <f>VLOOKUP(J226,$X:$Y,2,0)</f>
        <v>#N/A</v>
      </c>
      <c r="N226" s="1" t="e">
        <f>VLOOKUP(K226,$AA:$AB,2,0)</f>
        <v>#N/A</v>
      </c>
      <c r="O226" s="1">
        <f>IF(A226&lt;&gt;"",N226+M226+L226+F226+G226+H226,0)</f>
        <v>0</v>
      </c>
    </row>
    <row r="227" spans="1:15" x14ac:dyDescent="0.25">
      <c r="A227"/>
      <c r="B227"/>
      <c r="C227" s="1" t="str">
        <f>MID(A227,1,2)</f>
        <v/>
      </c>
      <c r="D227" s="1" t="str">
        <f>MID(B227,3,2)</f>
        <v/>
      </c>
      <c r="E227" s="1" t="str">
        <f>CONCATENATE(I227,K227)</f>
        <v/>
      </c>
      <c r="F227" s="1" t="e">
        <f>VLOOKUP(I227,$U$23:$AL$40,MATCH(J227,$U$23:$AL$23,0),FALSE)</f>
        <v>#N/A</v>
      </c>
      <c r="G227" s="1" t="e">
        <f>VLOOKUP(J227,$U$23:$AL$40,MATCH(K227,$U$23:$AL$23,0),FALSE)</f>
        <v>#N/A</v>
      </c>
      <c r="H227" s="1" t="e">
        <f>VLOOKUP(I227,$U$23:$AL$40,MATCH(K227,$U$23:$AL$23,0),FALSE)</f>
        <v>#N/A</v>
      </c>
      <c r="I227" s="1" t="str">
        <f>MID(A227,1,1)</f>
        <v/>
      </c>
      <c r="J227" s="1" t="str">
        <f>MID(A227,2,1)</f>
        <v/>
      </c>
      <c r="K227" s="1" t="str">
        <f>MID(A227,4,1)</f>
        <v/>
      </c>
      <c r="L227" s="1" t="e">
        <f>VLOOKUP(I227,$U:$V,2,0)</f>
        <v>#N/A</v>
      </c>
      <c r="M227" s="1" t="e">
        <f>VLOOKUP(J227,$X:$Y,2,0)</f>
        <v>#N/A</v>
      </c>
      <c r="N227" s="1" t="e">
        <f>VLOOKUP(K227,$AA:$AB,2,0)</f>
        <v>#N/A</v>
      </c>
      <c r="O227" s="1">
        <f>IF(A227&lt;&gt;"",N227+M227+L227+F227+G227+H227,0)</f>
        <v>0</v>
      </c>
    </row>
    <row r="228" spans="1:15" x14ac:dyDescent="0.25">
      <c r="A228"/>
      <c r="B228"/>
      <c r="C228" s="1" t="str">
        <f>MID(A228,1,2)</f>
        <v/>
      </c>
      <c r="D228" s="1" t="str">
        <f>MID(B228,3,2)</f>
        <v/>
      </c>
      <c r="E228" s="1" t="str">
        <f>CONCATENATE(I228,K228)</f>
        <v/>
      </c>
      <c r="F228" s="1" t="e">
        <f>VLOOKUP(I228,$U$23:$AL$40,MATCH(J228,$U$23:$AL$23,0),FALSE)</f>
        <v>#N/A</v>
      </c>
      <c r="G228" s="1" t="e">
        <f>VLOOKUP(J228,$U$23:$AL$40,MATCH(K228,$U$23:$AL$23,0),FALSE)</f>
        <v>#N/A</v>
      </c>
      <c r="H228" s="1" t="e">
        <f>VLOOKUP(I228,$U$23:$AL$40,MATCH(K228,$U$23:$AL$23,0),FALSE)</f>
        <v>#N/A</v>
      </c>
      <c r="I228" s="1" t="str">
        <f>MID(A228,1,1)</f>
        <v/>
      </c>
      <c r="J228" s="1" t="str">
        <f>MID(A228,2,1)</f>
        <v/>
      </c>
      <c r="K228" s="1" t="str">
        <f>MID(A228,4,1)</f>
        <v/>
      </c>
      <c r="L228" s="1" t="e">
        <f>VLOOKUP(I228,$U:$V,2,0)</f>
        <v>#N/A</v>
      </c>
      <c r="M228" s="1" t="e">
        <f>VLOOKUP(J228,$X:$Y,2,0)</f>
        <v>#N/A</v>
      </c>
      <c r="N228" s="1" t="e">
        <f>VLOOKUP(K228,$AA:$AB,2,0)</f>
        <v>#N/A</v>
      </c>
      <c r="O228" s="1">
        <f>IF(A228&lt;&gt;"",N228+M228+L228+F228+G228+H228,0)</f>
        <v>0</v>
      </c>
    </row>
    <row r="229" spans="1:15" x14ac:dyDescent="0.25">
      <c r="A229"/>
      <c r="B229"/>
      <c r="C229" s="1" t="str">
        <f>MID(A229,1,2)</f>
        <v/>
      </c>
      <c r="D229" s="1" t="str">
        <f>MID(B229,3,2)</f>
        <v/>
      </c>
      <c r="E229" s="1" t="str">
        <f>CONCATENATE(I229,K229)</f>
        <v/>
      </c>
      <c r="F229" s="1" t="e">
        <f>VLOOKUP(I229,$U$23:$AL$40,MATCH(J229,$U$23:$AL$23,0),FALSE)</f>
        <v>#N/A</v>
      </c>
      <c r="G229" s="1" t="e">
        <f>VLOOKUP(J229,$U$23:$AL$40,MATCH(K229,$U$23:$AL$23,0),FALSE)</f>
        <v>#N/A</v>
      </c>
      <c r="H229" s="1" t="e">
        <f>VLOOKUP(I229,$U$23:$AL$40,MATCH(K229,$U$23:$AL$23,0),FALSE)</f>
        <v>#N/A</v>
      </c>
      <c r="I229" s="1" t="str">
        <f>MID(A229,1,1)</f>
        <v/>
      </c>
      <c r="J229" s="1" t="str">
        <f>MID(A229,2,1)</f>
        <v/>
      </c>
      <c r="K229" s="1" t="str">
        <f>MID(A229,4,1)</f>
        <v/>
      </c>
      <c r="L229" s="1" t="e">
        <f>VLOOKUP(I229,$U:$V,2,0)</f>
        <v>#N/A</v>
      </c>
      <c r="M229" s="1" t="e">
        <f>VLOOKUP(J229,$X:$Y,2,0)</f>
        <v>#N/A</v>
      </c>
      <c r="N229" s="1" t="e">
        <f>VLOOKUP(K229,$AA:$AB,2,0)</f>
        <v>#N/A</v>
      </c>
      <c r="O229" s="1">
        <f>IF(A229&lt;&gt;"",N229+M229+L229+F229+G229+H229,0)</f>
        <v>0</v>
      </c>
    </row>
    <row r="230" spans="1:15" x14ac:dyDescent="0.25">
      <c r="A230"/>
      <c r="B230"/>
      <c r="C230" s="1" t="str">
        <f>MID(A230,1,2)</f>
        <v/>
      </c>
      <c r="D230" s="1" t="str">
        <f>MID(B230,3,2)</f>
        <v/>
      </c>
      <c r="E230" s="1" t="str">
        <f>CONCATENATE(I230,K230)</f>
        <v/>
      </c>
      <c r="F230" s="1" t="e">
        <f>VLOOKUP(I230,$U$23:$AL$40,MATCH(J230,$U$23:$AL$23,0),FALSE)</f>
        <v>#N/A</v>
      </c>
      <c r="G230" s="1" t="e">
        <f>VLOOKUP(J230,$U$23:$AL$40,MATCH(K230,$U$23:$AL$23,0),FALSE)</f>
        <v>#N/A</v>
      </c>
      <c r="H230" s="1" t="e">
        <f>VLOOKUP(I230,$U$23:$AL$40,MATCH(K230,$U$23:$AL$23,0),FALSE)</f>
        <v>#N/A</v>
      </c>
      <c r="I230" s="1" t="str">
        <f>MID(A230,1,1)</f>
        <v/>
      </c>
      <c r="J230" s="1" t="str">
        <f>MID(A230,2,1)</f>
        <v/>
      </c>
      <c r="K230" s="1" t="str">
        <f>MID(A230,4,1)</f>
        <v/>
      </c>
      <c r="L230" s="1" t="e">
        <f>VLOOKUP(I230,$U:$V,2,0)</f>
        <v>#N/A</v>
      </c>
      <c r="M230" s="1" t="e">
        <f>VLOOKUP(J230,$X:$Y,2,0)</f>
        <v>#N/A</v>
      </c>
      <c r="N230" s="1" t="e">
        <f>VLOOKUP(K230,$AA:$AB,2,0)</f>
        <v>#N/A</v>
      </c>
      <c r="O230" s="1">
        <f>IF(A230&lt;&gt;"",N230+M230+L230+F230+G230+H230,0)</f>
        <v>0</v>
      </c>
    </row>
    <row r="231" spans="1:15" x14ac:dyDescent="0.25">
      <c r="A231"/>
      <c r="B231"/>
      <c r="C231" s="1" t="str">
        <f>MID(A231,1,2)</f>
        <v/>
      </c>
      <c r="D231" s="1" t="str">
        <f>MID(B231,3,2)</f>
        <v/>
      </c>
      <c r="E231" s="1" t="str">
        <f>CONCATENATE(I231,K231)</f>
        <v/>
      </c>
      <c r="F231" s="1" t="e">
        <f>VLOOKUP(I231,$U$23:$AL$40,MATCH(J231,$U$23:$AL$23,0),FALSE)</f>
        <v>#N/A</v>
      </c>
      <c r="G231" s="1" t="e">
        <f>VLOOKUP(J231,$U$23:$AL$40,MATCH(K231,$U$23:$AL$23,0),FALSE)</f>
        <v>#N/A</v>
      </c>
      <c r="H231" s="1" t="e">
        <f>VLOOKUP(I231,$U$23:$AL$40,MATCH(K231,$U$23:$AL$23,0),FALSE)</f>
        <v>#N/A</v>
      </c>
      <c r="I231" s="1" t="str">
        <f>MID(A231,1,1)</f>
        <v/>
      </c>
      <c r="J231" s="1" t="str">
        <f>MID(A231,2,1)</f>
        <v/>
      </c>
      <c r="K231" s="1" t="str">
        <f>MID(A231,4,1)</f>
        <v/>
      </c>
      <c r="L231" s="1" t="e">
        <f>VLOOKUP(I231,$U:$V,2,0)</f>
        <v>#N/A</v>
      </c>
      <c r="M231" s="1" t="e">
        <f>VLOOKUP(J231,$X:$Y,2,0)</f>
        <v>#N/A</v>
      </c>
      <c r="N231" s="1" t="e">
        <f>VLOOKUP(K231,$AA:$AB,2,0)</f>
        <v>#N/A</v>
      </c>
      <c r="O231" s="1">
        <f>IF(A231&lt;&gt;"",N231+M231+L231+F231+G231+H231,0)</f>
        <v>0</v>
      </c>
    </row>
    <row r="232" spans="1:15" x14ac:dyDescent="0.25">
      <c r="A232"/>
      <c r="B232"/>
      <c r="C232" s="1" t="str">
        <f>MID(A232,1,2)</f>
        <v/>
      </c>
      <c r="D232" s="1" t="str">
        <f>MID(B232,3,2)</f>
        <v/>
      </c>
      <c r="E232" s="1" t="str">
        <f>CONCATENATE(I232,K232)</f>
        <v/>
      </c>
      <c r="F232" s="1" t="e">
        <f>VLOOKUP(I232,$U$23:$AL$40,MATCH(J232,$U$23:$AL$23,0),FALSE)</f>
        <v>#N/A</v>
      </c>
      <c r="G232" s="1" t="e">
        <f>VLOOKUP(J232,$U$23:$AL$40,MATCH(K232,$U$23:$AL$23,0),FALSE)</f>
        <v>#N/A</v>
      </c>
      <c r="H232" s="1" t="e">
        <f>VLOOKUP(I232,$U$23:$AL$40,MATCH(K232,$U$23:$AL$23,0),FALSE)</f>
        <v>#N/A</v>
      </c>
      <c r="I232" s="1" t="str">
        <f>MID(A232,1,1)</f>
        <v/>
      </c>
      <c r="J232" s="1" t="str">
        <f>MID(A232,2,1)</f>
        <v/>
      </c>
      <c r="K232" s="1" t="str">
        <f>MID(A232,4,1)</f>
        <v/>
      </c>
      <c r="L232" s="1" t="e">
        <f>VLOOKUP(I232,$U:$V,2,0)</f>
        <v>#N/A</v>
      </c>
      <c r="M232" s="1" t="e">
        <f>VLOOKUP(J232,$X:$Y,2,0)</f>
        <v>#N/A</v>
      </c>
      <c r="N232" s="1" t="e">
        <f>VLOOKUP(K232,$AA:$AB,2,0)</f>
        <v>#N/A</v>
      </c>
      <c r="O232" s="1">
        <f>IF(A232&lt;&gt;"",N232+M232+L232+F232+G232+H232,0)</f>
        <v>0</v>
      </c>
    </row>
    <row r="233" spans="1:15" x14ac:dyDescent="0.25">
      <c r="A233"/>
      <c r="B233"/>
      <c r="C233" s="1" t="str">
        <f>MID(A233,1,2)</f>
        <v/>
      </c>
      <c r="D233" s="1" t="str">
        <f>MID(B233,3,2)</f>
        <v/>
      </c>
      <c r="E233" s="1" t="str">
        <f>CONCATENATE(I233,K233)</f>
        <v/>
      </c>
      <c r="F233" s="1" t="e">
        <f>VLOOKUP(I233,$U$23:$AL$40,MATCH(J233,$U$23:$AL$23,0),FALSE)</f>
        <v>#N/A</v>
      </c>
      <c r="G233" s="1" t="e">
        <f>VLOOKUP(J233,$U$23:$AL$40,MATCH(K233,$U$23:$AL$23,0),FALSE)</f>
        <v>#N/A</v>
      </c>
      <c r="H233" s="1" t="e">
        <f>VLOOKUP(I233,$U$23:$AL$40,MATCH(K233,$U$23:$AL$23,0),FALSE)</f>
        <v>#N/A</v>
      </c>
      <c r="I233" s="1" t="str">
        <f>MID(A233,1,1)</f>
        <v/>
      </c>
      <c r="J233" s="1" t="str">
        <f>MID(A233,2,1)</f>
        <v/>
      </c>
      <c r="K233" s="1" t="str">
        <f>MID(A233,4,1)</f>
        <v/>
      </c>
      <c r="L233" s="1" t="e">
        <f>VLOOKUP(I233,$U:$V,2,0)</f>
        <v>#N/A</v>
      </c>
      <c r="M233" s="1" t="e">
        <f>VLOOKUP(J233,$X:$Y,2,0)</f>
        <v>#N/A</v>
      </c>
      <c r="N233" s="1" t="e">
        <f>VLOOKUP(K233,$AA:$AB,2,0)</f>
        <v>#N/A</v>
      </c>
      <c r="O233" s="1">
        <f>IF(A233&lt;&gt;"",N233+M233+L233+F233+G233+H233,0)</f>
        <v>0</v>
      </c>
    </row>
    <row r="234" spans="1:15" x14ac:dyDescent="0.25">
      <c r="A234"/>
      <c r="B234"/>
      <c r="C234" s="1" t="str">
        <f>MID(A234,1,2)</f>
        <v/>
      </c>
      <c r="D234" s="1" t="str">
        <f>MID(B234,3,2)</f>
        <v/>
      </c>
      <c r="E234" s="1" t="str">
        <f>CONCATENATE(I234,K234)</f>
        <v/>
      </c>
      <c r="F234" s="1" t="e">
        <f>VLOOKUP(I234,$U$23:$AL$40,MATCH(J234,$U$23:$AL$23,0),FALSE)</f>
        <v>#N/A</v>
      </c>
      <c r="G234" s="1" t="e">
        <f>VLOOKUP(J234,$U$23:$AL$40,MATCH(K234,$U$23:$AL$23,0),FALSE)</f>
        <v>#N/A</v>
      </c>
      <c r="H234" s="1" t="e">
        <f>VLOOKUP(I234,$U$23:$AL$40,MATCH(K234,$U$23:$AL$23,0),FALSE)</f>
        <v>#N/A</v>
      </c>
      <c r="I234" s="1" t="str">
        <f>MID(A234,1,1)</f>
        <v/>
      </c>
      <c r="J234" s="1" t="str">
        <f>MID(A234,2,1)</f>
        <v/>
      </c>
      <c r="K234" s="1" t="str">
        <f>MID(A234,4,1)</f>
        <v/>
      </c>
      <c r="L234" s="1" t="e">
        <f>VLOOKUP(I234,$U:$V,2,0)</f>
        <v>#N/A</v>
      </c>
      <c r="M234" s="1" t="e">
        <f>VLOOKUP(J234,$X:$Y,2,0)</f>
        <v>#N/A</v>
      </c>
      <c r="N234" s="1" t="e">
        <f>VLOOKUP(K234,$AA:$AB,2,0)</f>
        <v>#N/A</v>
      </c>
      <c r="O234" s="1">
        <f>IF(A234&lt;&gt;"",N234+M234+L234+F234+G234+H234,0)</f>
        <v>0</v>
      </c>
    </row>
    <row r="235" spans="1:15" x14ac:dyDescent="0.25">
      <c r="A235"/>
      <c r="B235"/>
      <c r="C235" s="1" t="str">
        <f>MID(A235,1,2)</f>
        <v/>
      </c>
      <c r="D235" s="1" t="str">
        <f>MID(B235,3,2)</f>
        <v/>
      </c>
      <c r="E235" s="1" t="str">
        <f>CONCATENATE(I235,K235)</f>
        <v/>
      </c>
      <c r="F235" s="1" t="e">
        <f>VLOOKUP(I235,$U$23:$AL$40,MATCH(J235,$U$23:$AL$23,0),FALSE)</f>
        <v>#N/A</v>
      </c>
      <c r="G235" s="1" t="e">
        <f>VLOOKUP(J235,$U$23:$AL$40,MATCH(K235,$U$23:$AL$23,0),FALSE)</f>
        <v>#N/A</v>
      </c>
      <c r="H235" s="1" t="e">
        <f>VLOOKUP(I235,$U$23:$AL$40,MATCH(K235,$U$23:$AL$23,0),FALSE)</f>
        <v>#N/A</v>
      </c>
      <c r="I235" s="1" t="str">
        <f>MID(A235,1,1)</f>
        <v/>
      </c>
      <c r="J235" s="1" t="str">
        <f>MID(A235,2,1)</f>
        <v/>
      </c>
      <c r="K235" s="1" t="str">
        <f>MID(A235,4,1)</f>
        <v/>
      </c>
      <c r="L235" s="1" t="e">
        <f>VLOOKUP(I235,$U:$V,2,0)</f>
        <v>#N/A</v>
      </c>
      <c r="M235" s="1" t="e">
        <f>VLOOKUP(J235,$X:$Y,2,0)</f>
        <v>#N/A</v>
      </c>
      <c r="N235" s="1" t="e">
        <f>VLOOKUP(K235,$AA:$AB,2,0)</f>
        <v>#N/A</v>
      </c>
      <c r="O235" s="1">
        <f>IF(A235&lt;&gt;"",N235+M235+L235+F235+G235+H235,0)</f>
        <v>0</v>
      </c>
    </row>
    <row r="236" spans="1:15" x14ac:dyDescent="0.25">
      <c r="A236"/>
      <c r="B236"/>
      <c r="C236" s="1" t="str">
        <f>MID(A236,1,2)</f>
        <v/>
      </c>
      <c r="D236" s="1" t="str">
        <f>MID(B236,3,2)</f>
        <v/>
      </c>
      <c r="E236" s="1" t="str">
        <f>CONCATENATE(I236,K236)</f>
        <v/>
      </c>
      <c r="F236" s="1" t="e">
        <f>VLOOKUP(I236,$U$23:$AL$40,MATCH(J236,$U$23:$AL$23,0),FALSE)</f>
        <v>#N/A</v>
      </c>
      <c r="G236" s="1" t="e">
        <f>VLOOKUP(J236,$U$23:$AL$40,MATCH(K236,$U$23:$AL$23,0),FALSE)</f>
        <v>#N/A</v>
      </c>
      <c r="H236" s="1" t="e">
        <f>VLOOKUP(I236,$U$23:$AL$40,MATCH(K236,$U$23:$AL$23,0),FALSE)</f>
        <v>#N/A</v>
      </c>
      <c r="I236" s="1" t="str">
        <f>MID(A236,1,1)</f>
        <v/>
      </c>
      <c r="J236" s="1" t="str">
        <f>MID(A236,2,1)</f>
        <v/>
      </c>
      <c r="K236" s="1" t="str">
        <f>MID(A236,4,1)</f>
        <v/>
      </c>
      <c r="L236" s="1" t="e">
        <f>VLOOKUP(I236,$U:$V,2,0)</f>
        <v>#N/A</v>
      </c>
      <c r="M236" s="1" t="e">
        <f>VLOOKUP(J236,$X:$Y,2,0)</f>
        <v>#N/A</v>
      </c>
      <c r="N236" s="1" t="e">
        <f>VLOOKUP(K236,$AA:$AB,2,0)</f>
        <v>#N/A</v>
      </c>
      <c r="O236" s="1">
        <f>IF(A236&lt;&gt;"",N236+M236+L236+F236+G236+H236,0)</f>
        <v>0</v>
      </c>
    </row>
    <row r="237" spans="1:15" x14ac:dyDescent="0.25">
      <c r="A237"/>
      <c r="B237"/>
      <c r="C237" s="1" t="str">
        <f>MID(A237,1,2)</f>
        <v/>
      </c>
      <c r="D237" s="1" t="str">
        <f>MID(B237,3,2)</f>
        <v/>
      </c>
      <c r="E237" s="1" t="str">
        <f>CONCATENATE(I237,K237)</f>
        <v/>
      </c>
      <c r="F237" s="1" t="e">
        <f>VLOOKUP(I237,$U$23:$AL$40,MATCH(J237,$U$23:$AL$23,0),FALSE)</f>
        <v>#N/A</v>
      </c>
      <c r="G237" s="1" t="e">
        <f>VLOOKUP(J237,$U$23:$AL$40,MATCH(K237,$U$23:$AL$23,0),FALSE)</f>
        <v>#N/A</v>
      </c>
      <c r="H237" s="1" t="e">
        <f>VLOOKUP(I237,$U$23:$AL$40,MATCH(K237,$U$23:$AL$23,0),FALSE)</f>
        <v>#N/A</v>
      </c>
      <c r="I237" s="1" t="str">
        <f>MID(A237,1,1)</f>
        <v/>
      </c>
      <c r="J237" s="1" t="str">
        <f>MID(A237,2,1)</f>
        <v/>
      </c>
      <c r="K237" s="1" t="str">
        <f>MID(A237,4,1)</f>
        <v/>
      </c>
      <c r="L237" s="1" t="e">
        <f>VLOOKUP(I237,$U:$V,2,0)</f>
        <v>#N/A</v>
      </c>
      <c r="M237" s="1" t="e">
        <f>VLOOKUP(J237,$X:$Y,2,0)</f>
        <v>#N/A</v>
      </c>
      <c r="N237" s="1" t="e">
        <f>VLOOKUP(K237,$AA:$AB,2,0)</f>
        <v>#N/A</v>
      </c>
      <c r="O237" s="1">
        <f>IF(A237&lt;&gt;"",N237+M237+L237+F237+G237+H237,0)</f>
        <v>0</v>
      </c>
    </row>
    <row r="238" spans="1:15" x14ac:dyDescent="0.25">
      <c r="A238"/>
      <c r="B238"/>
      <c r="C238" s="1" t="str">
        <f>MID(A238,1,2)</f>
        <v/>
      </c>
      <c r="D238" s="1" t="str">
        <f>MID(B238,3,2)</f>
        <v/>
      </c>
      <c r="E238" s="1" t="str">
        <f>CONCATENATE(I238,K238)</f>
        <v/>
      </c>
      <c r="F238" s="1" t="e">
        <f>VLOOKUP(I238,$U$23:$AL$40,MATCH(J238,$U$23:$AL$23,0),FALSE)</f>
        <v>#N/A</v>
      </c>
      <c r="G238" s="1" t="e">
        <f>VLOOKUP(J238,$U$23:$AL$40,MATCH(K238,$U$23:$AL$23,0),FALSE)</f>
        <v>#N/A</v>
      </c>
      <c r="H238" s="1" t="e">
        <f>VLOOKUP(I238,$U$23:$AL$40,MATCH(K238,$U$23:$AL$23,0),FALSE)</f>
        <v>#N/A</v>
      </c>
      <c r="I238" s="1" t="str">
        <f>MID(A238,1,1)</f>
        <v/>
      </c>
      <c r="J238" s="1" t="str">
        <f>MID(A238,2,1)</f>
        <v/>
      </c>
      <c r="K238" s="1" t="str">
        <f>MID(A238,4,1)</f>
        <v/>
      </c>
      <c r="L238" s="1" t="e">
        <f>VLOOKUP(I238,$U:$V,2,0)</f>
        <v>#N/A</v>
      </c>
      <c r="M238" s="1" t="e">
        <f>VLOOKUP(J238,$X:$Y,2,0)</f>
        <v>#N/A</v>
      </c>
      <c r="N238" s="1" t="e">
        <f>VLOOKUP(K238,$AA:$AB,2,0)</f>
        <v>#N/A</v>
      </c>
      <c r="O238" s="1">
        <f>IF(A238&lt;&gt;"",N238+M238+L238+F238+G238+H238,0)</f>
        <v>0</v>
      </c>
    </row>
    <row r="239" spans="1:15" x14ac:dyDescent="0.25">
      <c r="A239"/>
      <c r="B239"/>
      <c r="C239" s="1" t="str">
        <f>MID(A239,1,2)</f>
        <v/>
      </c>
      <c r="D239" s="1" t="str">
        <f>MID(B239,3,2)</f>
        <v/>
      </c>
      <c r="E239" s="1" t="str">
        <f>CONCATENATE(I239,K239)</f>
        <v/>
      </c>
      <c r="F239" s="1" t="e">
        <f>VLOOKUP(I239,$U$23:$AL$40,MATCH(J239,$U$23:$AL$23,0),FALSE)</f>
        <v>#N/A</v>
      </c>
      <c r="G239" s="1" t="e">
        <f>VLOOKUP(J239,$U$23:$AL$40,MATCH(K239,$U$23:$AL$23,0),FALSE)</f>
        <v>#N/A</v>
      </c>
      <c r="H239" s="1" t="e">
        <f>VLOOKUP(I239,$U$23:$AL$40,MATCH(K239,$U$23:$AL$23,0),FALSE)</f>
        <v>#N/A</v>
      </c>
      <c r="I239" s="1" t="str">
        <f>MID(A239,1,1)</f>
        <v/>
      </c>
      <c r="J239" s="1" t="str">
        <f>MID(A239,2,1)</f>
        <v/>
      </c>
      <c r="K239" s="1" t="str">
        <f>MID(A239,4,1)</f>
        <v/>
      </c>
      <c r="L239" s="1" t="e">
        <f>VLOOKUP(I239,$U:$V,2,0)</f>
        <v>#N/A</v>
      </c>
      <c r="M239" s="1" t="e">
        <f>VLOOKUP(J239,$X:$Y,2,0)</f>
        <v>#N/A</v>
      </c>
      <c r="N239" s="1" t="e">
        <f>VLOOKUP(K239,$AA:$AB,2,0)</f>
        <v>#N/A</v>
      </c>
      <c r="O239" s="1">
        <f>IF(A239&lt;&gt;"",N239+M239+L239+F239+G239+H239,0)</f>
        <v>0</v>
      </c>
    </row>
    <row r="240" spans="1:15" x14ac:dyDescent="0.25">
      <c r="A240"/>
      <c r="B240"/>
      <c r="C240" s="1" t="str">
        <f>MID(A240,1,2)</f>
        <v/>
      </c>
      <c r="D240" s="1" t="str">
        <f>MID(B240,3,2)</f>
        <v/>
      </c>
      <c r="E240" s="1" t="str">
        <f>CONCATENATE(I240,K240)</f>
        <v/>
      </c>
      <c r="F240" s="1" t="e">
        <f>VLOOKUP(I240,$U$23:$AL$40,MATCH(J240,$U$23:$AL$23,0),FALSE)</f>
        <v>#N/A</v>
      </c>
      <c r="G240" s="1" t="e">
        <f>VLOOKUP(J240,$U$23:$AL$40,MATCH(K240,$U$23:$AL$23,0),FALSE)</f>
        <v>#N/A</v>
      </c>
      <c r="H240" s="1" t="e">
        <f>VLOOKUP(I240,$U$23:$AL$40,MATCH(K240,$U$23:$AL$23,0),FALSE)</f>
        <v>#N/A</v>
      </c>
      <c r="I240" s="1" t="str">
        <f>MID(A240,1,1)</f>
        <v/>
      </c>
      <c r="J240" s="1" t="str">
        <f>MID(A240,2,1)</f>
        <v/>
      </c>
      <c r="K240" s="1" t="str">
        <f>MID(A240,4,1)</f>
        <v/>
      </c>
      <c r="L240" s="1" t="e">
        <f>VLOOKUP(I240,$U:$V,2,0)</f>
        <v>#N/A</v>
      </c>
      <c r="M240" s="1" t="e">
        <f>VLOOKUP(J240,$X:$Y,2,0)</f>
        <v>#N/A</v>
      </c>
      <c r="N240" s="1" t="e">
        <f>VLOOKUP(K240,$AA:$AB,2,0)</f>
        <v>#N/A</v>
      </c>
      <c r="O240" s="1">
        <f>IF(A240&lt;&gt;"",N240+M240+L240+F240+G240+H240,0)</f>
        <v>0</v>
      </c>
    </row>
    <row r="241" spans="1:15" x14ac:dyDescent="0.25">
      <c r="A241"/>
      <c r="B241"/>
      <c r="C241" s="1" t="str">
        <f>MID(A241,1,2)</f>
        <v/>
      </c>
      <c r="D241" s="1" t="str">
        <f>MID(B241,3,2)</f>
        <v/>
      </c>
      <c r="E241" s="1" t="str">
        <f>CONCATENATE(I241,K241)</f>
        <v/>
      </c>
      <c r="F241" s="1" t="e">
        <f>VLOOKUP(I241,$U$23:$AL$40,MATCH(J241,$U$23:$AL$23,0),FALSE)</f>
        <v>#N/A</v>
      </c>
      <c r="G241" s="1" t="e">
        <f>VLOOKUP(J241,$U$23:$AL$40,MATCH(K241,$U$23:$AL$23,0),FALSE)</f>
        <v>#N/A</v>
      </c>
      <c r="H241" s="1" t="e">
        <f>VLOOKUP(I241,$U$23:$AL$40,MATCH(K241,$U$23:$AL$23,0),FALSE)</f>
        <v>#N/A</v>
      </c>
      <c r="I241" s="1" t="str">
        <f>MID(A241,1,1)</f>
        <v/>
      </c>
      <c r="J241" s="1" t="str">
        <f>MID(A241,2,1)</f>
        <v/>
      </c>
      <c r="K241" s="1" t="str">
        <f>MID(A241,4,1)</f>
        <v/>
      </c>
      <c r="L241" s="1" t="e">
        <f>VLOOKUP(I241,$U:$V,2,0)</f>
        <v>#N/A</v>
      </c>
      <c r="M241" s="1" t="e">
        <f>VLOOKUP(J241,$X:$Y,2,0)</f>
        <v>#N/A</v>
      </c>
      <c r="N241" s="1" t="e">
        <f>VLOOKUP(K241,$AA:$AB,2,0)</f>
        <v>#N/A</v>
      </c>
      <c r="O241" s="1">
        <f>IF(A241&lt;&gt;"",N241+M241+L241+F241+G241+H241,0)</f>
        <v>0</v>
      </c>
    </row>
    <row r="242" spans="1:15" x14ac:dyDescent="0.25">
      <c r="A242"/>
      <c r="B242"/>
      <c r="C242" s="1" t="str">
        <f>MID(A242,1,2)</f>
        <v/>
      </c>
      <c r="D242" s="1" t="str">
        <f>MID(B242,3,2)</f>
        <v/>
      </c>
      <c r="E242" s="1" t="str">
        <f>CONCATENATE(I242,K242)</f>
        <v/>
      </c>
      <c r="F242" s="1" t="e">
        <f>VLOOKUP(I242,$U$23:$AL$40,MATCH(J242,$U$23:$AL$23,0),FALSE)</f>
        <v>#N/A</v>
      </c>
      <c r="G242" s="1" t="e">
        <f>VLOOKUP(J242,$U$23:$AL$40,MATCH(K242,$U$23:$AL$23,0),FALSE)</f>
        <v>#N/A</v>
      </c>
      <c r="H242" s="1" t="e">
        <f>VLOOKUP(I242,$U$23:$AL$40,MATCH(K242,$U$23:$AL$23,0),FALSE)</f>
        <v>#N/A</v>
      </c>
      <c r="I242" s="1" t="str">
        <f>MID(A242,1,1)</f>
        <v/>
      </c>
      <c r="J242" s="1" t="str">
        <f>MID(A242,2,1)</f>
        <v/>
      </c>
      <c r="K242" s="1" t="str">
        <f>MID(A242,4,1)</f>
        <v/>
      </c>
      <c r="L242" s="1" t="e">
        <f>VLOOKUP(I242,$U:$V,2,0)</f>
        <v>#N/A</v>
      </c>
      <c r="M242" s="1" t="e">
        <f>VLOOKUP(J242,$X:$Y,2,0)</f>
        <v>#N/A</v>
      </c>
      <c r="N242" s="1" t="e">
        <f>VLOOKUP(K242,$AA:$AB,2,0)</f>
        <v>#N/A</v>
      </c>
      <c r="O242" s="1">
        <f>IF(A242&lt;&gt;"",N242+M242+L242+F242+G242+H242,0)</f>
        <v>0</v>
      </c>
    </row>
    <row r="243" spans="1:15" x14ac:dyDescent="0.25">
      <c r="A243"/>
      <c r="B243"/>
      <c r="C243" s="1" t="str">
        <f>MID(A243,1,2)</f>
        <v/>
      </c>
      <c r="D243" s="1" t="str">
        <f>MID(B243,3,2)</f>
        <v/>
      </c>
      <c r="E243" s="1" t="str">
        <f>CONCATENATE(I243,K243)</f>
        <v/>
      </c>
      <c r="F243" s="1" t="e">
        <f>VLOOKUP(I243,$U$23:$AL$40,MATCH(J243,$U$23:$AL$23,0),FALSE)</f>
        <v>#N/A</v>
      </c>
      <c r="G243" s="1" t="e">
        <f>VLOOKUP(J243,$U$23:$AL$40,MATCH(K243,$U$23:$AL$23,0),FALSE)</f>
        <v>#N/A</v>
      </c>
      <c r="H243" s="1" t="e">
        <f>VLOOKUP(I243,$U$23:$AL$40,MATCH(K243,$U$23:$AL$23,0),FALSE)</f>
        <v>#N/A</v>
      </c>
      <c r="I243" s="1" t="str">
        <f>MID(A243,1,1)</f>
        <v/>
      </c>
      <c r="J243" s="1" t="str">
        <f>MID(A243,2,1)</f>
        <v/>
      </c>
      <c r="K243" s="1" t="str">
        <f>MID(A243,4,1)</f>
        <v/>
      </c>
      <c r="L243" s="1" t="e">
        <f>VLOOKUP(I243,$U:$V,2,0)</f>
        <v>#N/A</v>
      </c>
      <c r="M243" s="1" t="e">
        <f>VLOOKUP(J243,$X:$Y,2,0)</f>
        <v>#N/A</v>
      </c>
      <c r="N243" s="1" t="e">
        <f>VLOOKUP(K243,$AA:$AB,2,0)</f>
        <v>#N/A</v>
      </c>
      <c r="O243" s="1">
        <f>IF(A243&lt;&gt;"",N243+M243+L243+F243+G243+H243,0)</f>
        <v>0</v>
      </c>
    </row>
    <row r="244" spans="1:15" x14ac:dyDescent="0.25">
      <c r="A244"/>
      <c r="B244"/>
      <c r="C244" s="1" t="str">
        <f>MID(A244,1,2)</f>
        <v/>
      </c>
      <c r="D244" s="1" t="str">
        <f>MID(B244,3,2)</f>
        <v/>
      </c>
      <c r="E244" s="1" t="str">
        <f>CONCATENATE(I244,K244)</f>
        <v/>
      </c>
      <c r="F244" s="1" t="e">
        <f>VLOOKUP(I244,$U$23:$AL$40,MATCH(J244,$U$23:$AL$23,0),FALSE)</f>
        <v>#N/A</v>
      </c>
      <c r="G244" s="1" t="e">
        <f>VLOOKUP(J244,$U$23:$AL$40,MATCH(K244,$U$23:$AL$23,0),FALSE)</f>
        <v>#N/A</v>
      </c>
      <c r="H244" s="1" t="e">
        <f>VLOOKUP(I244,$U$23:$AL$40,MATCH(K244,$U$23:$AL$23,0),FALSE)</f>
        <v>#N/A</v>
      </c>
      <c r="I244" s="1" t="str">
        <f>MID(A244,1,1)</f>
        <v/>
      </c>
      <c r="J244" s="1" t="str">
        <f>MID(A244,2,1)</f>
        <v/>
      </c>
      <c r="K244" s="1" t="str">
        <f>MID(A244,4,1)</f>
        <v/>
      </c>
      <c r="L244" s="1" t="e">
        <f>VLOOKUP(I244,$U:$V,2,0)</f>
        <v>#N/A</v>
      </c>
      <c r="M244" s="1" t="e">
        <f>VLOOKUP(J244,$X:$Y,2,0)</f>
        <v>#N/A</v>
      </c>
      <c r="N244" s="1" t="e">
        <f>VLOOKUP(K244,$AA:$AB,2,0)</f>
        <v>#N/A</v>
      </c>
      <c r="O244" s="1">
        <f>IF(A244&lt;&gt;"",N244+M244+L244+F244+G244+H244,0)</f>
        <v>0</v>
      </c>
    </row>
    <row r="245" spans="1:15" x14ac:dyDescent="0.25">
      <c r="A245"/>
      <c r="B245"/>
      <c r="C245" s="1" t="str">
        <f>MID(A245,1,2)</f>
        <v/>
      </c>
      <c r="D245" s="1" t="str">
        <f>MID(B245,3,2)</f>
        <v/>
      </c>
      <c r="E245" s="1" t="str">
        <f>CONCATENATE(I245,K245)</f>
        <v/>
      </c>
      <c r="F245" s="1" t="e">
        <f>VLOOKUP(I245,$U$23:$AL$40,MATCH(J245,$U$23:$AL$23,0),FALSE)</f>
        <v>#N/A</v>
      </c>
      <c r="G245" s="1" t="e">
        <f>VLOOKUP(J245,$U$23:$AL$40,MATCH(K245,$U$23:$AL$23,0),FALSE)</f>
        <v>#N/A</v>
      </c>
      <c r="H245" s="1" t="e">
        <f>VLOOKUP(I245,$U$23:$AL$40,MATCH(K245,$U$23:$AL$23,0),FALSE)</f>
        <v>#N/A</v>
      </c>
      <c r="I245" s="1" t="str">
        <f>MID(A245,1,1)</f>
        <v/>
      </c>
      <c r="J245" s="1" t="str">
        <f>MID(A245,2,1)</f>
        <v/>
      </c>
      <c r="K245" s="1" t="str">
        <f>MID(A245,4,1)</f>
        <v/>
      </c>
      <c r="L245" s="1" t="e">
        <f>VLOOKUP(I245,$U:$V,2,0)</f>
        <v>#N/A</v>
      </c>
      <c r="M245" s="1" t="e">
        <f>VLOOKUP(J245,$X:$Y,2,0)</f>
        <v>#N/A</v>
      </c>
      <c r="N245" s="1" t="e">
        <f>VLOOKUP(K245,$AA:$AB,2,0)</f>
        <v>#N/A</v>
      </c>
      <c r="O245" s="1">
        <f>IF(A245&lt;&gt;"",N245+M245+L245+F245+G245+H245,0)</f>
        <v>0</v>
      </c>
    </row>
    <row r="246" spans="1:15" x14ac:dyDescent="0.25">
      <c r="A246"/>
      <c r="B246"/>
      <c r="C246" s="1" t="str">
        <f>MID(A246,1,2)</f>
        <v/>
      </c>
      <c r="D246" s="1" t="str">
        <f>MID(B246,3,2)</f>
        <v/>
      </c>
      <c r="E246" s="1" t="str">
        <f>CONCATENATE(I246,K246)</f>
        <v/>
      </c>
      <c r="F246" s="1" t="e">
        <f>VLOOKUP(I246,$U$23:$AL$40,MATCH(J246,$U$23:$AL$23,0),FALSE)</f>
        <v>#N/A</v>
      </c>
      <c r="G246" s="1" t="e">
        <f>VLOOKUP(J246,$U$23:$AL$40,MATCH(K246,$U$23:$AL$23,0),FALSE)</f>
        <v>#N/A</v>
      </c>
      <c r="H246" s="1" t="e">
        <f>VLOOKUP(I246,$U$23:$AL$40,MATCH(K246,$U$23:$AL$23,0),FALSE)</f>
        <v>#N/A</v>
      </c>
      <c r="I246" s="1" t="str">
        <f>MID(A246,1,1)</f>
        <v/>
      </c>
      <c r="J246" s="1" t="str">
        <f>MID(A246,2,1)</f>
        <v/>
      </c>
      <c r="K246" s="1" t="str">
        <f>MID(A246,4,1)</f>
        <v/>
      </c>
      <c r="L246" s="1" t="e">
        <f>VLOOKUP(I246,$U:$V,2,0)</f>
        <v>#N/A</v>
      </c>
      <c r="M246" s="1" t="e">
        <f>VLOOKUP(J246,$X:$Y,2,0)</f>
        <v>#N/A</v>
      </c>
      <c r="N246" s="1" t="e">
        <f>VLOOKUP(K246,$AA:$AB,2,0)</f>
        <v>#N/A</v>
      </c>
      <c r="O246" s="1">
        <f>IF(A246&lt;&gt;"",N246+M246+L246+F246+G246+H246,0)</f>
        <v>0</v>
      </c>
    </row>
    <row r="247" spans="1:15" x14ac:dyDescent="0.25">
      <c r="A247"/>
      <c r="B247"/>
      <c r="C247" s="1" t="str">
        <f>MID(A247,1,2)</f>
        <v/>
      </c>
      <c r="D247" s="1" t="str">
        <f>MID(B247,3,2)</f>
        <v/>
      </c>
      <c r="E247" s="1" t="str">
        <f>CONCATENATE(I247,K247)</f>
        <v/>
      </c>
      <c r="F247" s="1" t="e">
        <f>VLOOKUP(I247,$U$23:$AL$40,MATCH(J247,$U$23:$AL$23,0),FALSE)</f>
        <v>#N/A</v>
      </c>
      <c r="G247" s="1" t="e">
        <f>VLOOKUP(J247,$U$23:$AL$40,MATCH(K247,$U$23:$AL$23,0),FALSE)</f>
        <v>#N/A</v>
      </c>
      <c r="H247" s="1" t="e">
        <f>VLOOKUP(I247,$U$23:$AL$40,MATCH(K247,$U$23:$AL$23,0),FALSE)</f>
        <v>#N/A</v>
      </c>
      <c r="I247" s="1" t="str">
        <f>MID(A247,1,1)</f>
        <v/>
      </c>
      <c r="J247" s="1" t="str">
        <f>MID(A247,2,1)</f>
        <v/>
      </c>
      <c r="K247" s="1" t="str">
        <f>MID(A247,4,1)</f>
        <v/>
      </c>
      <c r="L247" s="1" t="e">
        <f>VLOOKUP(I247,$U:$V,2,0)</f>
        <v>#N/A</v>
      </c>
      <c r="M247" s="1" t="e">
        <f>VLOOKUP(J247,$X:$Y,2,0)</f>
        <v>#N/A</v>
      </c>
      <c r="N247" s="1" t="e">
        <f>VLOOKUP(K247,$AA:$AB,2,0)</f>
        <v>#N/A</v>
      </c>
      <c r="O247" s="1">
        <f>IF(A247&lt;&gt;"",N247+M247+L247+F247+G247+H247,0)</f>
        <v>0</v>
      </c>
    </row>
    <row r="248" spans="1:15" x14ac:dyDescent="0.25">
      <c r="A248"/>
      <c r="B248"/>
      <c r="C248" s="1" t="str">
        <f>MID(A248,1,2)</f>
        <v/>
      </c>
      <c r="D248" s="1" t="str">
        <f>MID(B248,3,2)</f>
        <v/>
      </c>
      <c r="E248" s="1" t="str">
        <f>CONCATENATE(I248,K248)</f>
        <v/>
      </c>
      <c r="F248" s="1" t="e">
        <f>VLOOKUP(I248,$U$23:$AL$40,MATCH(J248,$U$23:$AL$23,0),FALSE)</f>
        <v>#N/A</v>
      </c>
      <c r="G248" s="1" t="e">
        <f>VLOOKUP(J248,$U$23:$AL$40,MATCH(K248,$U$23:$AL$23,0),FALSE)</f>
        <v>#N/A</v>
      </c>
      <c r="H248" s="1" t="e">
        <f>VLOOKUP(I248,$U$23:$AL$40,MATCH(K248,$U$23:$AL$23,0),FALSE)</f>
        <v>#N/A</v>
      </c>
      <c r="I248" s="1" t="str">
        <f>MID(A248,1,1)</f>
        <v/>
      </c>
      <c r="J248" s="1" t="str">
        <f>MID(A248,2,1)</f>
        <v/>
      </c>
      <c r="K248" s="1" t="str">
        <f>MID(A248,4,1)</f>
        <v/>
      </c>
      <c r="L248" s="1" t="e">
        <f>VLOOKUP(I248,$U:$V,2,0)</f>
        <v>#N/A</v>
      </c>
      <c r="M248" s="1" t="e">
        <f>VLOOKUP(J248,$X:$Y,2,0)</f>
        <v>#N/A</v>
      </c>
      <c r="N248" s="1" t="e">
        <f>VLOOKUP(K248,$AA:$AB,2,0)</f>
        <v>#N/A</v>
      </c>
      <c r="O248" s="1">
        <f>IF(A248&lt;&gt;"",N248+M248+L248+F248+G248+H248,0)</f>
        <v>0</v>
      </c>
    </row>
    <row r="249" spans="1:15" x14ac:dyDescent="0.25">
      <c r="A249"/>
      <c r="B249"/>
      <c r="C249" s="1" t="str">
        <f>MID(A249,1,2)</f>
        <v/>
      </c>
      <c r="D249" s="1" t="str">
        <f>MID(B249,3,2)</f>
        <v/>
      </c>
      <c r="E249" s="1" t="str">
        <f>CONCATENATE(I249,K249)</f>
        <v/>
      </c>
      <c r="F249" s="1" t="e">
        <f>VLOOKUP(I249,$U$23:$AL$40,MATCH(J249,$U$23:$AL$23,0),FALSE)</f>
        <v>#N/A</v>
      </c>
      <c r="G249" s="1" t="e">
        <f>VLOOKUP(J249,$U$23:$AL$40,MATCH(K249,$U$23:$AL$23,0),FALSE)</f>
        <v>#N/A</v>
      </c>
      <c r="H249" s="1" t="e">
        <f>VLOOKUP(I249,$U$23:$AL$40,MATCH(K249,$U$23:$AL$23,0),FALSE)</f>
        <v>#N/A</v>
      </c>
      <c r="I249" s="1" t="str">
        <f>MID(A249,1,1)</f>
        <v/>
      </c>
      <c r="J249" s="1" t="str">
        <f>MID(A249,2,1)</f>
        <v/>
      </c>
      <c r="K249" s="1" t="str">
        <f>MID(A249,4,1)</f>
        <v/>
      </c>
      <c r="L249" s="1" t="e">
        <f>VLOOKUP(I249,$U:$V,2,0)</f>
        <v>#N/A</v>
      </c>
      <c r="M249" s="1" t="e">
        <f>VLOOKUP(J249,$X:$Y,2,0)</f>
        <v>#N/A</v>
      </c>
      <c r="N249" s="1" t="e">
        <f>VLOOKUP(K249,$AA:$AB,2,0)</f>
        <v>#N/A</v>
      </c>
      <c r="O249" s="1">
        <f>IF(A249&lt;&gt;"",N249+M249+L249+F249+G249+H249,0)</f>
        <v>0</v>
      </c>
    </row>
    <row r="250" spans="1:15" x14ac:dyDescent="0.25">
      <c r="A250"/>
      <c r="B250"/>
      <c r="C250" s="1" t="str">
        <f>MID(A250,1,2)</f>
        <v/>
      </c>
      <c r="D250" s="1" t="str">
        <f>MID(B250,3,2)</f>
        <v/>
      </c>
      <c r="E250" s="1" t="str">
        <f>CONCATENATE(I250,K250)</f>
        <v/>
      </c>
      <c r="F250" s="1" t="e">
        <f>VLOOKUP(I250,$U$23:$AL$40,MATCH(J250,$U$23:$AL$23,0),FALSE)</f>
        <v>#N/A</v>
      </c>
      <c r="G250" s="1" t="e">
        <f>VLOOKUP(J250,$U$23:$AL$40,MATCH(K250,$U$23:$AL$23,0),FALSE)</f>
        <v>#N/A</v>
      </c>
      <c r="H250" s="1" t="e">
        <f>VLOOKUP(I250,$U$23:$AL$40,MATCH(K250,$U$23:$AL$23,0),FALSE)</f>
        <v>#N/A</v>
      </c>
      <c r="I250" s="1" t="str">
        <f>MID(A250,1,1)</f>
        <v/>
      </c>
      <c r="J250" s="1" t="str">
        <f>MID(A250,2,1)</f>
        <v/>
      </c>
      <c r="K250" s="1" t="str">
        <f>MID(A250,4,1)</f>
        <v/>
      </c>
      <c r="L250" s="1" t="e">
        <f>VLOOKUP(I250,$U:$V,2,0)</f>
        <v>#N/A</v>
      </c>
      <c r="M250" s="1" t="e">
        <f>VLOOKUP(J250,$X:$Y,2,0)</f>
        <v>#N/A</v>
      </c>
      <c r="N250" s="1" t="e">
        <f>VLOOKUP(K250,$AA:$AB,2,0)</f>
        <v>#N/A</v>
      </c>
      <c r="O250" s="1">
        <f>IF(A250&lt;&gt;"",N250+M250+L250+F250+G250+H250,0)</f>
        <v>0</v>
      </c>
    </row>
    <row r="251" spans="1:15" x14ac:dyDescent="0.25">
      <c r="A251"/>
      <c r="B251"/>
      <c r="C251" s="1" t="str">
        <f>MID(A251,1,2)</f>
        <v/>
      </c>
      <c r="D251" s="1" t="str">
        <f>MID(B251,3,2)</f>
        <v/>
      </c>
      <c r="E251" s="1" t="str">
        <f>CONCATENATE(I251,K251)</f>
        <v/>
      </c>
      <c r="F251" s="1" t="e">
        <f>VLOOKUP(I251,$U$23:$AL$40,MATCH(J251,$U$23:$AL$23,0),FALSE)</f>
        <v>#N/A</v>
      </c>
      <c r="G251" s="1" t="e">
        <f>VLOOKUP(J251,$U$23:$AL$40,MATCH(K251,$U$23:$AL$23,0),FALSE)</f>
        <v>#N/A</v>
      </c>
      <c r="H251" s="1" t="e">
        <f>VLOOKUP(I251,$U$23:$AL$40,MATCH(K251,$U$23:$AL$23,0),FALSE)</f>
        <v>#N/A</v>
      </c>
      <c r="I251" s="1" t="str">
        <f>MID(A251,1,1)</f>
        <v/>
      </c>
      <c r="J251" s="1" t="str">
        <f>MID(A251,2,1)</f>
        <v/>
      </c>
      <c r="K251" s="1" t="str">
        <f>MID(A251,4,1)</f>
        <v/>
      </c>
      <c r="L251" s="1" t="e">
        <f>VLOOKUP(I251,$U:$V,2,0)</f>
        <v>#N/A</v>
      </c>
      <c r="M251" s="1" t="e">
        <f>VLOOKUP(J251,$X:$Y,2,0)</f>
        <v>#N/A</v>
      </c>
      <c r="N251" s="1" t="e">
        <f>VLOOKUP(K251,$AA:$AB,2,0)</f>
        <v>#N/A</v>
      </c>
      <c r="O251" s="1">
        <f>IF(A251&lt;&gt;"",N251+M251+L251+F251+G251+H251,0)</f>
        <v>0</v>
      </c>
    </row>
    <row r="252" spans="1:15" x14ac:dyDescent="0.25">
      <c r="A252"/>
      <c r="B252"/>
      <c r="C252" s="1" t="str">
        <f>MID(A252,1,2)</f>
        <v/>
      </c>
      <c r="D252" s="1" t="str">
        <f>MID(B252,3,2)</f>
        <v/>
      </c>
      <c r="E252" s="1" t="str">
        <f>CONCATENATE(I252,K252)</f>
        <v/>
      </c>
      <c r="F252" s="1" t="e">
        <f>VLOOKUP(I252,$U$23:$AL$40,MATCH(J252,$U$23:$AL$23,0),FALSE)</f>
        <v>#N/A</v>
      </c>
      <c r="G252" s="1" t="e">
        <f>VLOOKUP(J252,$U$23:$AL$40,MATCH(K252,$U$23:$AL$23,0),FALSE)</f>
        <v>#N/A</v>
      </c>
      <c r="H252" s="1" t="e">
        <f>VLOOKUP(I252,$U$23:$AL$40,MATCH(K252,$U$23:$AL$23,0),FALSE)</f>
        <v>#N/A</v>
      </c>
      <c r="I252" s="1" t="str">
        <f>MID(A252,1,1)</f>
        <v/>
      </c>
      <c r="J252" s="1" t="str">
        <f>MID(A252,2,1)</f>
        <v/>
      </c>
      <c r="K252" s="1" t="str">
        <f>MID(A252,4,1)</f>
        <v/>
      </c>
      <c r="L252" s="1" t="e">
        <f>VLOOKUP(I252,$U:$V,2,0)</f>
        <v>#N/A</v>
      </c>
      <c r="M252" s="1" t="e">
        <f>VLOOKUP(J252,$X:$Y,2,0)</f>
        <v>#N/A</v>
      </c>
      <c r="N252" s="1" t="e">
        <f>VLOOKUP(K252,$AA:$AB,2,0)</f>
        <v>#N/A</v>
      </c>
      <c r="O252" s="1">
        <f>IF(A252&lt;&gt;"",N252+M252+L252+F252+G252+H252,0)</f>
        <v>0</v>
      </c>
    </row>
    <row r="253" spans="1:15" x14ac:dyDescent="0.25">
      <c r="A253"/>
      <c r="B253"/>
      <c r="C253" s="1" t="str">
        <f>MID(A253,1,2)</f>
        <v/>
      </c>
      <c r="D253" s="1" t="str">
        <f>MID(B253,3,2)</f>
        <v/>
      </c>
      <c r="E253" s="1" t="str">
        <f>CONCATENATE(I253,K253)</f>
        <v/>
      </c>
      <c r="F253" s="1" t="e">
        <f>VLOOKUP(I253,$U$23:$AL$40,MATCH(J253,$U$23:$AL$23,0),FALSE)</f>
        <v>#N/A</v>
      </c>
      <c r="G253" s="1" t="e">
        <f>VLOOKUP(J253,$U$23:$AL$40,MATCH(K253,$U$23:$AL$23,0),FALSE)</f>
        <v>#N/A</v>
      </c>
      <c r="H253" s="1" t="e">
        <f>VLOOKUP(I253,$U$23:$AL$40,MATCH(K253,$U$23:$AL$23,0),FALSE)</f>
        <v>#N/A</v>
      </c>
      <c r="I253" s="1" t="str">
        <f>MID(A253,1,1)</f>
        <v/>
      </c>
      <c r="J253" s="1" t="str">
        <f>MID(A253,2,1)</f>
        <v/>
      </c>
      <c r="K253" s="1" t="str">
        <f>MID(A253,4,1)</f>
        <v/>
      </c>
      <c r="L253" s="1" t="e">
        <f>VLOOKUP(I253,$U:$V,2,0)</f>
        <v>#N/A</v>
      </c>
      <c r="M253" s="1" t="e">
        <f>VLOOKUP(J253,$X:$Y,2,0)</f>
        <v>#N/A</v>
      </c>
      <c r="N253" s="1" t="e">
        <f>VLOOKUP(K253,$AA:$AB,2,0)</f>
        <v>#N/A</v>
      </c>
      <c r="O253" s="1">
        <f>IF(A253&lt;&gt;"",N253+M253+L253+F253+G253+H253,0)</f>
        <v>0</v>
      </c>
    </row>
    <row r="254" spans="1:15" x14ac:dyDescent="0.25">
      <c r="A254"/>
      <c r="B254"/>
      <c r="C254" s="1" t="str">
        <f>MID(A254,1,2)</f>
        <v/>
      </c>
      <c r="D254" s="1" t="str">
        <f>MID(B254,3,2)</f>
        <v/>
      </c>
      <c r="E254" s="1" t="str">
        <f>CONCATENATE(I254,K254)</f>
        <v/>
      </c>
      <c r="F254" s="1" t="e">
        <f>VLOOKUP(I254,$U$23:$AL$40,MATCH(J254,$U$23:$AL$23,0),FALSE)</f>
        <v>#N/A</v>
      </c>
      <c r="G254" s="1" t="e">
        <f>VLOOKUP(J254,$U$23:$AL$40,MATCH(K254,$U$23:$AL$23,0),FALSE)</f>
        <v>#N/A</v>
      </c>
      <c r="H254" s="1" t="e">
        <f>VLOOKUP(I254,$U$23:$AL$40,MATCH(K254,$U$23:$AL$23,0),FALSE)</f>
        <v>#N/A</v>
      </c>
      <c r="I254" s="1" t="str">
        <f>MID(A254,1,1)</f>
        <v/>
      </c>
      <c r="J254" s="1" t="str">
        <f>MID(A254,2,1)</f>
        <v/>
      </c>
      <c r="K254" s="1" t="str">
        <f>MID(A254,4,1)</f>
        <v/>
      </c>
      <c r="L254" s="1" t="e">
        <f>VLOOKUP(I254,$U:$V,2,0)</f>
        <v>#N/A</v>
      </c>
      <c r="M254" s="1" t="e">
        <f>VLOOKUP(J254,$X:$Y,2,0)</f>
        <v>#N/A</v>
      </c>
      <c r="N254" s="1" t="e">
        <f>VLOOKUP(K254,$AA:$AB,2,0)</f>
        <v>#N/A</v>
      </c>
      <c r="O254" s="1">
        <f>IF(A254&lt;&gt;"",N254+M254+L254+F254+G254+H254,0)</f>
        <v>0</v>
      </c>
    </row>
    <row r="255" spans="1:15" x14ac:dyDescent="0.25">
      <c r="A255"/>
      <c r="B255"/>
      <c r="C255" s="1" t="str">
        <f>MID(A255,1,2)</f>
        <v/>
      </c>
      <c r="D255" s="1" t="str">
        <f>MID(B255,3,2)</f>
        <v/>
      </c>
      <c r="E255" s="1" t="str">
        <f>CONCATENATE(I255,K255)</f>
        <v/>
      </c>
      <c r="F255" s="1" t="e">
        <f>VLOOKUP(I255,$U$23:$AL$40,MATCH(J255,$U$23:$AL$23,0),FALSE)</f>
        <v>#N/A</v>
      </c>
      <c r="G255" s="1" t="e">
        <f>VLOOKUP(J255,$U$23:$AL$40,MATCH(K255,$U$23:$AL$23,0),FALSE)</f>
        <v>#N/A</v>
      </c>
      <c r="H255" s="1" t="e">
        <f>VLOOKUP(I255,$U$23:$AL$40,MATCH(K255,$U$23:$AL$23,0),FALSE)</f>
        <v>#N/A</v>
      </c>
      <c r="I255" s="1" t="str">
        <f>MID(A255,1,1)</f>
        <v/>
      </c>
      <c r="J255" s="1" t="str">
        <f>MID(A255,2,1)</f>
        <v/>
      </c>
      <c r="K255" s="1" t="str">
        <f>MID(A255,4,1)</f>
        <v/>
      </c>
      <c r="L255" s="1" t="e">
        <f>VLOOKUP(I255,$U:$V,2,0)</f>
        <v>#N/A</v>
      </c>
      <c r="M255" s="1" t="e">
        <f>VLOOKUP(J255,$X:$Y,2,0)</f>
        <v>#N/A</v>
      </c>
      <c r="N255" s="1" t="e">
        <f>VLOOKUP(K255,$AA:$AB,2,0)</f>
        <v>#N/A</v>
      </c>
      <c r="O255" s="1">
        <f>IF(A255&lt;&gt;"",N255+M255+L255+F255+G255+H255,0)</f>
        <v>0</v>
      </c>
    </row>
    <row r="256" spans="1:15" x14ac:dyDescent="0.25">
      <c r="A256"/>
      <c r="B256"/>
      <c r="C256" s="1" t="str">
        <f>MID(A256,1,2)</f>
        <v/>
      </c>
      <c r="D256" s="1" t="str">
        <f>MID(B256,3,2)</f>
        <v/>
      </c>
      <c r="E256" s="1" t="str">
        <f>CONCATENATE(I256,K256)</f>
        <v/>
      </c>
      <c r="F256" s="1" t="e">
        <f>VLOOKUP(I256,$U$23:$AL$40,MATCH(J256,$U$23:$AL$23,0),FALSE)</f>
        <v>#N/A</v>
      </c>
      <c r="G256" s="1" t="e">
        <f>VLOOKUP(J256,$U$23:$AL$40,MATCH(K256,$U$23:$AL$23,0),FALSE)</f>
        <v>#N/A</v>
      </c>
      <c r="H256" s="1" t="e">
        <f>VLOOKUP(I256,$U$23:$AL$40,MATCH(K256,$U$23:$AL$23,0),FALSE)</f>
        <v>#N/A</v>
      </c>
      <c r="I256" s="1" t="str">
        <f>MID(A256,1,1)</f>
        <v/>
      </c>
      <c r="J256" s="1" t="str">
        <f>MID(A256,2,1)</f>
        <v/>
      </c>
      <c r="K256" s="1" t="str">
        <f>MID(A256,4,1)</f>
        <v/>
      </c>
      <c r="L256" s="1" t="e">
        <f>VLOOKUP(I256,$U:$V,2,0)</f>
        <v>#N/A</v>
      </c>
      <c r="M256" s="1" t="e">
        <f>VLOOKUP(J256,$X:$Y,2,0)</f>
        <v>#N/A</v>
      </c>
      <c r="N256" s="1" t="e">
        <f>VLOOKUP(K256,$AA:$AB,2,0)</f>
        <v>#N/A</v>
      </c>
      <c r="O256" s="1">
        <f>IF(A256&lt;&gt;"",N256+M256+L256+F256+G256+H256,0)</f>
        <v>0</v>
      </c>
    </row>
    <row r="257" spans="1:15" x14ac:dyDescent="0.25">
      <c r="A257"/>
      <c r="B257"/>
      <c r="C257" s="1" t="str">
        <f>MID(A257,1,2)</f>
        <v/>
      </c>
      <c r="D257" s="1" t="str">
        <f>MID(B257,3,2)</f>
        <v/>
      </c>
      <c r="E257" s="1" t="str">
        <f>CONCATENATE(I257,K257)</f>
        <v/>
      </c>
      <c r="F257" s="1" t="e">
        <f>VLOOKUP(I257,$U$23:$AL$40,MATCH(J257,$U$23:$AL$23,0),FALSE)</f>
        <v>#N/A</v>
      </c>
      <c r="G257" s="1" t="e">
        <f>VLOOKUP(J257,$U$23:$AL$40,MATCH(K257,$U$23:$AL$23,0),FALSE)</f>
        <v>#N/A</v>
      </c>
      <c r="H257" s="1" t="e">
        <f>VLOOKUP(I257,$U$23:$AL$40,MATCH(K257,$U$23:$AL$23,0),FALSE)</f>
        <v>#N/A</v>
      </c>
      <c r="I257" s="1" t="str">
        <f>MID(A257,1,1)</f>
        <v/>
      </c>
      <c r="J257" s="1" t="str">
        <f>MID(A257,2,1)</f>
        <v/>
      </c>
      <c r="K257" s="1" t="str">
        <f>MID(A257,4,1)</f>
        <v/>
      </c>
      <c r="L257" s="1" t="e">
        <f>VLOOKUP(I257,$U:$V,2,0)</f>
        <v>#N/A</v>
      </c>
      <c r="M257" s="1" t="e">
        <f>VLOOKUP(J257,$X:$Y,2,0)</f>
        <v>#N/A</v>
      </c>
      <c r="N257" s="1" t="e">
        <f>VLOOKUP(K257,$AA:$AB,2,0)</f>
        <v>#N/A</v>
      </c>
      <c r="O257" s="1">
        <f>IF(A257&lt;&gt;"",N257+M257+L257+F257+G257+H257,0)</f>
        <v>0</v>
      </c>
    </row>
    <row r="258" spans="1:15" x14ac:dyDescent="0.25">
      <c r="A258"/>
      <c r="B258"/>
      <c r="C258" s="1" t="str">
        <f>MID(A258,1,2)</f>
        <v/>
      </c>
      <c r="D258" s="1" t="str">
        <f>MID(B258,3,2)</f>
        <v/>
      </c>
      <c r="E258" s="1" t="str">
        <f>CONCATENATE(I258,K258)</f>
        <v/>
      </c>
      <c r="F258" s="1" t="e">
        <f>VLOOKUP(I258,$U$23:$AL$40,MATCH(J258,$U$23:$AL$23,0),FALSE)</f>
        <v>#N/A</v>
      </c>
      <c r="G258" s="1" t="e">
        <f>VLOOKUP(J258,$U$23:$AL$40,MATCH(K258,$U$23:$AL$23,0),FALSE)</f>
        <v>#N/A</v>
      </c>
      <c r="H258" s="1" t="e">
        <f>VLOOKUP(I258,$U$23:$AL$40,MATCH(K258,$U$23:$AL$23,0),FALSE)</f>
        <v>#N/A</v>
      </c>
      <c r="I258" s="1" t="str">
        <f>MID(A258,1,1)</f>
        <v/>
      </c>
      <c r="J258" s="1" t="str">
        <f>MID(A258,2,1)</f>
        <v/>
      </c>
      <c r="K258" s="1" t="str">
        <f>MID(A258,4,1)</f>
        <v/>
      </c>
      <c r="L258" s="1" t="e">
        <f>VLOOKUP(I258,$U:$V,2,0)</f>
        <v>#N/A</v>
      </c>
      <c r="M258" s="1" t="e">
        <f>VLOOKUP(J258,$X:$Y,2,0)</f>
        <v>#N/A</v>
      </c>
      <c r="N258" s="1" t="e">
        <f>VLOOKUP(K258,$AA:$AB,2,0)</f>
        <v>#N/A</v>
      </c>
      <c r="O258" s="1">
        <f>IF(A258&lt;&gt;"",N258+M258+L258+F258+G258+H258,0)</f>
        <v>0</v>
      </c>
    </row>
    <row r="259" spans="1:15" x14ac:dyDescent="0.25">
      <c r="A259"/>
      <c r="B259"/>
      <c r="C259" s="1" t="str">
        <f>MID(A259,1,2)</f>
        <v/>
      </c>
      <c r="D259" s="1" t="str">
        <f>MID(B259,3,2)</f>
        <v/>
      </c>
      <c r="E259" s="1" t="str">
        <f>CONCATENATE(I259,K259)</f>
        <v/>
      </c>
      <c r="F259" s="1" t="e">
        <f>VLOOKUP(I259,$U$23:$AL$40,MATCH(J259,$U$23:$AL$23,0),FALSE)</f>
        <v>#N/A</v>
      </c>
      <c r="G259" s="1" t="e">
        <f>VLOOKUP(J259,$U$23:$AL$40,MATCH(K259,$U$23:$AL$23,0),FALSE)</f>
        <v>#N/A</v>
      </c>
      <c r="H259" s="1" t="e">
        <f>VLOOKUP(I259,$U$23:$AL$40,MATCH(K259,$U$23:$AL$23,0),FALSE)</f>
        <v>#N/A</v>
      </c>
      <c r="I259" s="1" t="str">
        <f>MID(A259,1,1)</f>
        <v/>
      </c>
      <c r="J259" s="1" t="str">
        <f>MID(A259,2,1)</f>
        <v/>
      </c>
      <c r="K259" s="1" t="str">
        <f>MID(A259,4,1)</f>
        <v/>
      </c>
      <c r="L259" s="1" t="e">
        <f>VLOOKUP(I259,$U:$V,2,0)</f>
        <v>#N/A</v>
      </c>
      <c r="M259" s="1" t="e">
        <f>VLOOKUP(J259,$X:$Y,2,0)</f>
        <v>#N/A</v>
      </c>
      <c r="N259" s="1" t="e">
        <f>VLOOKUP(K259,$AA:$AB,2,0)</f>
        <v>#N/A</v>
      </c>
      <c r="O259" s="1">
        <f>IF(A259&lt;&gt;"",N259+M259+L259+F259+G259+H259,0)</f>
        <v>0</v>
      </c>
    </row>
    <row r="260" spans="1:15" x14ac:dyDescent="0.25">
      <c r="A260"/>
      <c r="B260"/>
      <c r="C260" s="1" t="str">
        <f>MID(A260,1,2)</f>
        <v/>
      </c>
      <c r="D260" s="1" t="str">
        <f>MID(B260,3,2)</f>
        <v/>
      </c>
      <c r="E260" s="1" t="str">
        <f>CONCATENATE(I260,K260)</f>
        <v/>
      </c>
      <c r="F260" s="1" t="e">
        <f>VLOOKUP(I260,$U$23:$AL$40,MATCH(J260,$U$23:$AL$23,0),FALSE)</f>
        <v>#N/A</v>
      </c>
      <c r="G260" s="1" t="e">
        <f>VLOOKUP(J260,$U$23:$AL$40,MATCH(K260,$U$23:$AL$23,0),FALSE)</f>
        <v>#N/A</v>
      </c>
      <c r="H260" s="1" t="e">
        <f>VLOOKUP(I260,$U$23:$AL$40,MATCH(K260,$U$23:$AL$23,0),FALSE)</f>
        <v>#N/A</v>
      </c>
      <c r="I260" s="1" t="str">
        <f>MID(A260,1,1)</f>
        <v/>
      </c>
      <c r="J260" s="1" t="str">
        <f>MID(A260,2,1)</f>
        <v/>
      </c>
      <c r="K260" s="1" t="str">
        <f>MID(A260,4,1)</f>
        <v/>
      </c>
      <c r="L260" s="1" t="e">
        <f>VLOOKUP(I260,$U:$V,2,0)</f>
        <v>#N/A</v>
      </c>
      <c r="M260" s="1" t="e">
        <f>VLOOKUP(J260,$X:$Y,2,0)</f>
        <v>#N/A</v>
      </c>
      <c r="N260" s="1" t="e">
        <f>VLOOKUP(K260,$AA:$AB,2,0)</f>
        <v>#N/A</v>
      </c>
      <c r="O260" s="1">
        <f>IF(A260&lt;&gt;"",N260+M260+L260+F260+G260+H260,0)</f>
        <v>0</v>
      </c>
    </row>
    <row r="261" spans="1:15" x14ac:dyDescent="0.25">
      <c r="A261"/>
      <c r="B261"/>
      <c r="C261" s="1" t="str">
        <f>MID(A261,1,2)</f>
        <v/>
      </c>
      <c r="D261" s="1" t="str">
        <f>MID(B261,3,2)</f>
        <v/>
      </c>
      <c r="E261" s="1" t="str">
        <f>CONCATENATE(I261,K261)</f>
        <v/>
      </c>
      <c r="F261" s="1" t="e">
        <f>VLOOKUP(I261,$U$23:$AL$40,MATCH(J261,$U$23:$AL$23,0),FALSE)</f>
        <v>#N/A</v>
      </c>
      <c r="G261" s="1" t="e">
        <f>VLOOKUP(J261,$U$23:$AL$40,MATCH(K261,$U$23:$AL$23,0),FALSE)</f>
        <v>#N/A</v>
      </c>
      <c r="H261" s="1" t="e">
        <f>VLOOKUP(I261,$U$23:$AL$40,MATCH(K261,$U$23:$AL$23,0),FALSE)</f>
        <v>#N/A</v>
      </c>
      <c r="I261" s="1" t="str">
        <f>MID(A261,1,1)</f>
        <v/>
      </c>
      <c r="J261" s="1" t="str">
        <f>MID(A261,2,1)</f>
        <v/>
      </c>
      <c r="K261" s="1" t="str">
        <f>MID(A261,4,1)</f>
        <v/>
      </c>
      <c r="L261" s="1" t="e">
        <f>VLOOKUP(I261,$U:$V,2,0)</f>
        <v>#N/A</v>
      </c>
      <c r="M261" s="1" t="e">
        <f>VLOOKUP(J261,$X:$Y,2,0)</f>
        <v>#N/A</v>
      </c>
      <c r="N261" s="1" t="e">
        <f>VLOOKUP(K261,$AA:$AB,2,0)</f>
        <v>#N/A</v>
      </c>
      <c r="O261" s="1">
        <f>IF(A261&lt;&gt;"",N261+M261+L261+F261+G261+H261,0)</f>
        <v>0</v>
      </c>
    </row>
    <row r="262" spans="1:15" x14ac:dyDescent="0.25">
      <c r="A262"/>
      <c r="B262"/>
      <c r="C262" s="1" t="str">
        <f>MID(A262,1,2)</f>
        <v/>
      </c>
      <c r="D262" s="1" t="str">
        <f>MID(B262,3,2)</f>
        <v/>
      </c>
      <c r="E262" s="1" t="str">
        <f>CONCATENATE(I262,K262)</f>
        <v/>
      </c>
      <c r="F262" s="1" t="e">
        <f>VLOOKUP(I262,$U$23:$AL$40,MATCH(J262,$U$23:$AL$23,0),FALSE)</f>
        <v>#N/A</v>
      </c>
      <c r="G262" s="1" t="e">
        <f>VLOOKUP(J262,$U$23:$AL$40,MATCH(K262,$U$23:$AL$23,0),FALSE)</f>
        <v>#N/A</v>
      </c>
      <c r="H262" s="1" t="e">
        <f>VLOOKUP(I262,$U$23:$AL$40,MATCH(K262,$U$23:$AL$23,0),FALSE)</f>
        <v>#N/A</v>
      </c>
      <c r="I262" s="1" t="str">
        <f>MID(A262,1,1)</f>
        <v/>
      </c>
      <c r="J262" s="1" t="str">
        <f>MID(A262,2,1)</f>
        <v/>
      </c>
      <c r="K262" s="1" t="str">
        <f>MID(A262,4,1)</f>
        <v/>
      </c>
      <c r="L262" s="1" t="e">
        <f>VLOOKUP(I262,$U:$V,2,0)</f>
        <v>#N/A</v>
      </c>
      <c r="M262" s="1" t="e">
        <f>VLOOKUP(J262,$X:$Y,2,0)</f>
        <v>#N/A</v>
      </c>
      <c r="N262" s="1" t="e">
        <f>VLOOKUP(K262,$AA:$AB,2,0)</f>
        <v>#N/A</v>
      </c>
      <c r="O262" s="1">
        <f>IF(A262&lt;&gt;"",N262+M262+L262+F262+G262+H262,0)</f>
        <v>0</v>
      </c>
    </row>
    <row r="263" spans="1:15" x14ac:dyDescent="0.25">
      <c r="A263"/>
      <c r="B263"/>
      <c r="C263" s="1" t="str">
        <f>MID(A263,1,2)</f>
        <v/>
      </c>
      <c r="D263" s="1" t="str">
        <f>MID(B263,3,2)</f>
        <v/>
      </c>
      <c r="E263" s="1" t="str">
        <f>CONCATENATE(I263,K263)</f>
        <v/>
      </c>
      <c r="F263" s="1" t="e">
        <f>VLOOKUP(I263,$U$23:$AL$40,MATCH(J263,$U$23:$AL$23,0),FALSE)</f>
        <v>#N/A</v>
      </c>
      <c r="G263" s="1" t="e">
        <f>VLOOKUP(J263,$U$23:$AL$40,MATCH(K263,$U$23:$AL$23,0),FALSE)</f>
        <v>#N/A</v>
      </c>
      <c r="H263" s="1" t="e">
        <f>VLOOKUP(I263,$U$23:$AL$40,MATCH(K263,$U$23:$AL$23,0),FALSE)</f>
        <v>#N/A</v>
      </c>
      <c r="I263" s="1" t="str">
        <f>MID(A263,1,1)</f>
        <v/>
      </c>
      <c r="J263" s="1" t="str">
        <f>MID(A263,2,1)</f>
        <v/>
      </c>
      <c r="K263" s="1" t="str">
        <f>MID(A263,4,1)</f>
        <v/>
      </c>
      <c r="L263" s="1" t="e">
        <f>VLOOKUP(I263,$U:$V,2,0)</f>
        <v>#N/A</v>
      </c>
      <c r="M263" s="1" t="e">
        <f>VLOOKUP(J263,$X:$Y,2,0)</f>
        <v>#N/A</v>
      </c>
      <c r="N263" s="1" t="e">
        <f>VLOOKUP(K263,$AA:$AB,2,0)</f>
        <v>#N/A</v>
      </c>
      <c r="O263" s="1">
        <f>IF(A263&lt;&gt;"",N263+M263+L263+F263+G263+H263,0)</f>
        <v>0</v>
      </c>
    </row>
    <row r="264" spans="1:15" x14ac:dyDescent="0.25">
      <c r="A264"/>
      <c r="B264"/>
      <c r="C264" s="1" t="str">
        <f>MID(A264,1,2)</f>
        <v/>
      </c>
      <c r="D264" s="1" t="str">
        <f>MID(B264,3,2)</f>
        <v/>
      </c>
      <c r="E264" s="1" t="str">
        <f>CONCATENATE(I264,K264)</f>
        <v/>
      </c>
      <c r="F264" s="1" t="e">
        <f>VLOOKUP(I264,$U$23:$AL$40,MATCH(J264,$U$23:$AL$23,0),FALSE)</f>
        <v>#N/A</v>
      </c>
      <c r="G264" s="1" t="e">
        <f>VLOOKUP(J264,$U$23:$AL$40,MATCH(K264,$U$23:$AL$23,0),FALSE)</f>
        <v>#N/A</v>
      </c>
      <c r="H264" s="1" t="e">
        <f>VLOOKUP(I264,$U$23:$AL$40,MATCH(K264,$U$23:$AL$23,0),FALSE)</f>
        <v>#N/A</v>
      </c>
      <c r="I264" s="1" t="str">
        <f>MID(A264,1,1)</f>
        <v/>
      </c>
      <c r="J264" s="1" t="str">
        <f>MID(A264,2,1)</f>
        <v/>
      </c>
      <c r="K264" s="1" t="str">
        <f>MID(A264,4,1)</f>
        <v/>
      </c>
      <c r="L264" s="1" t="e">
        <f>VLOOKUP(I264,$U:$V,2,0)</f>
        <v>#N/A</v>
      </c>
      <c r="M264" s="1" t="e">
        <f>VLOOKUP(J264,$X:$Y,2,0)</f>
        <v>#N/A</v>
      </c>
      <c r="N264" s="1" t="e">
        <f>VLOOKUP(K264,$AA:$AB,2,0)</f>
        <v>#N/A</v>
      </c>
      <c r="O264" s="1">
        <f>IF(A264&lt;&gt;"",N264+M264+L264+F264+G264+H264,0)</f>
        <v>0</v>
      </c>
    </row>
    <row r="265" spans="1:15" x14ac:dyDescent="0.25">
      <c r="A265"/>
      <c r="B265"/>
      <c r="C265" s="1" t="str">
        <f>MID(A265,1,2)</f>
        <v/>
      </c>
      <c r="D265" s="1" t="str">
        <f>MID(B265,3,2)</f>
        <v/>
      </c>
      <c r="E265" s="1" t="str">
        <f>CONCATENATE(I265,K265)</f>
        <v/>
      </c>
      <c r="F265" s="1" t="e">
        <f>VLOOKUP(I265,$U$23:$AL$40,MATCH(J265,$U$23:$AL$23,0),FALSE)</f>
        <v>#N/A</v>
      </c>
      <c r="G265" s="1" t="e">
        <f>VLOOKUP(J265,$U$23:$AL$40,MATCH(K265,$U$23:$AL$23,0),FALSE)</f>
        <v>#N/A</v>
      </c>
      <c r="H265" s="1" t="e">
        <f>VLOOKUP(I265,$U$23:$AL$40,MATCH(K265,$U$23:$AL$23,0),FALSE)</f>
        <v>#N/A</v>
      </c>
      <c r="I265" s="1" t="str">
        <f>MID(A265,1,1)</f>
        <v/>
      </c>
      <c r="J265" s="1" t="str">
        <f>MID(A265,2,1)</f>
        <v/>
      </c>
      <c r="K265" s="1" t="str">
        <f>MID(A265,4,1)</f>
        <v/>
      </c>
      <c r="L265" s="1" t="e">
        <f>VLOOKUP(I265,$U:$V,2,0)</f>
        <v>#N/A</v>
      </c>
      <c r="M265" s="1" t="e">
        <f>VLOOKUP(J265,$X:$Y,2,0)</f>
        <v>#N/A</v>
      </c>
      <c r="N265" s="1" t="e">
        <f>VLOOKUP(K265,$AA:$AB,2,0)</f>
        <v>#N/A</v>
      </c>
      <c r="O265" s="1">
        <f>IF(A265&lt;&gt;"",N265+M265+L265+F265+G265+H265,0)</f>
        <v>0</v>
      </c>
    </row>
    <row r="266" spans="1:15" x14ac:dyDescent="0.25">
      <c r="A266"/>
      <c r="B266"/>
      <c r="C266" s="1" t="str">
        <f>MID(A266,1,2)</f>
        <v/>
      </c>
      <c r="D266" s="1" t="str">
        <f>MID(B266,3,2)</f>
        <v/>
      </c>
      <c r="E266" s="1" t="str">
        <f>CONCATENATE(I266,K266)</f>
        <v/>
      </c>
      <c r="F266" s="1" t="e">
        <f>VLOOKUP(I266,$U$23:$AL$40,MATCH(J266,$U$23:$AL$23,0),FALSE)</f>
        <v>#N/A</v>
      </c>
      <c r="G266" s="1" t="e">
        <f>VLOOKUP(J266,$U$23:$AL$40,MATCH(K266,$U$23:$AL$23,0),FALSE)</f>
        <v>#N/A</v>
      </c>
      <c r="H266" s="1" t="e">
        <f>VLOOKUP(I266,$U$23:$AL$40,MATCH(K266,$U$23:$AL$23,0),FALSE)</f>
        <v>#N/A</v>
      </c>
      <c r="I266" s="1" t="str">
        <f>MID(A266,1,1)</f>
        <v/>
      </c>
      <c r="J266" s="1" t="str">
        <f>MID(A266,2,1)</f>
        <v/>
      </c>
      <c r="K266" s="1" t="str">
        <f>MID(A266,4,1)</f>
        <v/>
      </c>
      <c r="L266" s="1" t="e">
        <f>VLOOKUP(I266,$U:$V,2,0)</f>
        <v>#N/A</v>
      </c>
      <c r="M266" s="1" t="e">
        <f>VLOOKUP(J266,$X:$Y,2,0)</f>
        <v>#N/A</v>
      </c>
      <c r="N266" s="1" t="e">
        <f>VLOOKUP(K266,$AA:$AB,2,0)</f>
        <v>#N/A</v>
      </c>
      <c r="O266" s="1">
        <f>IF(A266&lt;&gt;"",N266+M266+L266+F266+G266+H266,0)</f>
        <v>0</v>
      </c>
    </row>
    <row r="267" spans="1:15" x14ac:dyDescent="0.25">
      <c r="A267"/>
      <c r="B267"/>
      <c r="C267" s="1" t="str">
        <f>MID(A267,1,2)</f>
        <v/>
      </c>
      <c r="D267" s="1" t="str">
        <f>MID(B267,3,2)</f>
        <v/>
      </c>
      <c r="E267" s="1" t="str">
        <f>CONCATENATE(I267,K267)</f>
        <v/>
      </c>
      <c r="F267" s="1" t="e">
        <f>VLOOKUP(I267,$U$23:$AL$40,MATCH(J267,$U$23:$AL$23,0),FALSE)</f>
        <v>#N/A</v>
      </c>
      <c r="G267" s="1" t="e">
        <f>VLOOKUP(J267,$U$23:$AL$40,MATCH(K267,$U$23:$AL$23,0),FALSE)</f>
        <v>#N/A</v>
      </c>
      <c r="H267" s="1" t="e">
        <f>VLOOKUP(I267,$U$23:$AL$40,MATCH(K267,$U$23:$AL$23,0),FALSE)</f>
        <v>#N/A</v>
      </c>
      <c r="I267" s="1" t="str">
        <f>MID(A267,1,1)</f>
        <v/>
      </c>
      <c r="J267" s="1" t="str">
        <f>MID(A267,2,1)</f>
        <v/>
      </c>
      <c r="K267" s="1" t="str">
        <f>MID(A267,4,1)</f>
        <v/>
      </c>
      <c r="L267" s="1" t="e">
        <f>VLOOKUP(I267,$U:$V,2,0)</f>
        <v>#N/A</v>
      </c>
      <c r="M267" s="1" t="e">
        <f>VLOOKUP(J267,$X:$Y,2,0)</f>
        <v>#N/A</v>
      </c>
      <c r="N267" s="1" t="e">
        <f>VLOOKUP(K267,$AA:$AB,2,0)</f>
        <v>#N/A</v>
      </c>
      <c r="O267" s="1">
        <f>IF(A267&lt;&gt;"",N267+M267+L267+F267+G267+H267,0)</f>
        <v>0</v>
      </c>
    </row>
    <row r="268" spans="1:15" x14ac:dyDescent="0.25">
      <c r="A268"/>
      <c r="B268"/>
      <c r="C268" s="1" t="str">
        <f>MID(A268,1,2)</f>
        <v/>
      </c>
      <c r="D268" s="1" t="str">
        <f>MID(B268,3,2)</f>
        <v/>
      </c>
      <c r="E268" s="1" t="str">
        <f>CONCATENATE(I268,K268)</f>
        <v/>
      </c>
      <c r="F268" s="1" t="e">
        <f>VLOOKUP(I268,$U$23:$AL$40,MATCH(J268,$U$23:$AL$23,0),FALSE)</f>
        <v>#N/A</v>
      </c>
      <c r="G268" s="1" t="e">
        <f>VLOOKUP(J268,$U$23:$AL$40,MATCH(K268,$U$23:$AL$23,0),FALSE)</f>
        <v>#N/A</v>
      </c>
      <c r="H268" s="1" t="e">
        <f>VLOOKUP(I268,$U$23:$AL$40,MATCH(K268,$U$23:$AL$23,0),FALSE)</f>
        <v>#N/A</v>
      </c>
      <c r="I268" s="1" t="str">
        <f>MID(A268,1,1)</f>
        <v/>
      </c>
      <c r="J268" s="1" t="str">
        <f>MID(A268,2,1)</f>
        <v/>
      </c>
      <c r="K268" s="1" t="str">
        <f>MID(A268,4,1)</f>
        <v/>
      </c>
      <c r="L268" s="1" t="e">
        <f>VLOOKUP(I268,$U:$V,2,0)</f>
        <v>#N/A</v>
      </c>
      <c r="M268" s="1" t="e">
        <f>VLOOKUP(J268,$X:$Y,2,0)</f>
        <v>#N/A</v>
      </c>
      <c r="N268" s="1" t="e">
        <f>VLOOKUP(K268,$AA:$AB,2,0)</f>
        <v>#N/A</v>
      </c>
      <c r="O268" s="1">
        <f>IF(A268&lt;&gt;"",N268+M268+L268+F268+G268+H268,0)</f>
        <v>0</v>
      </c>
    </row>
    <row r="269" spans="1:15" x14ac:dyDescent="0.25">
      <c r="A269"/>
      <c r="B269"/>
      <c r="C269" s="1" t="str">
        <f>MID(A269,1,2)</f>
        <v/>
      </c>
      <c r="D269" s="1" t="str">
        <f>MID(B269,3,2)</f>
        <v/>
      </c>
      <c r="E269" s="1" t="str">
        <f>CONCATENATE(I269,K269)</f>
        <v/>
      </c>
      <c r="F269" s="1" t="e">
        <f>VLOOKUP(I269,$U$23:$AL$40,MATCH(J269,$U$23:$AL$23,0),FALSE)</f>
        <v>#N/A</v>
      </c>
      <c r="G269" s="1" t="e">
        <f>VLOOKUP(J269,$U$23:$AL$40,MATCH(K269,$U$23:$AL$23,0),FALSE)</f>
        <v>#N/A</v>
      </c>
      <c r="H269" s="1" t="e">
        <f>VLOOKUP(I269,$U$23:$AL$40,MATCH(K269,$U$23:$AL$23,0),FALSE)</f>
        <v>#N/A</v>
      </c>
      <c r="I269" s="1" t="str">
        <f>MID(A269,1,1)</f>
        <v/>
      </c>
      <c r="J269" s="1" t="str">
        <f>MID(A269,2,1)</f>
        <v/>
      </c>
      <c r="K269" s="1" t="str">
        <f>MID(A269,4,1)</f>
        <v/>
      </c>
      <c r="L269" s="1" t="e">
        <f>VLOOKUP(I269,$U:$V,2,0)</f>
        <v>#N/A</v>
      </c>
      <c r="M269" s="1" t="e">
        <f>VLOOKUP(J269,$X:$Y,2,0)</f>
        <v>#N/A</v>
      </c>
      <c r="N269" s="1" t="e">
        <f>VLOOKUP(K269,$AA:$AB,2,0)</f>
        <v>#N/A</v>
      </c>
      <c r="O269" s="1">
        <f>IF(A269&lt;&gt;"",N269+M269+L269+F269+G269+H269,0)</f>
        <v>0</v>
      </c>
    </row>
    <row r="270" spans="1:15" x14ac:dyDescent="0.25">
      <c r="A270"/>
      <c r="B270"/>
      <c r="C270" s="1" t="str">
        <f>MID(A270,1,2)</f>
        <v/>
      </c>
      <c r="D270" s="1" t="str">
        <f>MID(B270,3,2)</f>
        <v/>
      </c>
      <c r="E270" s="1" t="str">
        <f>CONCATENATE(I270,K270)</f>
        <v/>
      </c>
      <c r="F270" s="1" t="e">
        <f>VLOOKUP(I270,$U$23:$AL$40,MATCH(J270,$U$23:$AL$23,0),FALSE)</f>
        <v>#N/A</v>
      </c>
      <c r="G270" s="1" t="e">
        <f>VLOOKUP(J270,$U$23:$AL$40,MATCH(K270,$U$23:$AL$23,0),FALSE)</f>
        <v>#N/A</v>
      </c>
      <c r="H270" s="1" t="e">
        <f>VLOOKUP(I270,$U$23:$AL$40,MATCH(K270,$U$23:$AL$23,0),FALSE)</f>
        <v>#N/A</v>
      </c>
      <c r="I270" s="1" t="str">
        <f>MID(A270,1,1)</f>
        <v/>
      </c>
      <c r="J270" s="1" t="str">
        <f>MID(A270,2,1)</f>
        <v/>
      </c>
      <c r="K270" s="1" t="str">
        <f>MID(A270,4,1)</f>
        <v/>
      </c>
      <c r="L270" s="1" t="e">
        <f>VLOOKUP(I270,$U:$V,2,0)</f>
        <v>#N/A</v>
      </c>
      <c r="M270" s="1" t="e">
        <f>VLOOKUP(J270,$X:$Y,2,0)</f>
        <v>#N/A</v>
      </c>
      <c r="N270" s="1" t="e">
        <f>VLOOKUP(K270,$AA:$AB,2,0)</f>
        <v>#N/A</v>
      </c>
      <c r="O270" s="1">
        <f>IF(A270&lt;&gt;"",N270+M270+L270+F270+G270+H270,0)</f>
        <v>0</v>
      </c>
    </row>
    <row r="271" spans="1:15" x14ac:dyDescent="0.25">
      <c r="A271"/>
      <c r="B271"/>
      <c r="C271" s="1" t="str">
        <f>MID(A271,1,2)</f>
        <v/>
      </c>
      <c r="D271" s="1" t="str">
        <f>MID(B271,3,2)</f>
        <v/>
      </c>
      <c r="E271" s="1" t="str">
        <f>CONCATENATE(I271,K271)</f>
        <v/>
      </c>
      <c r="F271" s="1" t="e">
        <f>VLOOKUP(I271,$U$23:$AL$40,MATCH(J271,$U$23:$AL$23,0),FALSE)</f>
        <v>#N/A</v>
      </c>
      <c r="G271" s="1" t="e">
        <f>VLOOKUP(J271,$U$23:$AL$40,MATCH(K271,$U$23:$AL$23,0),FALSE)</f>
        <v>#N/A</v>
      </c>
      <c r="H271" s="1" t="e">
        <f>VLOOKUP(I271,$U$23:$AL$40,MATCH(K271,$U$23:$AL$23,0),FALSE)</f>
        <v>#N/A</v>
      </c>
      <c r="I271" s="1" t="str">
        <f>MID(A271,1,1)</f>
        <v/>
      </c>
      <c r="J271" s="1" t="str">
        <f>MID(A271,2,1)</f>
        <v/>
      </c>
      <c r="K271" s="1" t="str">
        <f>MID(A271,4,1)</f>
        <v/>
      </c>
      <c r="L271" s="1" t="e">
        <f>VLOOKUP(I271,$U:$V,2,0)</f>
        <v>#N/A</v>
      </c>
      <c r="M271" s="1" t="e">
        <f>VLOOKUP(J271,$X:$Y,2,0)</f>
        <v>#N/A</v>
      </c>
      <c r="N271" s="1" t="e">
        <f>VLOOKUP(K271,$AA:$AB,2,0)</f>
        <v>#N/A</v>
      </c>
      <c r="O271" s="1">
        <f>IF(A271&lt;&gt;"",N271+M271+L271+F271+G271+H271,0)</f>
        <v>0</v>
      </c>
    </row>
    <row r="272" spans="1:15" x14ac:dyDescent="0.25">
      <c r="A272"/>
      <c r="B272"/>
      <c r="C272" s="1" t="str">
        <f>MID(A272,1,2)</f>
        <v/>
      </c>
      <c r="D272" s="1" t="str">
        <f>MID(B272,3,2)</f>
        <v/>
      </c>
      <c r="E272" s="1" t="str">
        <f>CONCATENATE(I272,K272)</f>
        <v/>
      </c>
      <c r="F272" s="1" t="e">
        <f>VLOOKUP(I272,$U$23:$AL$40,MATCH(J272,$U$23:$AL$23,0),FALSE)</f>
        <v>#N/A</v>
      </c>
      <c r="G272" s="1" t="e">
        <f>VLOOKUP(J272,$U$23:$AL$40,MATCH(K272,$U$23:$AL$23,0),FALSE)</f>
        <v>#N/A</v>
      </c>
      <c r="H272" s="1" t="e">
        <f>VLOOKUP(I272,$U$23:$AL$40,MATCH(K272,$U$23:$AL$23,0),FALSE)</f>
        <v>#N/A</v>
      </c>
      <c r="I272" s="1" t="str">
        <f>MID(A272,1,1)</f>
        <v/>
      </c>
      <c r="J272" s="1" t="str">
        <f>MID(A272,2,1)</f>
        <v/>
      </c>
      <c r="K272" s="1" t="str">
        <f>MID(A272,4,1)</f>
        <v/>
      </c>
      <c r="L272" s="1" t="e">
        <f>VLOOKUP(I272,$U:$V,2,0)</f>
        <v>#N/A</v>
      </c>
      <c r="M272" s="1" t="e">
        <f>VLOOKUP(J272,$X:$Y,2,0)</f>
        <v>#N/A</v>
      </c>
      <c r="N272" s="1" t="e">
        <f>VLOOKUP(K272,$AA:$AB,2,0)</f>
        <v>#N/A</v>
      </c>
      <c r="O272" s="1">
        <f>IF(A272&lt;&gt;"",N272+M272+L272+F272+G272+H272,0)</f>
        <v>0</v>
      </c>
    </row>
    <row r="273" spans="1:15" x14ac:dyDescent="0.25">
      <c r="A273"/>
      <c r="B273"/>
      <c r="C273" s="1" t="str">
        <f>MID(A273,1,2)</f>
        <v/>
      </c>
      <c r="D273" s="1" t="str">
        <f>MID(B273,3,2)</f>
        <v/>
      </c>
      <c r="E273" s="1" t="str">
        <f>CONCATENATE(I273,K273)</f>
        <v/>
      </c>
      <c r="F273" s="1" t="e">
        <f>VLOOKUP(I273,$U$23:$AL$40,MATCH(J273,$U$23:$AL$23,0),FALSE)</f>
        <v>#N/A</v>
      </c>
      <c r="G273" s="1" t="e">
        <f>VLOOKUP(J273,$U$23:$AL$40,MATCH(K273,$U$23:$AL$23,0),FALSE)</f>
        <v>#N/A</v>
      </c>
      <c r="H273" s="1" t="e">
        <f>VLOOKUP(I273,$U$23:$AL$40,MATCH(K273,$U$23:$AL$23,0),FALSE)</f>
        <v>#N/A</v>
      </c>
      <c r="I273" s="1" t="str">
        <f>MID(A273,1,1)</f>
        <v/>
      </c>
      <c r="J273" s="1" t="str">
        <f>MID(A273,2,1)</f>
        <v/>
      </c>
      <c r="K273" s="1" t="str">
        <f>MID(A273,4,1)</f>
        <v/>
      </c>
      <c r="L273" s="1" t="e">
        <f>VLOOKUP(I273,$U:$V,2,0)</f>
        <v>#N/A</v>
      </c>
      <c r="M273" s="1" t="e">
        <f>VLOOKUP(J273,$X:$Y,2,0)</f>
        <v>#N/A</v>
      </c>
      <c r="N273" s="1" t="e">
        <f>VLOOKUP(K273,$AA:$AB,2,0)</f>
        <v>#N/A</v>
      </c>
      <c r="O273" s="1">
        <f>IF(A273&lt;&gt;"",N273+M273+L273+F273+G273+H273,0)</f>
        <v>0</v>
      </c>
    </row>
    <row r="274" spans="1:15" x14ac:dyDescent="0.25">
      <c r="A274"/>
      <c r="B274"/>
      <c r="C274" s="1" t="str">
        <f>MID(A274,1,2)</f>
        <v/>
      </c>
      <c r="D274" s="1" t="str">
        <f>MID(B274,3,2)</f>
        <v/>
      </c>
      <c r="E274" s="1" t="str">
        <f>CONCATENATE(I274,K274)</f>
        <v/>
      </c>
      <c r="F274" s="1" t="e">
        <f>VLOOKUP(I274,$U$23:$AL$40,MATCH(J274,$U$23:$AL$23,0),FALSE)</f>
        <v>#N/A</v>
      </c>
      <c r="G274" s="1" t="e">
        <f>VLOOKUP(J274,$U$23:$AL$40,MATCH(K274,$U$23:$AL$23,0),FALSE)</f>
        <v>#N/A</v>
      </c>
      <c r="H274" s="1" t="e">
        <f>VLOOKUP(I274,$U$23:$AL$40,MATCH(K274,$U$23:$AL$23,0),FALSE)</f>
        <v>#N/A</v>
      </c>
      <c r="I274" s="1" t="str">
        <f>MID(A274,1,1)</f>
        <v/>
      </c>
      <c r="J274" s="1" t="str">
        <f>MID(A274,2,1)</f>
        <v/>
      </c>
      <c r="K274" s="1" t="str">
        <f>MID(A274,4,1)</f>
        <v/>
      </c>
      <c r="L274" s="1" t="e">
        <f>VLOOKUP(I274,$U:$V,2,0)</f>
        <v>#N/A</v>
      </c>
      <c r="M274" s="1" t="e">
        <f>VLOOKUP(J274,$X:$Y,2,0)</f>
        <v>#N/A</v>
      </c>
      <c r="N274" s="1" t="e">
        <f>VLOOKUP(K274,$AA:$AB,2,0)</f>
        <v>#N/A</v>
      </c>
      <c r="O274" s="1">
        <f>IF(A274&lt;&gt;"",N274+M274+L274+F274+G274+H274,0)</f>
        <v>0</v>
      </c>
    </row>
    <row r="275" spans="1:15" x14ac:dyDescent="0.25">
      <c r="A275"/>
      <c r="B275"/>
      <c r="C275" s="1" t="str">
        <f>MID(A275,1,2)</f>
        <v/>
      </c>
      <c r="D275" s="1" t="str">
        <f>MID(B275,3,2)</f>
        <v/>
      </c>
      <c r="E275" s="1" t="str">
        <f>CONCATENATE(I275,K275)</f>
        <v/>
      </c>
      <c r="F275" s="1" t="e">
        <f>VLOOKUP(I275,$U$23:$AL$40,MATCH(J275,$U$23:$AL$23,0),FALSE)</f>
        <v>#N/A</v>
      </c>
      <c r="G275" s="1" t="e">
        <f>VLOOKUP(J275,$U$23:$AL$40,MATCH(K275,$U$23:$AL$23,0),FALSE)</f>
        <v>#N/A</v>
      </c>
      <c r="H275" s="1" t="e">
        <f>VLOOKUP(I275,$U$23:$AL$40,MATCH(K275,$U$23:$AL$23,0),FALSE)</f>
        <v>#N/A</v>
      </c>
      <c r="I275" s="1" t="str">
        <f>MID(A275,1,1)</f>
        <v/>
      </c>
      <c r="J275" s="1" t="str">
        <f>MID(A275,2,1)</f>
        <v/>
      </c>
      <c r="K275" s="1" t="str">
        <f>MID(A275,4,1)</f>
        <v/>
      </c>
      <c r="L275" s="1" t="e">
        <f>VLOOKUP(I275,$U:$V,2,0)</f>
        <v>#N/A</v>
      </c>
      <c r="M275" s="1" t="e">
        <f>VLOOKUP(J275,$X:$Y,2,0)</f>
        <v>#N/A</v>
      </c>
      <c r="N275" s="1" t="e">
        <f>VLOOKUP(K275,$AA:$AB,2,0)</f>
        <v>#N/A</v>
      </c>
      <c r="O275" s="1">
        <f>IF(A275&lt;&gt;"",N275+M275+L275+F275+G275+H275,0)</f>
        <v>0</v>
      </c>
    </row>
    <row r="276" spans="1:15" x14ac:dyDescent="0.25">
      <c r="A276"/>
      <c r="B276"/>
      <c r="C276" s="1" t="str">
        <f>MID(A276,1,2)</f>
        <v/>
      </c>
      <c r="D276" s="1" t="str">
        <f>MID(B276,3,2)</f>
        <v/>
      </c>
      <c r="E276" s="1" t="str">
        <f>CONCATENATE(I276,K276)</f>
        <v/>
      </c>
      <c r="F276" s="1" t="e">
        <f>VLOOKUP(I276,$U$23:$AL$40,MATCH(J276,$U$23:$AL$23,0),FALSE)</f>
        <v>#N/A</v>
      </c>
      <c r="G276" s="1" t="e">
        <f>VLOOKUP(J276,$U$23:$AL$40,MATCH(K276,$U$23:$AL$23,0),FALSE)</f>
        <v>#N/A</v>
      </c>
      <c r="H276" s="1" t="e">
        <f>VLOOKUP(I276,$U$23:$AL$40,MATCH(K276,$U$23:$AL$23,0),FALSE)</f>
        <v>#N/A</v>
      </c>
      <c r="I276" s="1" t="str">
        <f>MID(A276,1,1)</f>
        <v/>
      </c>
      <c r="J276" s="1" t="str">
        <f>MID(A276,2,1)</f>
        <v/>
      </c>
      <c r="K276" s="1" t="str">
        <f>MID(A276,4,1)</f>
        <v/>
      </c>
      <c r="L276" s="1" t="e">
        <f>VLOOKUP(I276,$U:$V,2,0)</f>
        <v>#N/A</v>
      </c>
      <c r="M276" s="1" t="e">
        <f>VLOOKUP(J276,$X:$Y,2,0)</f>
        <v>#N/A</v>
      </c>
      <c r="N276" s="1" t="e">
        <f>VLOOKUP(K276,$AA:$AB,2,0)</f>
        <v>#N/A</v>
      </c>
      <c r="O276" s="1">
        <f>IF(A276&lt;&gt;"",N276+M276+L276+F276+G276+H276,0)</f>
        <v>0</v>
      </c>
    </row>
    <row r="277" spans="1:15" x14ac:dyDescent="0.25">
      <c r="A277"/>
      <c r="B277"/>
      <c r="C277" s="1" t="str">
        <f>MID(A277,1,2)</f>
        <v/>
      </c>
      <c r="D277" s="1" t="str">
        <f>MID(B277,3,2)</f>
        <v/>
      </c>
      <c r="E277" s="1" t="str">
        <f>CONCATENATE(I277,K277)</f>
        <v/>
      </c>
      <c r="F277" s="1" t="e">
        <f>VLOOKUP(I277,$U$23:$AL$40,MATCH(J277,$U$23:$AL$23,0),FALSE)</f>
        <v>#N/A</v>
      </c>
      <c r="G277" s="1" t="e">
        <f>VLOOKUP(J277,$U$23:$AL$40,MATCH(K277,$U$23:$AL$23,0),FALSE)</f>
        <v>#N/A</v>
      </c>
      <c r="H277" s="1" t="e">
        <f>VLOOKUP(I277,$U$23:$AL$40,MATCH(K277,$U$23:$AL$23,0),FALSE)</f>
        <v>#N/A</v>
      </c>
      <c r="I277" s="1" t="str">
        <f>MID(A277,1,1)</f>
        <v/>
      </c>
      <c r="J277" s="1" t="str">
        <f>MID(A277,2,1)</f>
        <v/>
      </c>
      <c r="K277" s="1" t="str">
        <f>MID(A277,4,1)</f>
        <v/>
      </c>
      <c r="L277" s="1" t="e">
        <f>VLOOKUP(I277,$U:$V,2,0)</f>
        <v>#N/A</v>
      </c>
      <c r="M277" s="1" t="e">
        <f>VLOOKUP(J277,$X:$Y,2,0)</f>
        <v>#N/A</v>
      </c>
      <c r="N277" s="1" t="e">
        <f>VLOOKUP(K277,$AA:$AB,2,0)</f>
        <v>#N/A</v>
      </c>
      <c r="O277" s="1">
        <f>IF(A277&lt;&gt;"",N277+M277+L277+F277+G277+H277,0)</f>
        <v>0</v>
      </c>
    </row>
    <row r="278" spans="1:15" x14ac:dyDescent="0.25">
      <c r="A278"/>
      <c r="B278"/>
      <c r="C278" s="1" t="str">
        <f>MID(A278,1,2)</f>
        <v/>
      </c>
      <c r="D278" s="1" t="str">
        <f>MID(B278,3,2)</f>
        <v/>
      </c>
      <c r="E278" s="1" t="str">
        <f>CONCATENATE(I278,K278)</f>
        <v/>
      </c>
      <c r="F278" s="1" t="e">
        <f>VLOOKUP(I278,$U$23:$AL$40,MATCH(J278,$U$23:$AL$23,0),FALSE)</f>
        <v>#N/A</v>
      </c>
      <c r="G278" s="1" t="e">
        <f>VLOOKUP(J278,$U$23:$AL$40,MATCH(K278,$U$23:$AL$23,0),FALSE)</f>
        <v>#N/A</v>
      </c>
      <c r="H278" s="1" t="e">
        <f>VLOOKUP(I278,$U$23:$AL$40,MATCH(K278,$U$23:$AL$23,0),FALSE)</f>
        <v>#N/A</v>
      </c>
      <c r="I278" s="1" t="str">
        <f>MID(A278,1,1)</f>
        <v/>
      </c>
      <c r="J278" s="1" t="str">
        <f>MID(A278,2,1)</f>
        <v/>
      </c>
      <c r="K278" s="1" t="str">
        <f>MID(A278,4,1)</f>
        <v/>
      </c>
      <c r="L278" s="1" t="e">
        <f>VLOOKUP(I278,$U:$V,2,0)</f>
        <v>#N/A</v>
      </c>
      <c r="M278" s="1" t="e">
        <f>VLOOKUP(J278,$X:$Y,2,0)</f>
        <v>#N/A</v>
      </c>
      <c r="N278" s="1" t="e">
        <f>VLOOKUP(K278,$AA:$AB,2,0)</f>
        <v>#N/A</v>
      </c>
      <c r="O278" s="1">
        <f>IF(A278&lt;&gt;"",N278+M278+L278+F278+G278+H278,0)</f>
        <v>0</v>
      </c>
    </row>
    <row r="279" spans="1:15" x14ac:dyDescent="0.25">
      <c r="A279"/>
      <c r="B279"/>
      <c r="C279" s="1" t="str">
        <f>MID(A279,1,2)</f>
        <v/>
      </c>
      <c r="D279" s="1" t="str">
        <f>MID(B279,3,2)</f>
        <v/>
      </c>
      <c r="E279" s="1" t="str">
        <f>CONCATENATE(I279,K279)</f>
        <v/>
      </c>
      <c r="F279" s="1" t="e">
        <f>VLOOKUP(I279,$U$23:$AL$40,MATCH(J279,$U$23:$AL$23,0),FALSE)</f>
        <v>#N/A</v>
      </c>
      <c r="G279" s="1" t="e">
        <f>VLOOKUP(J279,$U$23:$AL$40,MATCH(K279,$U$23:$AL$23,0),FALSE)</f>
        <v>#N/A</v>
      </c>
      <c r="H279" s="1" t="e">
        <f>VLOOKUP(I279,$U$23:$AL$40,MATCH(K279,$U$23:$AL$23,0),FALSE)</f>
        <v>#N/A</v>
      </c>
      <c r="I279" s="1" t="str">
        <f>MID(A279,1,1)</f>
        <v/>
      </c>
      <c r="J279" s="1" t="str">
        <f>MID(A279,2,1)</f>
        <v/>
      </c>
      <c r="K279" s="1" t="str">
        <f>MID(A279,4,1)</f>
        <v/>
      </c>
      <c r="L279" s="1" t="e">
        <f>VLOOKUP(I279,$U:$V,2,0)</f>
        <v>#N/A</v>
      </c>
      <c r="M279" s="1" t="e">
        <f>VLOOKUP(J279,$X:$Y,2,0)</f>
        <v>#N/A</v>
      </c>
      <c r="N279" s="1" t="e">
        <f>VLOOKUP(K279,$AA:$AB,2,0)</f>
        <v>#N/A</v>
      </c>
      <c r="O279" s="1">
        <f>IF(A279&lt;&gt;"",N279+M279+L279+F279+G279+H279,0)</f>
        <v>0</v>
      </c>
    </row>
    <row r="280" spans="1:15" x14ac:dyDescent="0.25">
      <c r="A280"/>
      <c r="B280"/>
      <c r="C280" s="1" t="str">
        <f>MID(A280,1,2)</f>
        <v/>
      </c>
      <c r="D280" s="1" t="str">
        <f>MID(B280,3,2)</f>
        <v/>
      </c>
      <c r="E280" s="1" t="str">
        <f>CONCATENATE(I280,K280)</f>
        <v/>
      </c>
      <c r="F280" s="1" t="e">
        <f>VLOOKUP(I280,$U$23:$AL$40,MATCH(J280,$U$23:$AL$23,0),FALSE)</f>
        <v>#N/A</v>
      </c>
      <c r="G280" s="1" t="e">
        <f>VLOOKUP(J280,$U$23:$AL$40,MATCH(K280,$U$23:$AL$23,0),FALSE)</f>
        <v>#N/A</v>
      </c>
      <c r="H280" s="1" t="e">
        <f>VLOOKUP(I280,$U$23:$AL$40,MATCH(K280,$U$23:$AL$23,0),FALSE)</f>
        <v>#N/A</v>
      </c>
      <c r="I280" s="1" t="str">
        <f>MID(A280,1,1)</f>
        <v/>
      </c>
      <c r="J280" s="1" t="str">
        <f>MID(A280,2,1)</f>
        <v/>
      </c>
      <c r="K280" s="1" t="str">
        <f>MID(A280,4,1)</f>
        <v/>
      </c>
      <c r="L280" s="1" t="e">
        <f>VLOOKUP(I280,$U:$V,2,0)</f>
        <v>#N/A</v>
      </c>
      <c r="M280" s="1" t="e">
        <f>VLOOKUP(J280,$X:$Y,2,0)</f>
        <v>#N/A</v>
      </c>
      <c r="N280" s="1" t="e">
        <f>VLOOKUP(K280,$AA:$AB,2,0)</f>
        <v>#N/A</v>
      </c>
      <c r="O280" s="1">
        <f>IF(A280&lt;&gt;"",N280+M280+L280+F280+G280+H280,0)</f>
        <v>0</v>
      </c>
    </row>
    <row r="281" spans="1:15" x14ac:dyDescent="0.25">
      <c r="A281"/>
      <c r="B281"/>
      <c r="C281" s="1" t="str">
        <f>MID(A281,1,2)</f>
        <v/>
      </c>
      <c r="D281" s="1" t="str">
        <f>MID(B281,3,2)</f>
        <v/>
      </c>
      <c r="E281" s="1" t="str">
        <f>CONCATENATE(I281,K281)</f>
        <v/>
      </c>
      <c r="F281" s="1" t="e">
        <f>VLOOKUP(I281,$U$23:$AL$40,MATCH(J281,$U$23:$AL$23,0),FALSE)</f>
        <v>#N/A</v>
      </c>
      <c r="G281" s="1" t="e">
        <f>VLOOKUP(J281,$U$23:$AL$40,MATCH(K281,$U$23:$AL$23,0),FALSE)</f>
        <v>#N/A</v>
      </c>
      <c r="H281" s="1" t="e">
        <f>VLOOKUP(I281,$U$23:$AL$40,MATCH(K281,$U$23:$AL$23,0),FALSE)</f>
        <v>#N/A</v>
      </c>
      <c r="I281" s="1" t="str">
        <f>MID(A281,1,1)</f>
        <v/>
      </c>
      <c r="J281" s="1" t="str">
        <f>MID(A281,2,1)</f>
        <v/>
      </c>
      <c r="K281" s="1" t="str">
        <f>MID(A281,4,1)</f>
        <v/>
      </c>
      <c r="L281" s="1" t="e">
        <f>VLOOKUP(I281,$U:$V,2,0)</f>
        <v>#N/A</v>
      </c>
      <c r="M281" s="1" t="e">
        <f>VLOOKUP(J281,$X:$Y,2,0)</f>
        <v>#N/A</v>
      </c>
      <c r="N281" s="1" t="e">
        <f>VLOOKUP(K281,$AA:$AB,2,0)</f>
        <v>#N/A</v>
      </c>
      <c r="O281" s="1">
        <f>IF(A281&lt;&gt;"",N281+M281+L281+F281+G281+H281,0)</f>
        <v>0</v>
      </c>
    </row>
    <row r="282" spans="1:15" x14ac:dyDescent="0.25">
      <c r="A282"/>
      <c r="B282"/>
      <c r="C282" s="1" t="str">
        <f>MID(A282,1,2)</f>
        <v/>
      </c>
      <c r="D282" s="1" t="str">
        <f>MID(B282,3,2)</f>
        <v/>
      </c>
      <c r="E282" s="1" t="str">
        <f>CONCATENATE(I282,K282)</f>
        <v/>
      </c>
      <c r="F282" s="1" t="e">
        <f>VLOOKUP(I282,$U$23:$AL$40,MATCH(J282,$U$23:$AL$23,0),FALSE)</f>
        <v>#N/A</v>
      </c>
      <c r="G282" s="1" t="e">
        <f>VLOOKUP(J282,$U$23:$AL$40,MATCH(K282,$U$23:$AL$23,0),FALSE)</f>
        <v>#N/A</v>
      </c>
      <c r="H282" s="1" t="e">
        <f>VLOOKUP(I282,$U$23:$AL$40,MATCH(K282,$U$23:$AL$23,0),FALSE)</f>
        <v>#N/A</v>
      </c>
      <c r="I282" s="1" t="str">
        <f>MID(A282,1,1)</f>
        <v/>
      </c>
      <c r="J282" s="1" t="str">
        <f>MID(A282,2,1)</f>
        <v/>
      </c>
      <c r="K282" s="1" t="str">
        <f>MID(A282,4,1)</f>
        <v/>
      </c>
      <c r="L282" s="1" t="e">
        <f>VLOOKUP(I282,$U:$V,2,0)</f>
        <v>#N/A</v>
      </c>
      <c r="M282" s="1" t="e">
        <f>VLOOKUP(J282,$X:$Y,2,0)</f>
        <v>#N/A</v>
      </c>
      <c r="N282" s="1" t="e">
        <f>VLOOKUP(K282,$AA:$AB,2,0)</f>
        <v>#N/A</v>
      </c>
      <c r="O282" s="1">
        <f>IF(A282&lt;&gt;"",N282+M282+L282+F282+G282+H282,0)</f>
        <v>0</v>
      </c>
    </row>
    <row r="283" spans="1:15" x14ac:dyDescent="0.25">
      <c r="A283"/>
      <c r="B283"/>
      <c r="C283" s="1" t="str">
        <f>MID(A283,1,2)</f>
        <v/>
      </c>
      <c r="D283" s="1" t="str">
        <f>MID(B283,3,2)</f>
        <v/>
      </c>
      <c r="E283" s="1" t="str">
        <f>CONCATENATE(I283,K283)</f>
        <v/>
      </c>
      <c r="F283" s="1" t="e">
        <f>VLOOKUP(I283,$U$23:$AL$40,MATCH(J283,$U$23:$AL$23,0),FALSE)</f>
        <v>#N/A</v>
      </c>
      <c r="G283" s="1" t="e">
        <f>VLOOKUP(J283,$U$23:$AL$40,MATCH(K283,$U$23:$AL$23,0),FALSE)</f>
        <v>#N/A</v>
      </c>
      <c r="H283" s="1" t="e">
        <f>VLOOKUP(I283,$U$23:$AL$40,MATCH(K283,$U$23:$AL$23,0),FALSE)</f>
        <v>#N/A</v>
      </c>
      <c r="I283" s="1" t="str">
        <f>MID(A283,1,1)</f>
        <v/>
      </c>
      <c r="J283" s="1" t="str">
        <f>MID(A283,2,1)</f>
        <v/>
      </c>
      <c r="K283" s="1" t="str">
        <f>MID(A283,4,1)</f>
        <v/>
      </c>
      <c r="L283" s="1" t="e">
        <f>VLOOKUP(I283,$U:$V,2,0)</f>
        <v>#N/A</v>
      </c>
      <c r="M283" s="1" t="e">
        <f>VLOOKUP(J283,$X:$Y,2,0)</f>
        <v>#N/A</v>
      </c>
      <c r="N283" s="1" t="e">
        <f>VLOOKUP(K283,$AA:$AB,2,0)</f>
        <v>#N/A</v>
      </c>
      <c r="O283" s="1">
        <f>IF(A283&lt;&gt;"",N283+M283+L283+F283+G283+H283,0)</f>
        <v>0</v>
      </c>
    </row>
    <row r="284" spans="1:15" x14ac:dyDescent="0.25">
      <c r="A284"/>
      <c r="B284"/>
      <c r="C284" s="1" t="str">
        <f>MID(A284,1,2)</f>
        <v/>
      </c>
      <c r="D284" s="1" t="str">
        <f>MID(B284,3,2)</f>
        <v/>
      </c>
      <c r="E284" s="1" t="str">
        <f>CONCATENATE(I284,K284)</f>
        <v/>
      </c>
      <c r="F284" s="1" t="e">
        <f>VLOOKUP(I284,$U$23:$AL$40,MATCH(J284,$U$23:$AL$23,0),FALSE)</f>
        <v>#N/A</v>
      </c>
      <c r="G284" s="1" t="e">
        <f>VLOOKUP(J284,$U$23:$AL$40,MATCH(K284,$U$23:$AL$23,0),FALSE)</f>
        <v>#N/A</v>
      </c>
      <c r="H284" s="1" t="e">
        <f>VLOOKUP(I284,$U$23:$AL$40,MATCH(K284,$U$23:$AL$23,0),FALSE)</f>
        <v>#N/A</v>
      </c>
      <c r="I284" s="1" t="str">
        <f>MID(A284,1,1)</f>
        <v/>
      </c>
      <c r="J284" s="1" t="str">
        <f>MID(A284,2,1)</f>
        <v/>
      </c>
      <c r="K284" s="1" t="str">
        <f>MID(A284,4,1)</f>
        <v/>
      </c>
      <c r="L284" s="1" t="e">
        <f>VLOOKUP(I284,$U:$V,2,0)</f>
        <v>#N/A</v>
      </c>
      <c r="M284" s="1" t="e">
        <f>VLOOKUP(J284,$X:$Y,2,0)</f>
        <v>#N/A</v>
      </c>
      <c r="N284" s="1" t="e">
        <f>VLOOKUP(K284,$AA:$AB,2,0)</f>
        <v>#N/A</v>
      </c>
      <c r="O284" s="1">
        <f>IF(A284&lt;&gt;"",N284+M284+L284+F284+G284+H284,0)</f>
        <v>0</v>
      </c>
    </row>
    <row r="285" spans="1:15" x14ac:dyDescent="0.25">
      <c r="A285"/>
      <c r="B285"/>
      <c r="C285" s="1" t="str">
        <f>MID(A285,1,2)</f>
        <v/>
      </c>
      <c r="D285" s="1" t="str">
        <f>MID(B285,3,2)</f>
        <v/>
      </c>
      <c r="E285" s="1" t="str">
        <f>CONCATENATE(I285,K285)</f>
        <v/>
      </c>
      <c r="F285" s="1" t="e">
        <f>VLOOKUP(I285,$U$23:$AL$40,MATCH(J285,$U$23:$AL$23,0),FALSE)</f>
        <v>#N/A</v>
      </c>
      <c r="G285" s="1" t="e">
        <f>VLOOKUP(J285,$U$23:$AL$40,MATCH(K285,$U$23:$AL$23,0),FALSE)</f>
        <v>#N/A</v>
      </c>
      <c r="H285" s="1" t="e">
        <f>VLOOKUP(I285,$U$23:$AL$40,MATCH(K285,$U$23:$AL$23,0),FALSE)</f>
        <v>#N/A</v>
      </c>
      <c r="I285" s="1" t="str">
        <f>MID(A285,1,1)</f>
        <v/>
      </c>
      <c r="J285" s="1" t="str">
        <f>MID(A285,2,1)</f>
        <v/>
      </c>
      <c r="K285" s="1" t="str">
        <f>MID(A285,4,1)</f>
        <v/>
      </c>
      <c r="L285" s="1" t="e">
        <f>VLOOKUP(I285,$U:$V,2,0)</f>
        <v>#N/A</v>
      </c>
      <c r="M285" s="1" t="e">
        <f>VLOOKUP(J285,$X:$Y,2,0)</f>
        <v>#N/A</v>
      </c>
      <c r="N285" s="1" t="e">
        <f>VLOOKUP(K285,$AA:$AB,2,0)</f>
        <v>#N/A</v>
      </c>
      <c r="O285" s="1">
        <f>IF(A285&lt;&gt;"",N285+M285+L285+F285+G285+H285,0)</f>
        <v>0</v>
      </c>
    </row>
    <row r="286" spans="1:15" x14ac:dyDescent="0.25">
      <c r="A286"/>
      <c r="B286"/>
      <c r="C286" s="1" t="str">
        <f>MID(A286,1,2)</f>
        <v/>
      </c>
      <c r="D286" s="1" t="str">
        <f>MID(B286,3,2)</f>
        <v/>
      </c>
      <c r="E286" s="1" t="str">
        <f>CONCATENATE(I286,K286)</f>
        <v/>
      </c>
      <c r="F286" s="1" t="e">
        <f>VLOOKUP(I286,$U$23:$AL$40,MATCH(J286,$U$23:$AL$23,0),FALSE)</f>
        <v>#N/A</v>
      </c>
      <c r="G286" s="1" t="e">
        <f>VLOOKUP(J286,$U$23:$AL$40,MATCH(K286,$U$23:$AL$23,0),FALSE)</f>
        <v>#N/A</v>
      </c>
      <c r="H286" s="1" t="e">
        <f>VLOOKUP(I286,$U$23:$AL$40,MATCH(K286,$U$23:$AL$23,0),FALSE)</f>
        <v>#N/A</v>
      </c>
      <c r="I286" s="1" t="str">
        <f>MID(A286,1,1)</f>
        <v/>
      </c>
      <c r="J286" s="1" t="str">
        <f>MID(A286,2,1)</f>
        <v/>
      </c>
      <c r="K286" s="1" t="str">
        <f>MID(A286,4,1)</f>
        <v/>
      </c>
      <c r="L286" s="1" t="e">
        <f>VLOOKUP(I286,$U:$V,2,0)</f>
        <v>#N/A</v>
      </c>
      <c r="M286" s="1" t="e">
        <f>VLOOKUP(J286,$X:$Y,2,0)</f>
        <v>#N/A</v>
      </c>
      <c r="N286" s="1" t="e">
        <f>VLOOKUP(K286,$AA:$AB,2,0)</f>
        <v>#N/A</v>
      </c>
      <c r="O286" s="1">
        <f>IF(A286&lt;&gt;"",N286+M286+L286+F286+G286+H286,0)</f>
        <v>0</v>
      </c>
    </row>
    <row r="287" spans="1:15" x14ac:dyDescent="0.25">
      <c r="A287"/>
      <c r="B287"/>
      <c r="C287" s="1" t="str">
        <f>MID(A287,1,2)</f>
        <v/>
      </c>
      <c r="D287" s="1" t="str">
        <f>MID(B287,3,2)</f>
        <v/>
      </c>
      <c r="E287" s="1" t="str">
        <f>CONCATENATE(I287,K287)</f>
        <v/>
      </c>
      <c r="F287" s="1" t="e">
        <f>VLOOKUP(I287,$U$23:$AL$40,MATCH(J287,$U$23:$AL$23,0),FALSE)</f>
        <v>#N/A</v>
      </c>
      <c r="G287" s="1" t="e">
        <f>VLOOKUP(J287,$U$23:$AL$40,MATCH(K287,$U$23:$AL$23,0),FALSE)</f>
        <v>#N/A</v>
      </c>
      <c r="H287" s="1" t="e">
        <f>VLOOKUP(I287,$U$23:$AL$40,MATCH(K287,$U$23:$AL$23,0),FALSE)</f>
        <v>#N/A</v>
      </c>
      <c r="I287" s="1" t="str">
        <f>MID(A287,1,1)</f>
        <v/>
      </c>
      <c r="J287" s="1" t="str">
        <f>MID(A287,2,1)</f>
        <v/>
      </c>
      <c r="K287" s="1" t="str">
        <f>MID(A287,4,1)</f>
        <v/>
      </c>
      <c r="L287" s="1" t="e">
        <f>VLOOKUP(I287,$U:$V,2,0)</f>
        <v>#N/A</v>
      </c>
      <c r="M287" s="1" t="e">
        <f>VLOOKUP(J287,$X:$Y,2,0)</f>
        <v>#N/A</v>
      </c>
      <c r="N287" s="1" t="e">
        <f>VLOOKUP(K287,$AA:$AB,2,0)</f>
        <v>#N/A</v>
      </c>
      <c r="O287" s="1">
        <f>IF(A287&lt;&gt;"",N287+M287+L287+F287+G287+H287,0)</f>
        <v>0</v>
      </c>
    </row>
    <row r="288" spans="1:15" x14ac:dyDescent="0.25">
      <c r="A288"/>
      <c r="B288"/>
      <c r="C288" s="1" t="str">
        <f>MID(A288,1,2)</f>
        <v/>
      </c>
      <c r="D288" s="1" t="str">
        <f>MID(B288,3,2)</f>
        <v/>
      </c>
      <c r="E288" s="1" t="str">
        <f>CONCATENATE(I288,K288)</f>
        <v/>
      </c>
      <c r="F288" s="1" t="e">
        <f>VLOOKUP(I288,$U$23:$AL$40,MATCH(J288,$U$23:$AL$23,0),FALSE)</f>
        <v>#N/A</v>
      </c>
      <c r="G288" s="1" t="e">
        <f>VLOOKUP(J288,$U$23:$AL$40,MATCH(K288,$U$23:$AL$23,0),FALSE)</f>
        <v>#N/A</v>
      </c>
      <c r="H288" s="1" t="e">
        <f>VLOOKUP(I288,$U$23:$AL$40,MATCH(K288,$U$23:$AL$23,0),FALSE)</f>
        <v>#N/A</v>
      </c>
      <c r="I288" s="1" t="str">
        <f>MID(A288,1,1)</f>
        <v/>
      </c>
      <c r="J288" s="1" t="str">
        <f>MID(A288,2,1)</f>
        <v/>
      </c>
      <c r="K288" s="1" t="str">
        <f>MID(A288,4,1)</f>
        <v/>
      </c>
      <c r="L288" s="1" t="e">
        <f>VLOOKUP(I288,$U:$V,2,0)</f>
        <v>#N/A</v>
      </c>
      <c r="M288" s="1" t="e">
        <f>VLOOKUP(J288,$X:$Y,2,0)</f>
        <v>#N/A</v>
      </c>
      <c r="N288" s="1" t="e">
        <f>VLOOKUP(K288,$AA:$AB,2,0)</f>
        <v>#N/A</v>
      </c>
      <c r="O288" s="1">
        <f>IF(A288&lt;&gt;"",N288+M288+L288+F288+G288+H288,0)</f>
        <v>0</v>
      </c>
    </row>
    <row r="289" spans="1:15" x14ac:dyDescent="0.25">
      <c r="A289"/>
      <c r="B289"/>
      <c r="C289" s="1" t="str">
        <f>MID(A289,1,2)</f>
        <v/>
      </c>
      <c r="D289" s="1" t="str">
        <f>MID(B289,3,2)</f>
        <v/>
      </c>
      <c r="E289" s="1" t="str">
        <f>CONCATENATE(I289,K289)</f>
        <v/>
      </c>
      <c r="F289" s="1" t="e">
        <f>VLOOKUP(I289,$U$23:$AL$40,MATCH(J289,$U$23:$AL$23,0),FALSE)</f>
        <v>#N/A</v>
      </c>
      <c r="G289" s="1" t="e">
        <f>VLOOKUP(J289,$U$23:$AL$40,MATCH(K289,$U$23:$AL$23,0),FALSE)</f>
        <v>#N/A</v>
      </c>
      <c r="H289" s="1" t="e">
        <f>VLOOKUP(I289,$U$23:$AL$40,MATCH(K289,$U$23:$AL$23,0),FALSE)</f>
        <v>#N/A</v>
      </c>
      <c r="I289" s="1" t="str">
        <f>MID(A289,1,1)</f>
        <v/>
      </c>
      <c r="J289" s="1" t="str">
        <f>MID(A289,2,1)</f>
        <v/>
      </c>
      <c r="K289" s="1" t="str">
        <f>MID(A289,4,1)</f>
        <v/>
      </c>
      <c r="L289" s="1" t="e">
        <f>VLOOKUP(I289,$U:$V,2,0)</f>
        <v>#N/A</v>
      </c>
      <c r="M289" s="1" t="e">
        <f>VLOOKUP(J289,$X:$Y,2,0)</f>
        <v>#N/A</v>
      </c>
      <c r="N289" s="1" t="e">
        <f>VLOOKUP(K289,$AA:$AB,2,0)</f>
        <v>#N/A</v>
      </c>
      <c r="O289" s="1">
        <f>IF(A289&lt;&gt;"",N289+M289+L289+F289+G289+H289,0)</f>
        <v>0</v>
      </c>
    </row>
    <row r="290" spans="1:15" x14ac:dyDescent="0.25">
      <c r="A290"/>
      <c r="B290"/>
      <c r="C290" s="1" t="str">
        <f>MID(A290,1,2)</f>
        <v/>
      </c>
      <c r="D290" s="1" t="str">
        <f>MID(B290,3,2)</f>
        <v/>
      </c>
      <c r="E290" s="1" t="str">
        <f>CONCATENATE(I290,K290)</f>
        <v/>
      </c>
      <c r="F290" s="1" t="e">
        <f>VLOOKUP(I290,$U$23:$AL$40,MATCH(J290,$U$23:$AL$23,0),FALSE)</f>
        <v>#N/A</v>
      </c>
      <c r="G290" s="1" t="e">
        <f>VLOOKUP(J290,$U$23:$AL$40,MATCH(K290,$U$23:$AL$23,0),FALSE)</f>
        <v>#N/A</v>
      </c>
      <c r="H290" s="1" t="e">
        <f>VLOOKUP(I290,$U$23:$AL$40,MATCH(K290,$U$23:$AL$23,0),FALSE)</f>
        <v>#N/A</v>
      </c>
      <c r="I290" s="1" t="str">
        <f>MID(A290,1,1)</f>
        <v/>
      </c>
      <c r="J290" s="1" t="str">
        <f>MID(A290,2,1)</f>
        <v/>
      </c>
      <c r="K290" s="1" t="str">
        <f>MID(A290,4,1)</f>
        <v/>
      </c>
      <c r="L290" s="1" t="e">
        <f>VLOOKUP(I290,$U:$V,2,0)</f>
        <v>#N/A</v>
      </c>
      <c r="M290" s="1" t="e">
        <f>VLOOKUP(J290,$X:$Y,2,0)</f>
        <v>#N/A</v>
      </c>
      <c r="N290" s="1" t="e">
        <f>VLOOKUP(K290,$AA:$AB,2,0)</f>
        <v>#N/A</v>
      </c>
      <c r="O290" s="1">
        <f>IF(A290&lt;&gt;"",N290+M290+L290+F290+G290+H290,0)</f>
        <v>0</v>
      </c>
    </row>
    <row r="291" spans="1:15" x14ac:dyDescent="0.25">
      <c r="A291"/>
      <c r="B291"/>
      <c r="C291" s="1" t="str">
        <f>MID(A291,1,2)</f>
        <v/>
      </c>
      <c r="D291" s="1" t="str">
        <f>MID(B291,3,2)</f>
        <v/>
      </c>
      <c r="E291" s="1" t="str">
        <f>CONCATENATE(I291,K291)</f>
        <v/>
      </c>
      <c r="F291" s="1" t="e">
        <f>VLOOKUP(I291,$U$23:$AL$40,MATCH(J291,$U$23:$AL$23,0),FALSE)</f>
        <v>#N/A</v>
      </c>
      <c r="G291" s="1" t="e">
        <f>VLOOKUP(J291,$U$23:$AL$40,MATCH(K291,$U$23:$AL$23,0),FALSE)</f>
        <v>#N/A</v>
      </c>
      <c r="H291" s="1" t="e">
        <f>VLOOKUP(I291,$U$23:$AL$40,MATCH(K291,$U$23:$AL$23,0),FALSE)</f>
        <v>#N/A</v>
      </c>
      <c r="I291" s="1" t="str">
        <f>MID(A291,1,1)</f>
        <v/>
      </c>
      <c r="J291" s="1" t="str">
        <f>MID(A291,2,1)</f>
        <v/>
      </c>
      <c r="K291" s="1" t="str">
        <f>MID(A291,4,1)</f>
        <v/>
      </c>
      <c r="L291" s="1" t="e">
        <f>VLOOKUP(I291,$U:$V,2,0)</f>
        <v>#N/A</v>
      </c>
      <c r="M291" s="1" t="e">
        <f>VLOOKUP(J291,$X:$Y,2,0)</f>
        <v>#N/A</v>
      </c>
      <c r="N291" s="1" t="e">
        <f>VLOOKUP(K291,$AA:$AB,2,0)</f>
        <v>#N/A</v>
      </c>
      <c r="O291" s="1">
        <f>IF(A291&lt;&gt;"",N291+M291+L291+F291+G291+H291,0)</f>
        <v>0</v>
      </c>
    </row>
    <row r="292" spans="1:15" x14ac:dyDescent="0.25">
      <c r="A292"/>
      <c r="B292"/>
      <c r="C292" s="1" t="str">
        <f>MID(A292,1,2)</f>
        <v/>
      </c>
      <c r="D292" s="1" t="str">
        <f>MID(B292,3,2)</f>
        <v/>
      </c>
      <c r="E292" s="1" t="str">
        <f>CONCATENATE(I292,K292)</f>
        <v/>
      </c>
      <c r="F292" s="1" t="e">
        <f>VLOOKUP(I292,$U$23:$AL$40,MATCH(J292,$U$23:$AL$23,0),FALSE)</f>
        <v>#N/A</v>
      </c>
      <c r="G292" s="1" t="e">
        <f>VLOOKUP(J292,$U$23:$AL$40,MATCH(K292,$U$23:$AL$23,0),FALSE)</f>
        <v>#N/A</v>
      </c>
      <c r="H292" s="1" t="e">
        <f>VLOOKUP(I292,$U$23:$AL$40,MATCH(K292,$U$23:$AL$23,0),FALSE)</f>
        <v>#N/A</v>
      </c>
      <c r="I292" s="1" t="str">
        <f>MID(A292,1,1)</f>
        <v/>
      </c>
      <c r="J292" s="1" t="str">
        <f>MID(A292,2,1)</f>
        <v/>
      </c>
      <c r="K292" s="1" t="str">
        <f>MID(A292,4,1)</f>
        <v/>
      </c>
      <c r="L292" s="1" t="e">
        <f>VLOOKUP(I292,$U:$V,2,0)</f>
        <v>#N/A</v>
      </c>
      <c r="M292" s="1" t="e">
        <f>VLOOKUP(J292,$X:$Y,2,0)</f>
        <v>#N/A</v>
      </c>
      <c r="N292" s="1" t="e">
        <f>VLOOKUP(K292,$AA:$AB,2,0)</f>
        <v>#N/A</v>
      </c>
      <c r="O292" s="1">
        <f>IF(A292&lt;&gt;"",N292+M292+L292+F292+G292+H292,0)</f>
        <v>0</v>
      </c>
    </row>
    <row r="293" spans="1:15" x14ac:dyDescent="0.25">
      <c r="A293"/>
      <c r="B293"/>
      <c r="C293" s="1" t="str">
        <f>MID(A293,1,2)</f>
        <v/>
      </c>
      <c r="D293" s="1" t="str">
        <f>MID(B293,3,2)</f>
        <v/>
      </c>
      <c r="E293" s="1" t="str">
        <f>CONCATENATE(I293,K293)</f>
        <v/>
      </c>
      <c r="F293" s="1" t="e">
        <f>VLOOKUP(I293,$U$23:$AL$40,MATCH(J293,$U$23:$AL$23,0),FALSE)</f>
        <v>#N/A</v>
      </c>
      <c r="G293" s="1" t="e">
        <f>VLOOKUP(J293,$U$23:$AL$40,MATCH(K293,$U$23:$AL$23,0),FALSE)</f>
        <v>#N/A</v>
      </c>
      <c r="H293" s="1" t="e">
        <f>VLOOKUP(I293,$U$23:$AL$40,MATCH(K293,$U$23:$AL$23,0),FALSE)</f>
        <v>#N/A</v>
      </c>
      <c r="I293" s="1" t="str">
        <f>MID(A293,1,1)</f>
        <v/>
      </c>
      <c r="J293" s="1" t="str">
        <f>MID(A293,2,1)</f>
        <v/>
      </c>
      <c r="K293" s="1" t="str">
        <f>MID(A293,4,1)</f>
        <v/>
      </c>
      <c r="L293" s="1" t="e">
        <f>VLOOKUP(I293,$U:$V,2,0)</f>
        <v>#N/A</v>
      </c>
      <c r="M293" s="1" t="e">
        <f>VLOOKUP(J293,$X:$Y,2,0)</f>
        <v>#N/A</v>
      </c>
      <c r="N293" s="1" t="e">
        <f>VLOOKUP(K293,$AA:$AB,2,0)</f>
        <v>#N/A</v>
      </c>
      <c r="O293" s="1">
        <f>IF(A293&lt;&gt;"",N293+M293+L293+F293+G293+H293,0)</f>
        <v>0</v>
      </c>
    </row>
    <row r="294" spans="1:15" x14ac:dyDescent="0.25">
      <c r="A294"/>
      <c r="B294"/>
      <c r="C294" s="1" t="str">
        <f>MID(A294,1,2)</f>
        <v/>
      </c>
      <c r="D294" s="1" t="str">
        <f>MID(B294,3,2)</f>
        <v/>
      </c>
      <c r="E294" s="1" t="str">
        <f>CONCATENATE(I294,K294)</f>
        <v/>
      </c>
      <c r="F294" s="1" t="e">
        <f>VLOOKUP(I294,$U$23:$AL$40,MATCH(J294,$U$23:$AL$23,0),FALSE)</f>
        <v>#N/A</v>
      </c>
      <c r="G294" s="1" t="e">
        <f>VLOOKUP(J294,$U$23:$AL$40,MATCH(K294,$U$23:$AL$23,0),FALSE)</f>
        <v>#N/A</v>
      </c>
      <c r="H294" s="1" t="e">
        <f>VLOOKUP(I294,$U$23:$AL$40,MATCH(K294,$U$23:$AL$23,0),FALSE)</f>
        <v>#N/A</v>
      </c>
      <c r="I294" s="1" t="str">
        <f>MID(A294,1,1)</f>
        <v/>
      </c>
      <c r="J294" s="1" t="str">
        <f>MID(A294,2,1)</f>
        <v/>
      </c>
      <c r="K294" s="1" t="str">
        <f>MID(A294,4,1)</f>
        <v/>
      </c>
      <c r="L294" s="1" t="e">
        <f>VLOOKUP(I294,$U:$V,2,0)</f>
        <v>#N/A</v>
      </c>
      <c r="M294" s="1" t="e">
        <f>VLOOKUP(J294,$X:$Y,2,0)</f>
        <v>#N/A</v>
      </c>
      <c r="N294" s="1" t="e">
        <f>VLOOKUP(K294,$AA:$AB,2,0)</f>
        <v>#N/A</v>
      </c>
      <c r="O294" s="1">
        <f>IF(A294&lt;&gt;"",N294+M294+L294+F294+G294+H294,0)</f>
        <v>0</v>
      </c>
    </row>
    <row r="295" spans="1:15" x14ac:dyDescent="0.25">
      <c r="A295"/>
      <c r="B295"/>
      <c r="C295" s="1" t="str">
        <f>MID(A295,1,2)</f>
        <v/>
      </c>
      <c r="D295" s="1" t="str">
        <f>MID(B295,3,2)</f>
        <v/>
      </c>
      <c r="E295" s="1" t="str">
        <f>CONCATENATE(I295,K295)</f>
        <v/>
      </c>
      <c r="F295" s="1" t="e">
        <f>VLOOKUP(I295,$U$23:$AL$40,MATCH(J295,$U$23:$AL$23,0),FALSE)</f>
        <v>#N/A</v>
      </c>
      <c r="G295" s="1" t="e">
        <f>VLOOKUP(J295,$U$23:$AL$40,MATCH(K295,$U$23:$AL$23,0),FALSE)</f>
        <v>#N/A</v>
      </c>
      <c r="H295" s="1" t="e">
        <f>VLOOKUP(I295,$U$23:$AL$40,MATCH(K295,$U$23:$AL$23,0),FALSE)</f>
        <v>#N/A</v>
      </c>
      <c r="I295" s="1" t="str">
        <f>MID(A295,1,1)</f>
        <v/>
      </c>
      <c r="J295" s="1" t="str">
        <f>MID(A295,2,1)</f>
        <v/>
      </c>
      <c r="K295" s="1" t="str">
        <f>MID(A295,4,1)</f>
        <v/>
      </c>
      <c r="L295" s="1" t="e">
        <f>VLOOKUP(I295,$U:$V,2,0)</f>
        <v>#N/A</v>
      </c>
      <c r="M295" s="1" t="e">
        <f>VLOOKUP(J295,$X:$Y,2,0)</f>
        <v>#N/A</v>
      </c>
      <c r="N295" s="1" t="e">
        <f>VLOOKUP(K295,$AA:$AB,2,0)</f>
        <v>#N/A</v>
      </c>
      <c r="O295" s="1">
        <f>IF(A295&lt;&gt;"",N295+M295+L295+F295+G295+H295,0)</f>
        <v>0</v>
      </c>
    </row>
    <row r="296" spans="1:15" x14ac:dyDescent="0.25">
      <c r="A296"/>
      <c r="B296"/>
      <c r="C296" s="1" t="str">
        <f>MID(A296,1,2)</f>
        <v/>
      </c>
      <c r="D296" s="1" t="str">
        <f>MID(B296,3,2)</f>
        <v/>
      </c>
      <c r="E296" s="1" t="str">
        <f>CONCATENATE(I296,K296)</f>
        <v/>
      </c>
      <c r="F296" s="1" t="e">
        <f>VLOOKUP(I296,$U$23:$AL$40,MATCH(J296,$U$23:$AL$23,0),FALSE)</f>
        <v>#N/A</v>
      </c>
      <c r="G296" s="1" t="e">
        <f>VLOOKUP(J296,$U$23:$AL$40,MATCH(K296,$U$23:$AL$23,0),FALSE)</f>
        <v>#N/A</v>
      </c>
      <c r="H296" s="1" t="e">
        <f>VLOOKUP(I296,$U$23:$AL$40,MATCH(K296,$U$23:$AL$23,0),FALSE)</f>
        <v>#N/A</v>
      </c>
      <c r="I296" s="1" t="str">
        <f>MID(A296,1,1)</f>
        <v/>
      </c>
      <c r="J296" s="1" t="str">
        <f>MID(A296,2,1)</f>
        <v/>
      </c>
      <c r="K296" s="1" t="str">
        <f>MID(A296,4,1)</f>
        <v/>
      </c>
      <c r="L296" s="1" t="e">
        <f>VLOOKUP(I296,$U:$V,2,0)</f>
        <v>#N/A</v>
      </c>
      <c r="M296" s="1" t="e">
        <f>VLOOKUP(J296,$X:$Y,2,0)</f>
        <v>#N/A</v>
      </c>
      <c r="N296" s="1" t="e">
        <f>VLOOKUP(K296,$AA:$AB,2,0)</f>
        <v>#N/A</v>
      </c>
      <c r="O296" s="1">
        <f>IF(A296&lt;&gt;"",N296+M296+L296+F296+G296+H296,0)</f>
        <v>0</v>
      </c>
    </row>
    <row r="297" spans="1:15" x14ac:dyDescent="0.25">
      <c r="A297"/>
      <c r="B297"/>
      <c r="C297" s="1" t="str">
        <f>MID(A297,1,2)</f>
        <v/>
      </c>
      <c r="D297" s="1" t="str">
        <f>MID(B297,3,2)</f>
        <v/>
      </c>
      <c r="E297" s="1" t="str">
        <f>CONCATENATE(I297,K297)</f>
        <v/>
      </c>
      <c r="F297" s="1" t="e">
        <f>VLOOKUP(I297,$U$23:$AL$40,MATCH(J297,$U$23:$AL$23,0),FALSE)</f>
        <v>#N/A</v>
      </c>
      <c r="G297" s="1" t="e">
        <f>VLOOKUP(J297,$U$23:$AL$40,MATCH(K297,$U$23:$AL$23,0),FALSE)</f>
        <v>#N/A</v>
      </c>
      <c r="H297" s="1" t="e">
        <f>VLOOKUP(I297,$U$23:$AL$40,MATCH(K297,$U$23:$AL$23,0),FALSE)</f>
        <v>#N/A</v>
      </c>
      <c r="I297" s="1" t="str">
        <f>MID(A297,1,1)</f>
        <v/>
      </c>
      <c r="J297" s="1" t="str">
        <f>MID(A297,2,1)</f>
        <v/>
      </c>
      <c r="K297" s="1" t="str">
        <f>MID(A297,4,1)</f>
        <v/>
      </c>
      <c r="L297" s="1" t="e">
        <f>VLOOKUP(I297,$U:$V,2,0)</f>
        <v>#N/A</v>
      </c>
      <c r="M297" s="1" t="e">
        <f>VLOOKUP(J297,$X:$Y,2,0)</f>
        <v>#N/A</v>
      </c>
      <c r="N297" s="1" t="e">
        <f>VLOOKUP(K297,$AA:$AB,2,0)</f>
        <v>#N/A</v>
      </c>
      <c r="O297" s="1">
        <f>IF(A297&lt;&gt;"",N297+M297+L297+F297+G297+H297,0)</f>
        <v>0</v>
      </c>
    </row>
    <row r="298" spans="1:15" x14ac:dyDescent="0.25">
      <c r="A298"/>
      <c r="B298"/>
      <c r="C298" s="1" t="str">
        <f>MID(A298,1,2)</f>
        <v/>
      </c>
      <c r="D298" s="1" t="str">
        <f>MID(B298,3,2)</f>
        <v/>
      </c>
      <c r="E298" s="1" t="str">
        <f>CONCATENATE(I298,K298)</f>
        <v/>
      </c>
      <c r="F298" s="1" t="e">
        <f>VLOOKUP(I298,$U$23:$AL$40,MATCH(J298,$U$23:$AL$23,0),FALSE)</f>
        <v>#N/A</v>
      </c>
      <c r="G298" s="1" t="e">
        <f>VLOOKUP(J298,$U$23:$AL$40,MATCH(K298,$U$23:$AL$23,0),FALSE)</f>
        <v>#N/A</v>
      </c>
      <c r="H298" s="1" t="e">
        <f>VLOOKUP(I298,$U$23:$AL$40,MATCH(K298,$U$23:$AL$23,0),FALSE)</f>
        <v>#N/A</v>
      </c>
      <c r="I298" s="1" t="str">
        <f>MID(A298,1,1)</f>
        <v/>
      </c>
      <c r="J298" s="1" t="str">
        <f>MID(A298,2,1)</f>
        <v/>
      </c>
      <c r="K298" s="1" t="str">
        <f>MID(A298,4,1)</f>
        <v/>
      </c>
      <c r="L298" s="1" t="e">
        <f>VLOOKUP(I298,$U:$V,2,0)</f>
        <v>#N/A</v>
      </c>
      <c r="M298" s="1" t="e">
        <f>VLOOKUP(J298,$X:$Y,2,0)</f>
        <v>#N/A</v>
      </c>
      <c r="N298" s="1" t="e">
        <f>VLOOKUP(K298,$AA:$AB,2,0)</f>
        <v>#N/A</v>
      </c>
      <c r="O298" s="1">
        <f>IF(A298&lt;&gt;"",N298+M298+L298+F298+G298+H298,0)</f>
        <v>0</v>
      </c>
    </row>
    <row r="299" spans="1:15" x14ac:dyDescent="0.25">
      <c r="A299"/>
      <c r="B299"/>
      <c r="C299" s="1" t="str">
        <f>MID(A299,1,2)</f>
        <v/>
      </c>
      <c r="D299" s="1" t="str">
        <f>MID(B299,3,2)</f>
        <v/>
      </c>
      <c r="E299" s="1" t="str">
        <f>CONCATENATE(I299,K299)</f>
        <v/>
      </c>
      <c r="F299" s="1" t="e">
        <f>VLOOKUP(I299,$U$23:$AL$40,MATCH(J299,$U$23:$AL$23,0),FALSE)</f>
        <v>#N/A</v>
      </c>
      <c r="G299" s="1" t="e">
        <f>VLOOKUP(J299,$U$23:$AL$40,MATCH(K299,$U$23:$AL$23,0),FALSE)</f>
        <v>#N/A</v>
      </c>
      <c r="H299" s="1" t="e">
        <f>VLOOKUP(I299,$U$23:$AL$40,MATCH(K299,$U$23:$AL$23,0),FALSE)</f>
        <v>#N/A</v>
      </c>
      <c r="I299" s="1" t="str">
        <f>MID(A299,1,1)</f>
        <v/>
      </c>
      <c r="J299" s="1" t="str">
        <f>MID(A299,2,1)</f>
        <v/>
      </c>
      <c r="K299" s="1" t="str">
        <f>MID(A299,4,1)</f>
        <v/>
      </c>
      <c r="L299" s="1" t="e">
        <f>VLOOKUP(I299,$U:$V,2,0)</f>
        <v>#N/A</v>
      </c>
      <c r="M299" s="1" t="e">
        <f>VLOOKUP(J299,$X:$Y,2,0)</f>
        <v>#N/A</v>
      </c>
      <c r="N299" s="1" t="e">
        <f>VLOOKUP(K299,$AA:$AB,2,0)</f>
        <v>#N/A</v>
      </c>
      <c r="O299" s="1">
        <f>IF(A299&lt;&gt;"",N299+M299+L299+F299+G299+H299,0)</f>
        <v>0</v>
      </c>
    </row>
    <row r="300" spans="1:15" x14ac:dyDescent="0.25">
      <c r="A300"/>
      <c r="B300"/>
      <c r="C300" s="1" t="str">
        <f>MID(A300,1,2)</f>
        <v/>
      </c>
      <c r="D300" s="1" t="str">
        <f>MID(B300,3,2)</f>
        <v/>
      </c>
      <c r="E300" s="1" t="str">
        <f>CONCATENATE(I300,K300)</f>
        <v/>
      </c>
      <c r="F300" s="1" t="e">
        <f>VLOOKUP(I300,$U$23:$AL$40,MATCH(J300,$U$23:$AL$23,0),FALSE)</f>
        <v>#N/A</v>
      </c>
      <c r="G300" s="1" t="e">
        <f>VLOOKUP(J300,$U$23:$AL$40,MATCH(K300,$U$23:$AL$23,0),FALSE)</f>
        <v>#N/A</v>
      </c>
      <c r="H300" s="1" t="e">
        <f>VLOOKUP(I300,$U$23:$AL$40,MATCH(K300,$U$23:$AL$23,0),FALSE)</f>
        <v>#N/A</v>
      </c>
      <c r="I300" s="1" t="str">
        <f>MID(A300,1,1)</f>
        <v/>
      </c>
      <c r="J300" s="1" t="str">
        <f>MID(A300,2,1)</f>
        <v/>
      </c>
      <c r="K300" s="1" t="str">
        <f>MID(A300,4,1)</f>
        <v/>
      </c>
      <c r="L300" s="1" t="e">
        <f>VLOOKUP(I300,$U:$V,2,0)</f>
        <v>#N/A</v>
      </c>
      <c r="M300" s="1" t="e">
        <f>VLOOKUP(J300,$X:$Y,2,0)</f>
        <v>#N/A</v>
      </c>
      <c r="N300" s="1" t="e">
        <f>VLOOKUP(K300,$AA:$AB,2,0)</f>
        <v>#N/A</v>
      </c>
      <c r="O300" s="1">
        <f>IF(A300&lt;&gt;"",N300+M300+L300+F300+G300+H300,0)</f>
        <v>0</v>
      </c>
    </row>
    <row r="301" spans="1:15" x14ac:dyDescent="0.25">
      <c r="A301"/>
      <c r="B301"/>
      <c r="C301" s="1" t="str">
        <f>MID(A301,1,2)</f>
        <v/>
      </c>
      <c r="D301" s="1" t="str">
        <f>MID(B301,3,2)</f>
        <v/>
      </c>
      <c r="E301" s="1" t="str">
        <f>CONCATENATE(I301,K301)</f>
        <v/>
      </c>
      <c r="F301" s="1" t="e">
        <f>VLOOKUP(I301,$U$23:$AL$40,MATCH(J301,$U$23:$AL$23,0),FALSE)</f>
        <v>#N/A</v>
      </c>
      <c r="G301" s="1" t="e">
        <f>VLOOKUP(J301,$U$23:$AL$40,MATCH(K301,$U$23:$AL$23,0),FALSE)</f>
        <v>#N/A</v>
      </c>
      <c r="H301" s="1" t="e">
        <f>VLOOKUP(I301,$U$23:$AL$40,MATCH(K301,$U$23:$AL$23,0),FALSE)</f>
        <v>#N/A</v>
      </c>
      <c r="I301" s="1" t="str">
        <f>MID(A301,1,1)</f>
        <v/>
      </c>
      <c r="J301" s="1" t="str">
        <f>MID(A301,2,1)</f>
        <v/>
      </c>
      <c r="K301" s="1" t="str">
        <f>MID(A301,4,1)</f>
        <v/>
      </c>
      <c r="L301" s="1" t="e">
        <f>VLOOKUP(I301,$U:$V,2,0)</f>
        <v>#N/A</v>
      </c>
      <c r="M301" s="1" t="e">
        <f>VLOOKUP(J301,$X:$Y,2,0)</f>
        <v>#N/A</v>
      </c>
      <c r="N301" s="1" t="e">
        <f>VLOOKUP(K301,$AA:$AB,2,0)</f>
        <v>#N/A</v>
      </c>
      <c r="O301" s="1">
        <f>IF(A301&lt;&gt;"",N301+M301+L301+F301+G301+H301,0)</f>
        <v>0</v>
      </c>
    </row>
    <row r="302" spans="1:15" x14ac:dyDescent="0.25">
      <c r="A302"/>
      <c r="B302"/>
      <c r="C302" s="1" t="str">
        <f>MID(A302,1,2)</f>
        <v/>
      </c>
      <c r="D302" s="1" t="str">
        <f>MID(B302,3,2)</f>
        <v/>
      </c>
      <c r="E302" s="1" t="str">
        <f>CONCATENATE(I302,K302)</f>
        <v/>
      </c>
      <c r="F302" s="1" t="e">
        <f>VLOOKUP(I302,$U$23:$AL$40,MATCH(J302,$U$23:$AL$23,0),FALSE)</f>
        <v>#N/A</v>
      </c>
      <c r="G302" s="1" t="e">
        <f>VLOOKUP(J302,$U$23:$AL$40,MATCH(K302,$U$23:$AL$23,0),FALSE)</f>
        <v>#N/A</v>
      </c>
      <c r="H302" s="1" t="e">
        <f>VLOOKUP(I302,$U$23:$AL$40,MATCH(K302,$U$23:$AL$23,0),FALSE)</f>
        <v>#N/A</v>
      </c>
      <c r="I302" s="1" t="str">
        <f>MID(A302,1,1)</f>
        <v/>
      </c>
      <c r="J302" s="1" t="str">
        <f>MID(A302,2,1)</f>
        <v/>
      </c>
      <c r="K302" s="1" t="str">
        <f>MID(A302,4,1)</f>
        <v/>
      </c>
      <c r="L302" s="1" t="e">
        <f>VLOOKUP(I302,$U:$V,2,0)</f>
        <v>#N/A</v>
      </c>
      <c r="M302" s="1" t="e">
        <f>VLOOKUP(J302,$X:$Y,2,0)</f>
        <v>#N/A</v>
      </c>
      <c r="N302" s="1" t="e">
        <f>VLOOKUP(K302,$AA:$AB,2,0)</f>
        <v>#N/A</v>
      </c>
      <c r="O302" s="1">
        <f>IF(A302&lt;&gt;"",N302+M302+L302+F302+G302+H302,0)</f>
        <v>0</v>
      </c>
    </row>
    <row r="303" spans="1:15" x14ac:dyDescent="0.25">
      <c r="A303"/>
      <c r="B303"/>
      <c r="C303" s="1" t="str">
        <f>MID(A303,1,2)</f>
        <v/>
      </c>
      <c r="D303" s="1" t="str">
        <f>MID(B303,3,2)</f>
        <v/>
      </c>
      <c r="E303" s="1" t="str">
        <f>CONCATENATE(I303,K303)</f>
        <v/>
      </c>
      <c r="F303" s="1" t="e">
        <f>VLOOKUP(I303,$U$23:$AL$40,MATCH(J303,$U$23:$AL$23,0),FALSE)</f>
        <v>#N/A</v>
      </c>
      <c r="G303" s="1" t="e">
        <f>VLOOKUP(J303,$U$23:$AL$40,MATCH(K303,$U$23:$AL$23,0),FALSE)</f>
        <v>#N/A</v>
      </c>
      <c r="H303" s="1" t="e">
        <f>VLOOKUP(I303,$U$23:$AL$40,MATCH(K303,$U$23:$AL$23,0),FALSE)</f>
        <v>#N/A</v>
      </c>
      <c r="I303" s="1" t="str">
        <f>MID(A303,1,1)</f>
        <v/>
      </c>
      <c r="J303" s="1" t="str">
        <f>MID(A303,2,1)</f>
        <v/>
      </c>
      <c r="K303" s="1" t="str">
        <f>MID(A303,4,1)</f>
        <v/>
      </c>
      <c r="L303" s="1" t="e">
        <f>VLOOKUP(I303,$U:$V,2,0)</f>
        <v>#N/A</v>
      </c>
      <c r="M303" s="1" t="e">
        <f>VLOOKUP(J303,$X:$Y,2,0)</f>
        <v>#N/A</v>
      </c>
      <c r="N303" s="1" t="e">
        <f>VLOOKUP(K303,$AA:$AB,2,0)</f>
        <v>#N/A</v>
      </c>
      <c r="O303" s="1">
        <f>IF(A303&lt;&gt;"",N303+M303+L303+F303+G303+H303,0)</f>
        <v>0</v>
      </c>
    </row>
    <row r="304" spans="1:15" x14ac:dyDescent="0.25">
      <c r="A304"/>
      <c r="B304"/>
      <c r="C304" s="1" t="str">
        <f>MID(A304,1,2)</f>
        <v/>
      </c>
      <c r="D304" s="1" t="str">
        <f>MID(B304,3,2)</f>
        <v/>
      </c>
      <c r="E304" s="1" t="str">
        <f>CONCATENATE(I304,K304)</f>
        <v/>
      </c>
      <c r="F304" s="1" t="e">
        <f>VLOOKUP(I304,$U$23:$AL$40,MATCH(J304,$U$23:$AL$23,0),FALSE)</f>
        <v>#N/A</v>
      </c>
      <c r="G304" s="1" t="e">
        <f>VLOOKUP(J304,$U$23:$AL$40,MATCH(K304,$U$23:$AL$23,0),FALSE)</f>
        <v>#N/A</v>
      </c>
      <c r="H304" s="1" t="e">
        <f>VLOOKUP(I304,$U$23:$AL$40,MATCH(K304,$U$23:$AL$23,0),FALSE)</f>
        <v>#N/A</v>
      </c>
      <c r="I304" s="1" t="str">
        <f>MID(A304,1,1)</f>
        <v/>
      </c>
      <c r="J304" s="1" t="str">
        <f>MID(A304,2,1)</f>
        <v/>
      </c>
      <c r="K304" s="1" t="str">
        <f>MID(A304,4,1)</f>
        <v/>
      </c>
      <c r="L304" s="1" t="e">
        <f>VLOOKUP(I304,$U:$V,2,0)</f>
        <v>#N/A</v>
      </c>
      <c r="M304" s="1" t="e">
        <f>VLOOKUP(J304,$X:$Y,2,0)</f>
        <v>#N/A</v>
      </c>
      <c r="N304" s="1" t="e">
        <f>VLOOKUP(K304,$AA:$AB,2,0)</f>
        <v>#N/A</v>
      </c>
      <c r="O304" s="1">
        <f>IF(A304&lt;&gt;"",N304+M304+L304+F304+G304+H304,0)</f>
        <v>0</v>
      </c>
    </row>
    <row r="305" spans="1:15" x14ac:dyDescent="0.25">
      <c r="A305"/>
      <c r="B305"/>
      <c r="C305" s="1" t="str">
        <f>MID(A305,1,2)</f>
        <v/>
      </c>
      <c r="D305" s="1" t="str">
        <f>MID(B305,3,2)</f>
        <v/>
      </c>
      <c r="E305" s="1" t="str">
        <f>CONCATENATE(I305,K305)</f>
        <v/>
      </c>
      <c r="F305" s="1" t="e">
        <f>VLOOKUP(I305,$U$23:$AL$40,MATCH(J305,$U$23:$AL$23,0),FALSE)</f>
        <v>#N/A</v>
      </c>
      <c r="G305" s="1" t="e">
        <f>VLOOKUP(J305,$U$23:$AL$40,MATCH(K305,$U$23:$AL$23,0),FALSE)</f>
        <v>#N/A</v>
      </c>
      <c r="H305" s="1" t="e">
        <f>VLOOKUP(I305,$U$23:$AL$40,MATCH(K305,$U$23:$AL$23,0),FALSE)</f>
        <v>#N/A</v>
      </c>
      <c r="I305" s="1" t="str">
        <f>MID(A305,1,1)</f>
        <v/>
      </c>
      <c r="J305" s="1" t="str">
        <f>MID(A305,2,1)</f>
        <v/>
      </c>
      <c r="K305" s="1" t="str">
        <f>MID(A305,4,1)</f>
        <v/>
      </c>
      <c r="L305" s="1" t="e">
        <f>VLOOKUP(I305,$U:$V,2,0)</f>
        <v>#N/A</v>
      </c>
      <c r="M305" s="1" t="e">
        <f>VLOOKUP(J305,$X:$Y,2,0)</f>
        <v>#N/A</v>
      </c>
      <c r="N305" s="1" t="e">
        <f>VLOOKUP(K305,$AA:$AB,2,0)</f>
        <v>#N/A</v>
      </c>
      <c r="O305" s="1">
        <f>IF(A305&lt;&gt;"",N305+M305+L305+F305+G305+H305,0)</f>
        <v>0</v>
      </c>
    </row>
    <row r="306" spans="1:15" x14ac:dyDescent="0.25">
      <c r="A306"/>
      <c r="B306"/>
      <c r="C306" s="1" t="str">
        <f>MID(A306,1,2)</f>
        <v/>
      </c>
      <c r="D306" s="1" t="str">
        <f>MID(B306,3,2)</f>
        <v/>
      </c>
      <c r="E306" s="1" t="str">
        <f>CONCATENATE(I306,K306)</f>
        <v/>
      </c>
      <c r="F306" s="1" t="e">
        <f>VLOOKUP(I306,$U$23:$AL$40,MATCH(J306,$U$23:$AL$23,0),FALSE)</f>
        <v>#N/A</v>
      </c>
      <c r="G306" s="1" t="e">
        <f>VLOOKUP(J306,$U$23:$AL$40,MATCH(K306,$U$23:$AL$23,0),FALSE)</f>
        <v>#N/A</v>
      </c>
      <c r="H306" s="1" t="e">
        <f>VLOOKUP(I306,$U$23:$AL$40,MATCH(K306,$U$23:$AL$23,0),FALSE)</f>
        <v>#N/A</v>
      </c>
      <c r="I306" s="1" t="str">
        <f>MID(A306,1,1)</f>
        <v/>
      </c>
      <c r="J306" s="1" t="str">
        <f>MID(A306,2,1)</f>
        <v/>
      </c>
      <c r="K306" s="1" t="str">
        <f>MID(A306,4,1)</f>
        <v/>
      </c>
      <c r="L306" s="1" t="e">
        <f>VLOOKUP(I306,$U:$V,2,0)</f>
        <v>#N/A</v>
      </c>
      <c r="M306" s="1" t="e">
        <f>VLOOKUP(J306,$X:$Y,2,0)</f>
        <v>#N/A</v>
      </c>
      <c r="N306" s="1" t="e">
        <f>VLOOKUP(K306,$AA:$AB,2,0)</f>
        <v>#N/A</v>
      </c>
      <c r="O306" s="1">
        <f>IF(A306&lt;&gt;"",N306+M306+L306+F306+G306+H306,0)</f>
        <v>0</v>
      </c>
    </row>
    <row r="307" spans="1:15" x14ac:dyDescent="0.25">
      <c r="A307"/>
      <c r="B307"/>
      <c r="C307" s="1" t="str">
        <f>MID(A307,1,2)</f>
        <v/>
      </c>
      <c r="D307" s="1" t="str">
        <f>MID(B307,3,2)</f>
        <v/>
      </c>
      <c r="E307" s="1" t="str">
        <f>CONCATENATE(I307,K307)</f>
        <v/>
      </c>
      <c r="F307" s="1" t="e">
        <f>VLOOKUP(I307,$U$23:$AL$40,MATCH(J307,$U$23:$AL$23,0),FALSE)</f>
        <v>#N/A</v>
      </c>
      <c r="G307" s="1" t="e">
        <f>VLOOKUP(J307,$U$23:$AL$40,MATCH(K307,$U$23:$AL$23,0),FALSE)</f>
        <v>#N/A</v>
      </c>
      <c r="H307" s="1" t="e">
        <f>VLOOKUP(I307,$U$23:$AL$40,MATCH(K307,$U$23:$AL$23,0),FALSE)</f>
        <v>#N/A</v>
      </c>
      <c r="I307" s="1" t="str">
        <f>MID(A307,1,1)</f>
        <v/>
      </c>
      <c r="J307" s="1" t="str">
        <f>MID(A307,2,1)</f>
        <v/>
      </c>
      <c r="K307" s="1" t="str">
        <f>MID(A307,4,1)</f>
        <v/>
      </c>
      <c r="L307" s="1" t="e">
        <f>VLOOKUP(I307,$U:$V,2,0)</f>
        <v>#N/A</v>
      </c>
      <c r="M307" s="1" t="e">
        <f>VLOOKUP(J307,$X:$Y,2,0)</f>
        <v>#N/A</v>
      </c>
      <c r="N307" s="1" t="e">
        <f>VLOOKUP(K307,$AA:$AB,2,0)</f>
        <v>#N/A</v>
      </c>
      <c r="O307" s="1">
        <f>IF(A307&lt;&gt;"",N307+M307+L307+F307+G307+H307,0)</f>
        <v>0</v>
      </c>
    </row>
    <row r="308" spans="1:15" x14ac:dyDescent="0.25">
      <c r="A308"/>
      <c r="B308"/>
      <c r="C308" s="1" t="str">
        <f>MID(A308,1,2)</f>
        <v/>
      </c>
      <c r="D308" s="1" t="str">
        <f>MID(B308,3,2)</f>
        <v/>
      </c>
      <c r="E308" s="1" t="str">
        <f>CONCATENATE(I308,K308)</f>
        <v/>
      </c>
      <c r="F308" s="1" t="e">
        <f>VLOOKUP(I308,$U$23:$AL$40,MATCH(J308,$U$23:$AL$23,0),FALSE)</f>
        <v>#N/A</v>
      </c>
      <c r="G308" s="1" t="e">
        <f>VLOOKUP(J308,$U$23:$AL$40,MATCH(K308,$U$23:$AL$23,0),FALSE)</f>
        <v>#N/A</v>
      </c>
      <c r="H308" s="1" t="e">
        <f>VLOOKUP(I308,$U$23:$AL$40,MATCH(K308,$U$23:$AL$23,0),FALSE)</f>
        <v>#N/A</v>
      </c>
      <c r="I308" s="1" t="str">
        <f>MID(A308,1,1)</f>
        <v/>
      </c>
      <c r="J308" s="1" t="str">
        <f>MID(A308,2,1)</f>
        <v/>
      </c>
      <c r="K308" s="1" t="str">
        <f>MID(A308,4,1)</f>
        <v/>
      </c>
      <c r="L308" s="1" t="e">
        <f>VLOOKUP(I308,$U:$V,2,0)</f>
        <v>#N/A</v>
      </c>
      <c r="M308" s="1" t="e">
        <f>VLOOKUP(J308,$X:$Y,2,0)</f>
        <v>#N/A</v>
      </c>
      <c r="N308" s="1" t="e">
        <f>VLOOKUP(K308,$AA:$AB,2,0)</f>
        <v>#N/A</v>
      </c>
      <c r="O308" s="1">
        <f>IF(A308&lt;&gt;"",N308+M308+L308+F308+G308+H308,0)</f>
        <v>0</v>
      </c>
    </row>
    <row r="309" spans="1:15" x14ac:dyDescent="0.25">
      <c r="A309"/>
      <c r="B309"/>
      <c r="C309" s="1" t="str">
        <f>MID(A309,1,2)</f>
        <v/>
      </c>
      <c r="D309" s="1" t="str">
        <f>MID(B309,3,2)</f>
        <v/>
      </c>
      <c r="E309" s="1" t="str">
        <f>CONCATENATE(I309,K309)</f>
        <v/>
      </c>
      <c r="F309" s="1" t="e">
        <f>VLOOKUP(I309,$U$23:$AL$40,MATCH(J309,$U$23:$AL$23,0),FALSE)</f>
        <v>#N/A</v>
      </c>
      <c r="G309" s="1" t="e">
        <f>VLOOKUP(J309,$U$23:$AL$40,MATCH(K309,$U$23:$AL$23,0),FALSE)</f>
        <v>#N/A</v>
      </c>
      <c r="H309" s="1" t="e">
        <f>VLOOKUP(I309,$U$23:$AL$40,MATCH(K309,$U$23:$AL$23,0),FALSE)</f>
        <v>#N/A</v>
      </c>
      <c r="I309" s="1" t="str">
        <f>MID(A309,1,1)</f>
        <v/>
      </c>
      <c r="J309" s="1" t="str">
        <f>MID(A309,2,1)</f>
        <v/>
      </c>
      <c r="K309" s="1" t="str">
        <f>MID(A309,4,1)</f>
        <v/>
      </c>
      <c r="L309" s="1" t="e">
        <f>VLOOKUP(I309,$U:$V,2,0)</f>
        <v>#N/A</v>
      </c>
      <c r="M309" s="1" t="e">
        <f>VLOOKUP(J309,$X:$Y,2,0)</f>
        <v>#N/A</v>
      </c>
      <c r="N309" s="1" t="e">
        <f>VLOOKUP(K309,$AA:$AB,2,0)</f>
        <v>#N/A</v>
      </c>
      <c r="O309" s="1">
        <f>IF(A309&lt;&gt;"",N309+M309+L309+F309+G309+H309,0)</f>
        <v>0</v>
      </c>
    </row>
    <row r="310" spans="1:15" x14ac:dyDescent="0.25">
      <c r="A310"/>
      <c r="B310"/>
      <c r="C310" s="1" t="str">
        <f>MID(A310,1,2)</f>
        <v/>
      </c>
      <c r="D310" s="1" t="str">
        <f>MID(B310,3,2)</f>
        <v/>
      </c>
      <c r="E310" s="1" t="str">
        <f>CONCATENATE(I310,K310)</f>
        <v/>
      </c>
      <c r="F310" s="1" t="e">
        <f>VLOOKUP(I310,$U$23:$AL$40,MATCH(J310,$U$23:$AL$23,0),FALSE)</f>
        <v>#N/A</v>
      </c>
      <c r="G310" s="1" t="e">
        <f>VLOOKUP(J310,$U$23:$AL$40,MATCH(K310,$U$23:$AL$23,0),FALSE)</f>
        <v>#N/A</v>
      </c>
      <c r="H310" s="1" t="e">
        <f>VLOOKUP(I310,$U$23:$AL$40,MATCH(K310,$U$23:$AL$23,0),FALSE)</f>
        <v>#N/A</v>
      </c>
      <c r="I310" s="1" t="str">
        <f>MID(A310,1,1)</f>
        <v/>
      </c>
      <c r="J310" s="1" t="str">
        <f>MID(A310,2,1)</f>
        <v/>
      </c>
      <c r="K310" s="1" t="str">
        <f>MID(A310,4,1)</f>
        <v/>
      </c>
      <c r="L310" s="1" t="e">
        <f>VLOOKUP(I310,$U:$V,2,0)</f>
        <v>#N/A</v>
      </c>
      <c r="M310" s="1" t="e">
        <f>VLOOKUP(J310,$X:$Y,2,0)</f>
        <v>#N/A</v>
      </c>
      <c r="N310" s="1" t="e">
        <f>VLOOKUP(K310,$AA:$AB,2,0)</f>
        <v>#N/A</v>
      </c>
      <c r="O310" s="1">
        <f>IF(A310&lt;&gt;"",N310+M310+L310+F310+G310+H310,0)</f>
        <v>0</v>
      </c>
    </row>
    <row r="311" spans="1:15" x14ac:dyDescent="0.25">
      <c r="A311"/>
      <c r="B311"/>
      <c r="C311" s="1" t="str">
        <f>MID(A311,1,2)</f>
        <v/>
      </c>
      <c r="D311" s="1" t="str">
        <f>MID(B311,3,2)</f>
        <v/>
      </c>
      <c r="E311" s="1" t="str">
        <f>CONCATENATE(I311,K311)</f>
        <v/>
      </c>
      <c r="F311" s="1" t="e">
        <f>VLOOKUP(I311,$U$23:$AL$40,MATCH(J311,$U$23:$AL$23,0),FALSE)</f>
        <v>#N/A</v>
      </c>
      <c r="G311" s="1" t="e">
        <f>VLOOKUP(J311,$U$23:$AL$40,MATCH(K311,$U$23:$AL$23,0),FALSE)</f>
        <v>#N/A</v>
      </c>
      <c r="H311" s="1" t="e">
        <f>VLOOKUP(I311,$U$23:$AL$40,MATCH(K311,$U$23:$AL$23,0),FALSE)</f>
        <v>#N/A</v>
      </c>
      <c r="I311" s="1" t="str">
        <f>MID(A311,1,1)</f>
        <v/>
      </c>
      <c r="J311" s="1" t="str">
        <f>MID(A311,2,1)</f>
        <v/>
      </c>
      <c r="K311" s="1" t="str">
        <f>MID(A311,4,1)</f>
        <v/>
      </c>
      <c r="L311" s="1" t="e">
        <f>VLOOKUP(I311,$U:$V,2,0)</f>
        <v>#N/A</v>
      </c>
      <c r="M311" s="1" t="e">
        <f>VLOOKUP(J311,$X:$Y,2,0)</f>
        <v>#N/A</v>
      </c>
      <c r="N311" s="1" t="e">
        <f>VLOOKUP(K311,$AA:$AB,2,0)</f>
        <v>#N/A</v>
      </c>
      <c r="O311" s="1">
        <f>IF(A311&lt;&gt;"",N311+M311+L311+F311+G311+H311,0)</f>
        <v>0</v>
      </c>
    </row>
    <row r="312" spans="1:15" x14ac:dyDescent="0.25">
      <c r="A312"/>
      <c r="B312"/>
      <c r="C312" s="1" t="str">
        <f>MID(A312,1,2)</f>
        <v/>
      </c>
      <c r="D312" s="1" t="str">
        <f>MID(B312,3,2)</f>
        <v/>
      </c>
      <c r="E312" s="1" t="str">
        <f>CONCATENATE(I312,K312)</f>
        <v/>
      </c>
      <c r="F312" s="1" t="e">
        <f>VLOOKUP(I312,$U$23:$AL$40,MATCH(J312,$U$23:$AL$23,0),FALSE)</f>
        <v>#N/A</v>
      </c>
      <c r="G312" s="1" t="e">
        <f>VLOOKUP(J312,$U$23:$AL$40,MATCH(K312,$U$23:$AL$23,0),FALSE)</f>
        <v>#N/A</v>
      </c>
      <c r="H312" s="1" t="e">
        <f>VLOOKUP(I312,$U$23:$AL$40,MATCH(K312,$U$23:$AL$23,0),FALSE)</f>
        <v>#N/A</v>
      </c>
      <c r="I312" s="1" t="str">
        <f>MID(A312,1,1)</f>
        <v/>
      </c>
      <c r="J312" s="1" t="str">
        <f>MID(A312,2,1)</f>
        <v/>
      </c>
      <c r="K312" s="1" t="str">
        <f>MID(A312,4,1)</f>
        <v/>
      </c>
      <c r="L312" s="1" t="e">
        <f>VLOOKUP(I312,$U:$V,2,0)</f>
        <v>#N/A</v>
      </c>
      <c r="M312" s="1" t="e">
        <f>VLOOKUP(J312,$X:$Y,2,0)</f>
        <v>#N/A</v>
      </c>
      <c r="N312" s="1" t="e">
        <f>VLOOKUP(K312,$AA:$AB,2,0)</f>
        <v>#N/A</v>
      </c>
      <c r="O312" s="1">
        <f>IF(A312&lt;&gt;"",N312+M312+L312+F312+G312+H312,0)</f>
        <v>0</v>
      </c>
    </row>
    <row r="313" spans="1:15" x14ac:dyDescent="0.25">
      <c r="A313"/>
      <c r="B313"/>
      <c r="C313" s="1" t="str">
        <f>MID(A313,1,2)</f>
        <v/>
      </c>
      <c r="D313" s="1" t="str">
        <f>MID(B313,3,2)</f>
        <v/>
      </c>
      <c r="E313" s="1" t="str">
        <f>CONCATENATE(I313,K313)</f>
        <v/>
      </c>
      <c r="F313" s="1" t="e">
        <f>VLOOKUP(I313,$U$23:$AL$40,MATCH(J313,$U$23:$AL$23,0),FALSE)</f>
        <v>#N/A</v>
      </c>
      <c r="G313" s="1" t="e">
        <f>VLOOKUP(J313,$U$23:$AL$40,MATCH(K313,$U$23:$AL$23,0),FALSE)</f>
        <v>#N/A</v>
      </c>
      <c r="H313" s="1" t="e">
        <f>VLOOKUP(I313,$U$23:$AL$40,MATCH(K313,$U$23:$AL$23,0),FALSE)</f>
        <v>#N/A</v>
      </c>
      <c r="I313" s="1" t="str">
        <f>MID(A313,1,1)</f>
        <v/>
      </c>
      <c r="J313" s="1" t="str">
        <f>MID(A313,2,1)</f>
        <v/>
      </c>
      <c r="K313" s="1" t="str">
        <f>MID(A313,4,1)</f>
        <v/>
      </c>
      <c r="L313" s="1" t="e">
        <f>VLOOKUP(I313,$U:$V,2,0)</f>
        <v>#N/A</v>
      </c>
      <c r="M313" s="1" t="e">
        <f>VLOOKUP(J313,$X:$Y,2,0)</f>
        <v>#N/A</v>
      </c>
      <c r="N313" s="1" t="e">
        <f>VLOOKUP(K313,$AA:$AB,2,0)</f>
        <v>#N/A</v>
      </c>
      <c r="O313" s="1">
        <f>IF(A313&lt;&gt;"",N313+M313+L313+F313+G313+H313,0)</f>
        <v>0</v>
      </c>
    </row>
    <row r="314" spans="1:15" x14ac:dyDescent="0.25">
      <c r="A314"/>
      <c r="B314"/>
      <c r="C314" s="1" t="str">
        <f>MID(A314,1,2)</f>
        <v/>
      </c>
      <c r="D314" s="1" t="str">
        <f>MID(B314,3,2)</f>
        <v/>
      </c>
      <c r="E314" s="1" t="str">
        <f>CONCATENATE(I314,K314)</f>
        <v/>
      </c>
      <c r="F314" s="1" t="e">
        <f>VLOOKUP(I314,$U$23:$AL$40,MATCH(J314,$U$23:$AL$23,0),FALSE)</f>
        <v>#N/A</v>
      </c>
      <c r="G314" s="1" t="e">
        <f>VLOOKUP(J314,$U$23:$AL$40,MATCH(K314,$U$23:$AL$23,0),FALSE)</f>
        <v>#N/A</v>
      </c>
      <c r="H314" s="1" t="e">
        <f>VLOOKUP(I314,$U$23:$AL$40,MATCH(K314,$U$23:$AL$23,0),FALSE)</f>
        <v>#N/A</v>
      </c>
      <c r="I314" s="1" t="str">
        <f>MID(A314,1,1)</f>
        <v/>
      </c>
      <c r="J314" s="1" t="str">
        <f>MID(A314,2,1)</f>
        <v/>
      </c>
      <c r="K314" s="1" t="str">
        <f>MID(A314,4,1)</f>
        <v/>
      </c>
      <c r="L314" s="1" t="e">
        <f>VLOOKUP(I314,$U:$V,2,0)</f>
        <v>#N/A</v>
      </c>
      <c r="M314" s="1" t="e">
        <f>VLOOKUP(J314,$X:$Y,2,0)</f>
        <v>#N/A</v>
      </c>
      <c r="N314" s="1" t="e">
        <f>VLOOKUP(K314,$AA:$AB,2,0)</f>
        <v>#N/A</v>
      </c>
      <c r="O314" s="1">
        <f>IF(A314&lt;&gt;"",N314+M314+L314+F314+G314+H314,0)</f>
        <v>0</v>
      </c>
    </row>
    <row r="315" spans="1:15" x14ac:dyDescent="0.25">
      <c r="A315"/>
      <c r="B315"/>
      <c r="C315" s="1" t="str">
        <f>MID(A315,1,2)</f>
        <v/>
      </c>
      <c r="D315" s="1" t="str">
        <f>MID(B315,3,2)</f>
        <v/>
      </c>
      <c r="E315" s="1" t="str">
        <f>CONCATENATE(I315,K315)</f>
        <v/>
      </c>
      <c r="F315" s="1" t="e">
        <f>VLOOKUP(I315,$U$23:$AL$40,MATCH(J315,$U$23:$AL$23,0),FALSE)</f>
        <v>#N/A</v>
      </c>
      <c r="G315" s="1" t="e">
        <f>VLOOKUP(J315,$U$23:$AL$40,MATCH(K315,$U$23:$AL$23,0),FALSE)</f>
        <v>#N/A</v>
      </c>
      <c r="H315" s="1" t="e">
        <f>VLOOKUP(I315,$U$23:$AL$40,MATCH(K315,$U$23:$AL$23,0),FALSE)</f>
        <v>#N/A</v>
      </c>
      <c r="I315" s="1" t="str">
        <f>MID(A315,1,1)</f>
        <v/>
      </c>
      <c r="J315" s="1" t="str">
        <f>MID(A315,2,1)</f>
        <v/>
      </c>
      <c r="K315" s="1" t="str">
        <f>MID(A315,4,1)</f>
        <v/>
      </c>
      <c r="L315" s="1" t="e">
        <f>VLOOKUP(I315,$U:$V,2,0)</f>
        <v>#N/A</v>
      </c>
      <c r="M315" s="1" t="e">
        <f>VLOOKUP(J315,$X:$Y,2,0)</f>
        <v>#N/A</v>
      </c>
      <c r="N315" s="1" t="e">
        <f>VLOOKUP(K315,$AA:$AB,2,0)</f>
        <v>#N/A</v>
      </c>
      <c r="O315" s="1">
        <f>IF(A315&lt;&gt;"",N315+M315+L315+F315+G315+H315,0)</f>
        <v>0</v>
      </c>
    </row>
    <row r="316" spans="1:15" x14ac:dyDescent="0.25">
      <c r="A316"/>
      <c r="B316"/>
      <c r="C316" s="1" t="str">
        <f>MID(A316,1,2)</f>
        <v/>
      </c>
      <c r="D316" s="1" t="str">
        <f>MID(B316,3,2)</f>
        <v/>
      </c>
      <c r="E316" s="1" t="str">
        <f>CONCATENATE(I316,K316)</f>
        <v/>
      </c>
      <c r="F316" s="1" t="e">
        <f>VLOOKUP(I316,$U$23:$AL$40,MATCH(J316,$U$23:$AL$23,0),FALSE)</f>
        <v>#N/A</v>
      </c>
      <c r="G316" s="1" t="e">
        <f>VLOOKUP(J316,$U$23:$AL$40,MATCH(K316,$U$23:$AL$23,0),FALSE)</f>
        <v>#N/A</v>
      </c>
      <c r="H316" s="1" t="e">
        <f>VLOOKUP(I316,$U$23:$AL$40,MATCH(K316,$U$23:$AL$23,0),FALSE)</f>
        <v>#N/A</v>
      </c>
      <c r="I316" s="1" t="str">
        <f>MID(A316,1,1)</f>
        <v/>
      </c>
      <c r="J316" s="1" t="str">
        <f>MID(A316,2,1)</f>
        <v/>
      </c>
      <c r="K316" s="1" t="str">
        <f>MID(A316,4,1)</f>
        <v/>
      </c>
      <c r="L316" s="1" t="e">
        <f>VLOOKUP(I316,$U:$V,2,0)</f>
        <v>#N/A</v>
      </c>
      <c r="M316" s="1" t="e">
        <f>VLOOKUP(J316,$X:$Y,2,0)</f>
        <v>#N/A</v>
      </c>
      <c r="N316" s="1" t="e">
        <f>VLOOKUP(K316,$AA:$AB,2,0)</f>
        <v>#N/A</v>
      </c>
      <c r="O316" s="1">
        <f>IF(A316&lt;&gt;"",N316+M316+L316+F316+G316+H316,0)</f>
        <v>0</v>
      </c>
    </row>
    <row r="317" spans="1:15" x14ac:dyDescent="0.25">
      <c r="A317"/>
      <c r="B317"/>
      <c r="C317" s="1" t="str">
        <f>MID(A317,1,2)</f>
        <v/>
      </c>
      <c r="D317" s="1" t="str">
        <f>MID(B317,3,2)</f>
        <v/>
      </c>
      <c r="E317" s="1" t="str">
        <f>CONCATENATE(I317,K317)</f>
        <v/>
      </c>
      <c r="F317" s="1" t="e">
        <f>VLOOKUP(I317,$U$23:$AL$40,MATCH(J317,$U$23:$AL$23,0),FALSE)</f>
        <v>#N/A</v>
      </c>
      <c r="G317" s="1" t="e">
        <f>VLOOKUP(J317,$U$23:$AL$40,MATCH(K317,$U$23:$AL$23,0),FALSE)</f>
        <v>#N/A</v>
      </c>
      <c r="H317" s="1" t="e">
        <f>VLOOKUP(I317,$U$23:$AL$40,MATCH(K317,$U$23:$AL$23,0),FALSE)</f>
        <v>#N/A</v>
      </c>
      <c r="I317" s="1" t="str">
        <f>MID(A317,1,1)</f>
        <v/>
      </c>
      <c r="J317" s="1" t="str">
        <f>MID(A317,2,1)</f>
        <v/>
      </c>
      <c r="K317" s="1" t="str">
        <f>MID(A317,4,1)</f>
        <v/>
      </c>
      <c r="L317" s="1" t="e">
        <f>VLOOKUP(I317,$U:$V,2,0)</f>
        <v>#N/A</v>
      </c>
      <c r="M317" s="1" t="e">
        <f>VLOOKUP(J317,$X:$Y,2,0)</f>
        <v>#N/A</v>
      </c>
      <c r="N317" s="1" t="e">
        <f>VLOOKUP(K317,$AA:$AB,2,0)</f>
        <v>#N/A</v>
      </c>
      <c r="O317" s="1">
        <f>IF(A317&lt;&gt;"",N317+M317+L317+F317+G317+H317,0)</f>
        <v>0</v>
      </c>
    </row>
    <row r="318" spans="1:15" x14ac:dyDescent="0.25">
      <c r="A318"/>
      <c r="B318"/>
      <c r="C318" s="1" t="str">
        <f>MID(A318,1,2)</f>
        <v/>
      </c>
      <c r="D318" s="1" t="str">
        <f>MID(B318,3,2)</f>
        <v/>
      </c>
      <c r="E318" s="1" t="str">
        <f>CONCATENATE(I318,K318)</f>
        <v/>
      </c>
      <c r="F318" s="1" t="e">
        <f>VLOOKUP(I318,$U$23:$AL$40,MATCH(J318,$U$23:$AL$23,0),FALSE)</f>
        <v>#N/A</v>
      </c>
      <c r="G318" s="1" t="e">
        <f>VLOOKUP(J318,$U$23:$AL$40,MATCH(K318,$U$23:$AL$23,0),FALSE)</f>
        <v>#N/A</v>
      </c>
      <c r="H318" s="1" t="e">
        <f>VLOOKUP(I318,$U$23:$AL$40,MATCH(K318,$U$23:$AL$23,0),FALSE)</f>
        <v>#N/A</v>
      </c>
      <c r="I318" s="1" t="str">
        <f>MID(A318,1,1)</f>
        <v/>
      </c>
      <c r="J318" s="1" t="str">
        <f>MID(A318,2,1)</f>
        <v/>
      </c>
      <c r="K318" s="1" t="str">
        <f>MID(A318,4,1)</f>
        <v/>
      </c>
      <c r="L318" s="1" t="e">
        <f>VLOOKUP(I318,$U:$V,2,0)</f>
        <v>#N/A</v>
      </c>
      <c r="M318" s="1" t="e">
        <f>VLOOKUP(J318,$X:$Y,2,0)</f>
        <v>#N/A</v>
      </c>
      <c r="N318" s="1" t="e">
        <f>VLOOKUP(K318,$AA:$AB,2,0)</f>
        <v>#N/A</v>
      </c>
      <c r="O318" s="1">
        <f>IF(A318&lt;&gt;"",N318+M318+L318+F318+G318+H318,0)</f>
        <v>0</v>
      </c>
    </row>
    <row r="319" spans="1:15" x14ac:dyDescent="0.25">
      <c r="A319"/>
      <c r="B319"/>
      <c r="C319" s="1" t="str">
        <f>MID(A319,1,2)</f>
        <v/>
      </c>
      <c r="D319" s="1" t="str">
        <f>MID(B319,3,2)</f>
        <v/>
      </c>
      <c r="E319" s="1" t="str">
        <f>CONCATENATE(I319,K319)</f>
        <v/>
      </c>
      <c r="F319" s="1" t="e">
        <f>VLOOKUP(I319,$U$23:$AL$40,MATCH(J319,$U$23:$AL$23,0),FALSE)</f>
        <v>#N/A</v>
      </c>
      <c r="G319" s="1" t="e">
        <f>VLOOKUP(J319,$U$23:$AL$40,MATCH(K319,$U$23:$AL$23,0),FALSE)</f>
        <v>#N/A</v>
      </c>
      <c r="H319" s="1" t="e">
        <f>VLOOKUP(I319,$U$23:$AL$40,MATCH(K319,$U$23:$AL$23,0),FALSE)</f>
        <v>#N/A</v>
      </c>
      <c r="I319" s="1" t="str">
        <f>MID(A319,1,1)</f>
        <v/>
      </c>
      <c r="J319" s="1" t="str">
        <f>MID(A319,2,1)</f>
        <v/>
      </c>
      <c r="K319" s="1" t="str">
        <f>MID(A319,4,1)</f>
        <v/>
      </c>
      <c r="L319" s="1" t="e">
        <f>VLOOKUP(I319,$U:$V,2,0)</f>
        <v>#N/A</v>
      </c>
      <c r="M319" s="1" t="e">
        <f>VLOOKUP(J319,$X:$Y,2,0)</f>
        <v>#N/A</v>
      </c>
      <c r="N319" s="1" t="e">
        <f>VLOOKUP(K319,$AA:$AB,2,0)</f>
        <v>#N/A</v>
      </c>
      <c r="O319" s="1">
        <f>IF(A319&lt;&gt;"",N319+M319+L319+F319+G319+H319,0)</f>
        <v>0</v>
      </c>
    </row>
    <row r="320" spans="1:15" x14ac:dyDescent="0.25">
      <c r="A320"/>
      <c r="B320"/>
      <c r="C320" s="1" t="str">
        <f>MID(A320,1,2)</f>
        <v/>
      </c>
      <c r="D320" s="1" t="str">
        <f>MID(B320,3,2)</f>
        <v/>
      </c>
      <c r="E320" s="1" t="str">
        <f>CONCATENATE(I320,K320)</f>
        <v/>
      </c>
      <c r="F320" s="1" t="e">
        <f>VLOOKUP(I320,$U$23:$AL$40,MATCH(J320,$U$23:$AL$23,0),FALSE)</f>
        <v>#N/A</v>
      </c>
      <c r="G320" s="1" t="e">
        <f>VLOOKUP(J320,$U$23:$AL$40,MATCH(K320,$U$23:$AL$23,0),FALSE)</f>
        <v>#N/A</v>
      </c>
      <c r="H320" s="1" t="e">
        <f>VLOOKUP(I320,$U$23:$AL$40,MATCH(K320,$U$23:$AL$23,0),FALSE)</f>
        <v>#N/A</v>
      </c>
      <c r="I320" s="1" t="str">
        <f>MID(A320,1,1)</f>
        <v/>
      </c>
      <c r="J320" s="1" t="str">
        <f>MID(A320,2,1)</f>
        <v/>
      </c>
      <c r="K320" s="1" t="str">
        <f>MID(A320,4,1)</f>
        <v/>
      </c>
      <c r="L320" s="1" t="e">
        <f>VLOOKUP(I320,$U:$V,2,0)</f>
        <v>#N/A</v>
      </c>
      <c r="M320" s="1" t="e">
        <f>VLOOKUP(J320,$X:$Y,2,0)</f>
        <v>#N/A</v>
      </c>
      <c r="N320" s="1" t="e">
        <f>VLOOKUP(K320,$AA:$AB,2,0)</f>
        <v>#N/A</v>
      </c>
      <c r="O320" s="1">
        <f>IF(A320&lt;&gt;"",N320+M320+L320+F320+G320+H320,0)</f>
        <v>0</v>
      </c>
    </row>
    <row r="321" spans="1:15" x14ac:dyDescent="0.25">
      <c r="A321"/>
      <c r="B321"/>
      <c r="C321" s="1" t="str">
        <f>MID(A321,1,2)</f>
        <v/>
      </c>
      <c r="D321" s="1" t="str">
        <f>MID(B321,3,2)</f>
        <v/>
      </c>
      <c r="E321" s="1" t="str">
        <f>CONCATENATE(I321,K321)</f>
        <v/>
      </c>
      <c r="F321" s="1" t="e">
        <f>VLOOKUP(I321,$U$23:$AL$40,MATCH(J321,$U$23:$AL$23,0),FALSE)</f>
        <v>#N/A</v>
      </c>
      <c r="G321" s="1" t="e">
        <f>VLOOKUP(J321,$U$23:$AL$40,MATCH(K321,$U$23:$AL$23,0),FALSE)</f>
        <v>#N/A</v>
      </c>
      <c r="H321" s="1" t="e">
        <f>VLOOKUP(I321,$U$23:$AL$40,MATCH(K321,$U$23:$AL$23,0),FALSE)</f>
        <v>#N/A</v>
      </c>
      <c r="I321" s="1" t="str">
        <f>MID(A321,1,1)</f>
        <v/>
      </c>
      <c r="J321" s="1" t="str">
        <f>MID(A321,2,1)</f>
        <v/>
      </c>
      <c r="K321" s="1" t="str">
        <f>MID(A321,4,1)</f>
        <v/>
      </c>
      <c r="L321" s="1" t="e">
        <f>VLOOKUP(I321,$U:$V,2,0)</f>
        <v>#N/A</v>
      </c>
      <c r="M321" s="1" t="e">
        <f>VLOOKUP(J321,$X:$Y,2,0)</f>
        <v>#N/A</v>
      </c>
      <c r="N321" s="1" t="e">
        <f>VLOOKUP(K321,$AA:$AB,2,0)</f>
        <v>#N/A</v>
      </c>
      <c r="O321" s="1">
        <f>IF(A321&lt;&gt;"",N321+M321+L321+F321+G321+H321,0)</f>
        <v>0</v>
      </c>
    </row>
    <row r="322" spans="1:15" x14ac:dyDescent="0.25">
      <c r="A322"/>
      <c r="B322"/>
      <c r="C322" s="1" t="str">
        <f>MID(A322,1,2)</f>
        <v/>
      </c>
      <c r="D322" s="1" t="str">
        <f>MID(B322,3,2)</f>
        <v/>
      </c>
      <c r="E322" s="1" t="str">
        <f>CONCATENATE(I322,K322)</f>
        <v/>
      </c>
      <c r="F322" s="1" t="e">
        <f>VLOOKUP(I322,$U$23:$AL$40,MATCH(J322,$U$23:$AL$23,0),FALSE)</f>
        <v>#N/A</v>
      </c>
      <c r="G322" s="1" t="e">
        <f>VLOOKUP(J322,$U$23:$AL$40,MATCH(K322,$U$23:$AL$23,0),FALSE)</f>
        <v>#N/A</v>
      </c>
      <c r="H322" s="1" t="e">
        <f>VLOOKUP(I322,$U$23:$AL$40,MATCH(K322,$U$23:$AL$23,0),FALSE)</f>
        <v>#N/A</v>
      </c>
      <c r="I322" s="1" t="str">
        <f>MID(A322,1,1)</f>
        <v/>
      </c>
      <c r="J322" s="1" t="str">
        <f>MID(A322,2,1)</f>
        <v/>
      </c>
      <c r="K322" s="1" t="str">
        <f>MID(A322,4,1)</f>
        <v/>
      </c>
      <c r="L322" s="1" t="e">
        <f>VLOOKUP(I322,$U:$V,2,0)</f>
        <v>#N/A</v>
      </c>
      <c r="M322" s="1" t="e">
        <f>VLOOKUP(J322,$X:$Y,2,0)</f>
        <v>#N/A</v>
      </c>
      <c r="N322" s="1" t="e">
        <f>VLOOKUP(K322,$AA:$AB,2,0)</f>
        <v>#N/A</v>
      </c>
      <c r="O322" s="1">
        <f>IF(A322&lt;&gt;"",N322+M322+L322+F322+G322+H322,0)</f>
        <v>0</v>
      </c>
    </row>
    <row r="323" spans="1:15" x14ac:dyDescent="0.25">
      <c r="A323"/>
      <c r="B323"/>
      <c r="C323" s="1" t="str">
        <f>MID(A323,1,2)</f>
        <v/>
      </c>
      <c r="D323" s="1" t="str">
        <f>MID(B323,3,2)</f>
        <v/>
      </c>
      <c r="E323" s="1" t="str">
        <f>CONCATENATE(I323,K323)</f>
        <v/>
      </c>
      <c r="F323" s="1" t="e">
        <f>VLOOKUP(I323,$U$23:$AL$40,MATCH(J323,$U$23:$AL$23,0),FALSE)</f>
        <v>#N/A</v>
      </c>
      <c r="G323" s="1" t="e">
        <f>VLOOKUP(J323,$U$23:$AL$40,MATCH(K323,$U$23:$AL$23,0),FALSE)</f>
        <v>#N/A</v>
      </c>
      <c r="H323" s="1" t="e">
        <f>VLOOKUP(I323,$U$23:$AL$40,MATCH(K323,$U$23:$AL$23,0),FALSE)</f>
        <v>#N/A</v>
      </c>
      <c r="I323" s="1" t="str">
        <f>MID(A323,1,1)</f>
        <v/>
      </c>
      <c r="J323" s="1" t="str">
        <f>MID(A323,2,1)</f>
        <v/>
      </c>
      <c r="K323" s="1" t="str">
        <f>MID(A323,4,1)</f>
        <v/>
      </c>
      <c r="L323" s="1" t="e">
        <f>VLOOKUP(I323,$U:$V,2,0)</f>
        <v>#N/A</v>
      </c>
      <c r="M323" s="1" t="e">
        <f>VLOOKUP(J323,$X:$Y,2,0)</f>
        <v>#N/A</v>
      </c>
      <c r="N323" s="1" t="e">
        <f>VLOOKUP(K323,$AA:$AB,2,0)</f>
        <v>#N/A</v>
      </c>
      <c r="O323" s="1">
        <f>IF(A323&lt;&gt;"",N323+M323+L323+F323+G323+H323,0)</f>
        <v>0</v>
      </c>
    </row>
    <row r="324" spans="1:15" x14ac:dyDescent="0.25">
      <c r="A324"/>
      <c r="B324"/>
      <c r="C324" s="1" t="str">
        <f>MID(A324,1,2)</f>
        <v/>
      </c>
      <c r="D324" s="1" t="str">
        <f>MID(B324,3,2)</f>
        <v/>
      </c>
      <c r="E324" s="1" t="str">
        <f>CONCATENATE(I324,K324)</f>
        <v/>
      </c>
      <c r="F324" s="1" t="e">
        <f>VLOOKUP(I324,$U$23:$AL$40,MATCH(J324,$U$23:$AL$23,0),FALSE)</f>
        <v>#N/A</v>
      </c>
      <c r="G324" s="1" t="e">
        <f>VLOOKUP(J324,$U$23:$AL$40,MATCH(K324,$U$23:$AL$23,0),FALSE)</f>
        <v>#N/A</v>
      </c>
      <c r="H324" s="1" t="e">
        <f>VLOOKUP(I324,$U$23:$AL$40,MATCH(K324,$U$23:$AL$23,0),FALSE)</f>
        <v>#N/A</v>
      </c>
      <c r="I324" s="1" t="str">
        <f>MID(A324,1,1)</f>
        <v/>
      </c>
      <c r="J324" s="1" t="str">
        <f>MID(A324,2,1)</f>
        <v/>
      </c>
      <c r="K324" s="1" t="str">
        <f>MID(A324,4,1)</f>
        <v/>
      </c>
      <c r="L324" s="1" t="e">
        <f>VLOOKUP(I324,$U:$V,2,0)</f>
        <v>#N/A</v>
      </c>
      <c r="M324" s="1" t="e">
        <f>VLOOKUP(J324,$X:$Y,2,0)</f>
        <v>#N/A</v>
      </c>
      <c r="N324" s="1" t="e">
        <f>VLOOKUP(K324,$AA:$AB,2,0)</f>
        <v>#N/A</v>
      </c>
      <c r="O324" s="1">
        <f>IF(A324&lt;&gt;"",N324+M324+L324+F324+G324+H324,0)</f>
        <v>0</v>
      </c>
    </row>
    <row r="325" spans="1:15" x14ac:dyDescent="0.25">
      <c r="A325"/>
      <c r="B325"/>
      <c r="C325" s="1" t="str">
        <f>MID(A325,1,2)</f>
        <v/>
      </c>
      <c r="D325" s="1" t="str">
        <f>MID(B325,3,2)</f>
        <v/>
      </c>
      <c r="E325" s="1" t="str">
        <f>CONCATENATE(I325,K325)</f>
        <v/>
      </c>
      <c r="F325" s="1" t="e">
        <f>VLOOKUP(I325,$U$23:$AL$40,MATCH(J325,$U$23:$AL$23,0),FALSE)</f>
        <v>#N/A</v>
      </c>
      <c r="G325" s="1" t="e">
        <f>VLOOKUP(J325,$U$23:$AL$40,MATCH(K325,$U$23:$AL$23,0),FALSE)</f>
        <v>#N/A</v>
      </c>
      <c r="H325" s="1" t="e">
        <f>VLOOKUP(I325,$U$23:$AL$40,MATCH(K325,$U$23:$AL$23,0),FALSE)</f>
        <v>#N/A</v>
      </c>
      <c r="I325" s="1" t="str">
        <f>MID(A325,1,1)</f>
        <v/>
      </c>
      <c r="J325" s="1" t="str">
        <f>MID(A325,2,1)</f>
        <v/>
      </c>
      <c r="K325" s="1" t="str">
        <f>MID(A325,4,1)</f>
        <v/>
      </c>
      <c r="L325" s="1" t="e">
        <f>VLOOKUP(I325,$U:$V,2,0)</f>
        <v>#N/A</v>
      </c>
      <c r="M325" s="1" t="e">
        <f>VLOOKUP(J325,$X:$Y,2,0)</f>
        <v>#N/A</v>
      </c>
      <c r="N325" s="1" t="e">
        <f>VLOOKUP(K325,$AA:$AB,2,0)</f>
        <v>#N/A</v>
      </c>
      <c r="O325" s="1">
        <f>IF(A325&lt;&gt;"",N325+M325+L325+F325+G325+H325,0)</f>
        <v>0</v>
      </c>
    </row>
    <row r="326" spans="1:15" x14ac:dyDescent="0.25">
      <c r="A326"/>
      <c r="B326"/>
      <c r="C326" s="1" t="str">
        <f>MID(A326,1,2)</f>
        <v/>
      </c>
      <c r="D326" s="1" t="str">
        <f>MID(B326,3,2)</f>
        <v/>
      </c>
      <c r="E326" s="1" t="str">
        <f>CONCATENATE(I326,K326)</f>
        <v/>
      </c>
      <c r="F326" s="1" t="e">
        <f>VLOOKUP(I326,$U$23:$AL$40,MATCH(J326,$U$23:$AL$23,0),FALSE)</f>
        <v>#N/A</v>
      </c>
      <c r="G326" s="1" t="e">
        <f>VLOOKUP(J326,$U$23:$AL$40,MATCH(K326,$U$23:$AL$23,0),FALSE)</f>
        <v>#N/A</v>
      </c>
      <c r="H326" s="1" t="e">
        <f>VLOOKUP(I326,$U$23:$AL$40,MATCH(K326,$U$23:$AL$23,0),FALSE)</f>
        <v>#N/A</v>
      </c>
      <c r="I326" s="1" t="str">
        <f>MID(A326,1,1)</f>
        <v/>
      </c>
      <c r="J326" s="1" t="str">
        <f>MID(A326,2,1)</f>
        <v/>
      </c>
      <c r="K326" s="1" t="str">
        <f>MID(A326,4,1)</f>
        <v/>
      </c>
      <c r="L326" s="1" t="e">
        <f>VLOOKUP(I326,$U:$V,2,0)</f>
        <v>#N/A</v>
      </c>
      <c r="M326" s="1" t="e">
        <f>VLOOKUP(J326,$X:$Y,2,0)</f>
        <v>#N/A</v>
      </c>
      <c r="N326" s="1" t="e">
        <f>VLOOKUP(K326,$AA:$AB,2,0)</f>
        <v>#N/A</v>
      </c>
      <c r="O326" s="1">
        <f>IF(A326&lt;&gt;"",N326+M326+L326+F326+G326+H326,0)</f>
        <v>0</v>
      </c>
    </row>
    <row r="327" spans="1:15" x14ac:dyDescent="0.25">
      <c r="A327"/>
      <c r="B327"/>
      <c r="C327" s="1" t="str">
        <f>MID(A327,1,2)</f>
        <v/>
      </c>
      <c r="D327" s="1" t="str">
        <f>MID(B327,3,2)</f>
        <v/>
      </c>
      <c r="E327" s="1" t="str">
        <f>CONCATENATE(I327,K327)</f>
        <v/>
      </c>
      <c r="F327" s="1" t="e">
        <f>VLOOKUP(I327,$U$23:$AL$40,MATCH(J327,$U$23:$AL$23,0),FALSE)</f>
        <v>#N/A</v>
      </c>
      <c r="G327" s="1" t="e">
        <f>VLOOKUP(J327,$U$23:$AL$40,MATCH(K327,$U$23:$AL$23,0),FALSE)</f>
        <v>#N/A</v>
      </c>
      <c r="H327" s="1" t="e">
        <f>VLOOKUP(I327,$U$23:$AL$40,MATCH(K327,$U$23:$AL$23,0),FALSE)</f>
        <v>#N/A</v>
      </c>
      <c r="I327" s="1" t="str">
        <f>MID(A327,1,1)</f>
        <v/>
      </c>
      <c r="J327" s="1" t="str">
        <f>MID(A327,2,1)</f>
        <v/>
      </c>
      <c r="K327" s="1" t="str">
        <f>MID(A327,4,1)</f>
        <v/>
      </c>
      <c r="L327" s="1" t="e">
        <f>VLOOKUP(I327,$U:$V,2,0)</f>
        <v>#N/A</v>
      </c>
      <c r="M327" s="1" t="e">
        <f>VLOOKUP(J327,$X:$Y,2,0)</f>
        <v>#N/A</v>
      </c>
      <c r="N327" s="1" t="e">
        <f>VLOOKUP(K327,$AA:$AB,2,0)</f>
        <v>#N/A</v>
      </c>
      <c r="O327" s="1">
        <f>IF(A327&lt;&gt;"",N327+M327+L327+F327+G327+H327,0)</f>
        <v>0</v>
      </c>
    </row>
    <row r="328" spans="1:15" x14ac:dyDescent="0.25">
      <c r="A328"/>
      <c r="B328"/>
      <c r="C328" s="1" t="str">
        <f>MID(A328,1,2)</f>
        <v/>
      </c>
      <c r="D328" s="1" t="str">
        <f>MID(B328,3,2)</f>
        <v/>
      </c>
      <c r="E328" s="1" t="str">
        <f>CONCATENATE(I328,K328)</f>
        <v/>
      </c>
      <c r="F328" s="1" t="e">
        <f>VLOOKUP(I328,$U$23:$AL$40,MATCH(J328,$U$23:$AL$23,0),FALSE)</f>
        <v>#N/A</v>
      </c>
      <c r="G328" s="1" t="e">
        <f>VLOOKUP(J328,$U$23:$AL$40,MATCH(K328,$U$23:$AL$23,0),FALSE)</f>
        <v>#N/A</v>
      </c>
      <c r="H328" s="1" t="e">
        <f>VLOOKUP(I328,$U$23:$AL$40,MATCH(K328,$U$23:$AL$23,0),FALSE)</f>
        <v>#N/A</v>
      </c>
      <c r="I328" s="1" t="str">
        <f>MID(A328,1,1)</f>
        <v/>
      </c>
      <c r="J328" s="1" t="str">
        <f>MID(A328,2,1)</f>
        <v/>
      </c>
      <c r="K328" s="1" t="str">
        <f>MID(A328,4,1)</f>
        <v/>
      </c>
      <c r="L328" s="1" t="e">
        <f>VLOOKUP(I328,$U:$V,2,0)</f>
        <v>#N/A</v>
      </c>
      <c r="M328" s="1" t="e">
        <f>VLOOKUP(J328,$X:$Y,2,0)</f>
        <v>#N/A</v>
      </c>
      <c r="N328" s="1" t="e">
        <f>VLOOKUP(K328,$AA:$AB,2,0)</f>
        <v>#N/A</v>
      </c>
      <c r="O328" s="1">
        <f>IF(A328&lt;&gt;"",N328+M328+L328+F328+G328+H328,0)</f>
        <v>0</v>
      </c>
    </row>
    <row r="329" spans="1:15" x14ac:dyDescent="0.25">
      <c r="A329"/>
      <c r="B329"/>
      <c r="C329" s="1" t="str">
        <f>MID(A329,1,2)</f>
        <v/>
      </c>
      <c r="D329" s="1" t="str">
        <f>MID(B329,3,2)</f>
        <v/>
      </c>
      <c r="E329" s="1" t="str">
        <f>CONCATENATE(I329,K329)</f>
        <v/>
      </c>
      <c r="F329" s="1" t="e">
        <f>VLOOKUP(I329,$U$23:$AL$40,MATCH(J329,$U$23:$AL$23,0),FALSE)</f>
        <v>#N/A</v>
      </c>
      <c r="G329" s="1" t="e">
        <f>VLOOKUP(J329,$U$23:$AL$40,MATCH(K329,$U$23:$AL$23,0),FALSE)</f>
        <v>#N/A</v>
      </c>
      <c r="H329" s="1" t="e">
        <f>VLOOKUP(I329,$U$23:$AL$40,MATCH(K329,$U$23:$AL$23,0),FALSE)</f>
        <v>#N/A</v>
      </c>
      <c r="I329" s="1" t="str">
        <f>MID(A329,1,1)</f>
        <v/>
      </c>
      <c r="J329" s="1" t="str">
        <f>MID(A329,2,1)</f>
        <v/>
      </c>
      <c r="K329" s="1" t="str">
        <f>MID(A329,4,1)</f>
        <v/>
      </c>
      <c r="L329" s="1" t="e">
        <f>VLOOKUP(I329,$U:$V,2,0)</f>
        <v>#N/A</v>
      </c>
      <c r="M329" s="1" t="e">
        <f>VLOOKUP(J329,$X:$Y,2,0)</f>
        <v>#N/A</v>
      </c>
      <c r="N329" s="1" t="e">
        <f>VLOOKUP(K329,$AA:$AB,2,0)</f>
        <v>#N/A</v>
      </c>
      <c r="O329" s="1">
        <f>IF(A329&lt;&gt;"",N329+M329+L329+F329+G329+H329,0)</f>
        <v>0</v>
      </c>
    </row>
    <row r="330" spans="1:15" x14ac:dyDescent="0.25">
      <c r="A330"/>
      <c r="B330"/>
      <c r="C330" s="1" t="str">
        <f>MID(A330,1,2)</f>
        <v/>
      </c>
      <c r="D330" s="1" t="str">
        <f>MID(B330,3,2)</f>
        <v/>
      </c>
      <c r="E330" s="1" t="str">
        <f>CONCATENATE(I330,K330)</f>
        <v/>
      </c>
      <c r="F330" s="1" t="e">
        <f>VLOOKUP(I330,$U$23:$AL$40,MATCH(J330,$U$23:$AL$23,0),FALSE)</f>
        <v>#N/A</v>
      </c>
      <c r="G330" s="1" t="e">
        <f>VLOOKUP(J330,$U$23:$AL$40,MATCH(K330,$U$23:$AL$23,0),FALSE)</f>
        <v>#N/A</v>
      </c>
      <c r="H330" s="1" t="e">
        <f>VLOOKUP(I330,$U$23:$AL$40,MATCH(K330,$U$23:$AL$23,0),FALSE)</f>
        <v>#N/A</v>
      </c>
      <c r="I330" s="1" t="str">
        <f>MID(A330,1,1)</f>
        <v/>
      </c>
      <c r="J330" s="1" t="str">
        <f>MID(A330,2,1)</f>
        <v/>
      </c>
      <c r="K330" s="1" t="str">
        <f>MID(A330,4,1)</f>
        <v/>
      </c>
      <c r="L330" s="1" t="e">
        <f>VLOOKUP(I330,$U:$V,2,0)</f>
        <v>#N/A</v>
      </c>
      <c r="M330" s="1" t="e">
        <f>VLOOKUP(J330,$X:$Y,2,0)</f>
        <v>#N/A</v>
      </c>
      <c r="N330" s="1" t="e">
        <f>VLOOKUP(K330,$AA:$AB,2,0)</f>
        <v>#N/A</v>
      </c>
      <c r="O330" s="1">
        <f>IF(A330&lt;&gt;"",N330+M330+L330+F330+G330+H330,0)</f>
        <v>0</v>
      </c>
    </row>
    <row r="331" spans="1:15" x14ac:dyDescent="0.25">
      <c r="A331"/>
      <c r="B331"/>
      <c r="C331" s="1" t="str">
        <f>MID(A331,1,2)</f>
        <v/>
      </c>
      <c r="D331" s="1" t="str">
        <f>MID(B331,3,2)</f>
        <v/>
      </c>
      <c r="E331" s="1" t="str">
        <f>CONCATENATE(I331,K331)</f>
        <v/>
      </c>
      <c r="F331" s="1" t="e">
        <f>VLOOKUP(I331,$U$23:$AL$40,MATCH(J331,$U$23:$AL$23,0),FALSE)</f>
        <v>#N/A</v>
      </c>
      <c r="G331" s="1" t="e">
        <f>VLOOKUP(J331,$U$23:$AL$40,MATCH(K331,$U$23:$AL$23,0),FALSE)</f>
        <v>#N/A</v>
      </c>
      <c r="H331" s="1" t="e">
        <f>VLOOKUP(I331,$U$23:$AL$40,MATCH(K331,$U$23:$AL$23,0),FALSE)</f>
        <v>#N/A</v>
      </c>
      <c r="I331" s="1" t="str">
        <f>MID(A331,1,1)</f>
        <v/>
      </c>
      <c r="J331" s="1" t="str">
        <f>MID(A331,2,1)</f>
        <v/>
      </c>
      <c r="K331" s="1" t="str">
        <f>MID(A331,4,1)</f>
        <v/>
      </c>
      <c r="L331" s="1" t="e">
        <f>VLOOKUP(I331,$U:$V,2,0)</f>
        <v>#N/A</v>
      </c>
      <c r="M331" s="1" t="e">
        <f>VLOOKUP(J331,$X:$Y,2,0)</f>
        <v>#N/A</v>
      </c>
      <c r="N331" s="1" t="e">
        <f>VLOOKUP(K331,$AA:$AB,2,0)</f>
        <v>#N/A</v>
      </c>
      <c r="O331" s="1">
        <f>IF(A331&lt;&gt;"",N331+M331+L331+F331+G331+H331,0)</f>
        <v>0</v>
      </c>
    </row>
    <row r="332" spans="1:15" x14ac:dyDescent="0.25">
      <c r="A332"/>
      <c r="B332"/>
      <c r="C332" s="1" t="str">
        <f>MID(A332,1,2)</f>
        <v/>
      </c>
      <c r="D332" s="1" t="str">
        <f>MID(B332,3,2)</f>
        <v/>
      </c>
      <c r="E332" s="1" t="str">
        <f>CONCATENATE(I332,K332)</f>
        <v/>
      </c>
      <c r="F332" s="1" t="e">
        <f>VLOOKUP(I332,$U$23:$AL$40,MATCH(J332,$U$23:$AL$23,0),FALSE)</f>
        <v>#N/A</v>
      </c>
      <c r="G332" s="1" t="e">
        <f>VLOOKUP(J332,$U$23:$AL$40,MATCH(K332,$U$23:$AL$23,0),FALSE)</f>
        <v>#N/A</v>
      </c>
      <c r="H332" s="1" t="e">
        <f>VLOOKUP(I332,$U$23:$AL$40,MATCH(K332,$U$23:$AL$23,0),FALSE)</f>
        <v>#N/A</v>
      </c>
      <c r="I332" s="1" t="str">
        <f>MID(A332,1,1)</f>
        <v/>
      </c>
      <c r="J332" s="1" t="str">
        <f>MID(A332,2,1)</f>
        <v/>
      </c>
      <c r="K332" s="1" t="str">
        <f>MID(A332,4,1)</f>
        <v/>
      </c>
      <c r="L332" s="1" t="e">
        <f>VLOOKUP(I332,$U:$V,2,0)</f>
        <v>#N/A</v>
      </c>
      <c r="M332" s="1" t="e">
        <f>VLOOKUP(J332,$X:$Y,2,0)</f>
        <v>#N/A</v>
      </c>
      <c r="N332" s="1" t="e">
        <f>VLOOKUP(K332,$AA:$AB,2,0)</f>
        <v>#N/A</v>
      </c>
      <c r="O332" s="1">
        <f>IF(A332&lt;&gt;"",N332+M332+L332+F332+G332+H332,0)</f>
        <v>0</v>
      </c>
    </row>
    <row r="333" spans="1:15" x14ac:dyDescent="0.25">
      <c r="A333"/>
      <c r="B333"/>
      <c r="C333" s="1" t="str">
        <f>MID(A333,1,2)</f>
        <v/>
      </c>
      <c r="D333" s="1" t="str">
        <f>MID(B333,3,2)</f>
        <v/>
      </c>
      <c r="E333" s="1" t="str">
        <f>CONCATENATE(I333,K333)</f>
        <v/>
      </c>
      <c r="F333" s="1" t="e">
        <f>VLOOKUP(I333,$U$23:$AL$40,MATCH(J333,$U$23:$AL$23,0),FALSE)</f>
        <v>#N/A</v>
      </c>
      <c r="G333" s="1" t="e">
        <f>VLOOKUP(J333,$U$23:$AL$40,MATCH(K333,$U$23:$AL$23,0),FALSE)</f>
        <v>#N/A</v>
      </c>
      <c r="H333" s="1" t="e">
        <f>VLOOKUP(I333,$U$23:$AL$40,MATCH(K333,$U$23:$AL$23,0),FALSE)</f>
        <v>#N/A</v>
      </c>
      <c r="I333" s="1" t="str">
        <f>MID(A333,1,1)</f>
        <v/>
      </c>
      <c r="J333" s="1" t="str">
        <f>MID(A333,2,1)</f>
        <v/>
      </c>
      <c r="K333" s="1" t="str">
        <f>MID(A333,4,1)</f>
        <v/>
      </c>
      <c r="L333" s="1" t="e">
        <f>VLOOKUP(I333,$U:$V,2,0)</f>
        <v>#N/A</v>
      </c>
      <c r="M333" s="1" t="e">
        <f>VLOOKUP(J333,$X:$Y,2,0)</f>
        <v>#N/A</v>
      </c>
      <c r="N333" s="1" t="e">
        <f>VLOOKUP(K333,$AA:$AB,2,0)</f>
        <v>#N/A</v>
      </c>
      <c r="O333" s="1">
        <f>IF(A333&lt;&gt;"",N333+M333+L333+F333+G333+H333,0)</f>
        <v>0</v>
      </c>
    </row>
    <row r="334" spans="1:15" x14ac:dyDescent="0.25">
      <c r="A334"/>
      <c r="B334"/>
      <c r="C334" s="1" t="str">
        <f>MID(A334,1,2)</f>
        <v/>
      </c>
      <c r="D334" s="1" t="str">
        <f>MID(B334,3,2)</f>
        <v/>
      </c>
      <c r="E334" s="1" t="str">
        <f>CONCATENATE(I334,K334)</f>
        <v/>
      </c>
      <c r="F334" s="1" t="e">
        <f>VLOOKUP(I334,$U$23:$AL$40,MATCH(J334,$U$23:$AL$23,0),FALSE)</f>
        <v>#N/A</v>
      </c>
      <c r="G334" s="1" t="e">
        <f>VLOOKUP(J334,$U$23:$AL$40,MATCH(K334,$U$23:$AL$23,0),FALSE)</f>
        <v>#N/A</v>
      </c>
      <c r="H334" s="1" t="e">
        <f>VLOOKUP(I334,$U$23:$AL$40,MATCH(K334,$U$23:$AL$23,0),FALSE)</f>
        <v>#N/A</v>
      </c>
      <c r="I334" s="1" t="str">
        <f>MID(A334,1,1)</f>
        <v/>
      </c>
      <c r="J334" s="1" t="str">
        <f>MID(A334,2,1)</f>
        <v/>
      </c>
      <c r="K334" s="1" t="str">
        <f>MID(A334,4,1)</f>
        <v/>
      </c>
      <c r="L334" s="1" t="e">
        <f>VLOOKUP(I334,$U:$V,2,0)</f>
        <v>#N/A</v>
      </c>
      <c r="M334" s="1" t="e">
        <f>VLOOKUP(J334,$X:$Y,2,0)</f>
        <v>#N/A</v>
      </c>
      <c r="N334" s="1" t="e">
        <f>VLOOKUP(K334,$AA:$AB,2,0)</f>
        <v>#N/A</v>
      </c>
      <c r="O334" s="1">
        <f>IF(A334&lt;&gt;"",N334+M334+L334+F334+G334+H334,0)</f>
        <v>0</v>
      </c>
    </row>
    <row r="335" spans="1:15" x14ac:dyDescent="0.25">
      <c r="A335"/>
      <c r="B335"/>
      <c r="C335" s="1" t="str">
        <f>MID(A335,1,2)</f>
        <v/>
      </c>
      <c r="D335" s="1" t="str">
        <f>MID(B335,3,2)</f>
        <v/>
      </c>
      <c r="E335" s="1" t="str">
        <f>CONCATENATE(I335,K335)</f>
        <v/>
      </c>
      <c r="F335" s="1" t="e">
        <f>VLOOKUP(I335,$U$23:$AL$40,MATCH(J335,$U$23:$AL$23,0),FALSE)</f>
        <v>#N/A</v>
      </c>
      <c r="G335" s="1" t="e">
        <f>VLOOKUP(J335,$U$23:$AL$40,MATCH(K335,$U$23:$AL$23,0),FALSE)</f>
        <v>#N/A</v>
      </c>
      <c r="H335" s="1" t="e">
        <f>VLOOKUP(I335,$U$23:$AL$40,MATCH(K335,$U$23:$AL$23,0),FALSE)</f>
        <v>#N/A</v>
      </c>
      <c r="I335" s="1" t="str">
        <f>MID(A335,1,1)</f>
        <v/>
      </c>
      <c r="J335" s="1" t="str">
        <f>MID(A335,2,1)</f>
        <v/>
      </c>
      <c r="K335" s="1" t="str">
        <f>MID(A335,4,1)</f>
        <v/>
      </c>
      <c r="L335" s="1" t="e">
        <f>VLOOKUP(I335,$U:$V,2,0)</f>
        <v>#N/A</v>
      </c>
      <c r="M335" s="1" t="e">
        <f>VLOOKUP(J335,$X:$Y,2,0)</f>
        <v>#N/A</v>
      </c>
      <c r="N335" s="1" t="e">
        <f>VLOOKUP(K335,$AA:$AB,2,0)</f>
        <v>#N/A</v>
      </c>
      <c r="O335" s="1">
        <f>IF(A335&lt;&gt;"",N335+M335+L335+F335+G335+H335,0)</f>
        <v>0</v>
      </c>
    </row>
    <row r="336" spans="1:15" x14ac:dyDescent="0.25">
      <c r="A336"/>
      <c r="B336"/>
      <c r="C336" s="1" t="str">
        <f>MID(A336,1,2)</f>
        <v/>
      </c>
      <c r="D336" s="1" t="str">
        <f>MID(B336,3,2)</f>
        <v/>
      </c>
      <c r="E336" s="1" t="str">
        <f>CONCATENATE(I336,K336)</f>
        <v/>
      </c>
      <c r="F336" s="1" t="e">
        <f>VLOOKUP(I336,$U$23:$AL$40,MATCH(J336,$U$23:$AL$23,0),FALSE)</f>
        <v>#N/A</v>
      </c>
      <c r="G336" s="1" t="e">
        <f>VLOOKUP(J336,$U$23:$AL$40,MATCH(K336,$U$23:$AL$23,0),FALSE)</f>
        <v>#N/A</v>
      </c>
      <c r="H336" s="1" t="e">
        <f>VLOOKUP(I336,$U$23:$AL$40,MATCH(K336,$U$23:$AL$23,0),FALSE)</f>
        <v>#N/A</v>
      </c>
      <c r="I336" s="1" t="str">
        <f>MID(A336,1,1)</f>
        <v/>
      </c>
      <c r="J336" s="1" t="str">
        <f>MID(A336,2,1)</f>
        <v/>
      </c>
      <c r="K336" s="1" t="str">
        <f>MID(A336,4,1)</f>
        <v/>
      </c>
      <c r="L336" s="1" t="e">
        <f>VLOOKUP(I336,$U:$V,2,0)</f>
        <v>#N/A</v>
      </c>
      <c r="M336" s="1" t="e">
        <f>VLOOKUP(J336,$X:$Y,2,0)</f>
        <v>#N/A</v>
      </c>
      <c r="N336" s="1" t="e">
        <f>VLOOKUP(K336,$AA:$AB,2,0)</f>
        <v>#N/A</v>
      </c>
      <c r="O336" s="1">
        <f>IF(A336&lt;&gt;"",N336+M336+L336+F336+G336+H336,0)</f>
        <v>0</v>
      </c>
    </row>
    <row r="337" spans="1:15" x14ac:dyDescent="0.25">
      <c r="A337"/>
      <c r="B337"/>
      <c r="C337" s="1" t="str">
        <f>MID(A337,1,2)</f>
        <v/>
      </c>
      <c r="D337" s="1" t="str">
        <f>MID(B337,3,2)</f>
        <v/>
      </c>
      <c r="E337" s="1" t="str">
        <f>CONCATENATE(I337,K337)</f>
        <v/>
      </c>
      <c r="F337" s="1" t="e">
        <f>VLOOKUP(I337,$U$23:$AL$40,MATCH(J337,$U$23:$AL$23,0),FALSE)</f>
        <v>#N/A</v>
      </c>
      <c r="G337" s="1" t="e">
        <f>VLOOKUP(J337,$U$23:$AL$40,MATCH(K337,$U$23:$AL$23,0),FALSE)</f>
        <v>#N/A</v>
      </c>
      <c r="H337" s="1" t="e">
        <f>VLOOKUP(I337,$U$23:$AL$40,MATCH(K337,$U$23:$AL$23,0),FALSE)</f>
        <v>#N/A</v>
      </c>
      <c r="I337" s="1" t="str">
        <f>MID(A337,1,1)</f>
        <v/>
      </c>
      <c r="J337" s="1" t="str">
        <f>MID(A337,2,1)</f>
        <v/>
      </c>
      <c r="K337" s="1" t="str">
        <f>MID(A337,4,1)</f>
        <v/>
      </c>
      <c r="L337" s="1" t="e">
        <f>VLOOKUP(I337,$U:$V,2,0)</f>
        <v>#N/A</v>
      </c>
      <c r="M337" s="1" t="e">
        <f>VLOOKUP(J337,$X:$Y,2,0)</f>
        <v>#N/A</v>
      </c>
      <c r="N337" s="1" t="e">
        <f>VLOOKUP(K337,$AA:$AB,2,0)</f>
        <v>#N/A</v>
      </c>
      <c r="O337" s="1">
        <f>IF(A337&lt;&gt;"",N337+M337+L337+F337+G337+H337,0)</f>
        <v>0</v>
      </c>
    </row>
    <row r="338" spans="1:15" x14ac:dyDescent="0.25">
      <c r="A338"/>
      <c r="B338"/>
      <c r="C338" s="1" t="str">
        <f>MID(A338,1,2)</f>
        <v/>
      </c>
      <c r="D338" s="1" t="str">
        <f>MID(B338,3,2)</f>
        <v/>
      </c>
      <c r="E338" s="1" t="str">
        <f>CONCATENATE(I338,K338)</f>
        <v/>
      </c>
      <c r="F338" s="1" t="e">
        <f>VLOOKUP(I338,$U$23:$AL$40,MATCH(J338,$U$23:$AL$23,0),FALSE)</f>
        <v>#N/A</v>
      </c>
      <c r="G338" s="1" t="e">
        <f>VLOOKUP(J338,$U$23:$AL$40,MATCH(K338,$U$23:$AL$23,0),FALSE)</f>
        <v>#N/A</v>
      </c>
      <c r="H338" s="1" t="e">
        <f>VLOOKUP(I338,$U$23:$AL$40,MATCH(K338,$U$23:$AL$23,0),FALSE)</f>
        <v>#N/A</v>
      </c>
      <c r="I338" s="1" t="str">
        <f>MID(A338,1,1)</f>
        <v/>
      </c>
      <c r="J338" s="1" t="str">
        <f>MID(A338,2,1)</f>
        <v/>
      </c>
      <c r="K338" s="1" t="str">
        <f>MID(A338,4,1)</f>
        <v/>
      </c>
      <c r="L338" s="1" t="e">
        <f>VLOOKUP(I338,$U:$V,2,0)</f>
        <v>#N/A</v>
      </c>
      <c r="M338" s="1" t="e">
        <f>VLOOKUP(J338,$X:$Y,2,0)</f>
        <v>#N/A</v>
      </c>
      <c r="N338" s="1" t="e">
        <f>VLOOKUP(K338,$AA:$AB,2,0)</f>
        <v>#N/A</v>
      </c>
      <c r="O338" s="1">
        <f>IF(A338&lt;&gt;"",N338+M338+L338+F338+G338+H338,0)</f>
        <v>0</v>
      </c>
    </row>
    <row r="339" spans="1:15" x14ac:dyDescent="0.25">
      <c r="A339"/>
      <c r="B339"/>
      <c r="C339" s="1" t="str">
        <f>MID(A339,1,2)</f>
        <v/>
      </c>
      <c r="D339" s="1" t="str">
        <f>MID(B339,3,2)</f>
        <v/>
      </c>
      <c r="E339" s="1" t="str">
        <f>CONCATENATE(I339,K339)</f>
        <v/>
      </c>
      <c r="F339" s="1" t="e">
        <f>VLOOKUP(I339,$U$23:$AL$40,MATCH(J339,$U$23:$AL$23,0),FALSE)</f>
        <v>#N/A</v>
      </c>
      <c r="G339" s="1" t="e">
        <f>VLOOKUP(J339,$U$23:$AL$40,MATCH(K339,$U$23:$AL$23,0),FALSE)</f>
        <v>#N/A</v>
      </c>
      <c r="H339" s="1" t="e">
        <f>VLOOKUP(I339,$U$23:$AL$40,MATCH(K339,$U$23:$AL$23,0),FALSE)</f>
        <v>#N/A</v>
      </c>
      <c r="I339" s="1" t="str">
        <f>MID(A339,1,1)</f>
        <v/>
      </c>
      <c r="J339" s="1" t="str">
        <f>MID(A339,2,1)</f>
        <v/>
      </c>
      <c r="K339" s="1" t="str">
        <f>MID(A339,4,1)</f>
        <v/>
      </c>
      <c r="L339" s="1" t="e">
        <f>VLOOKUP(I339,$U:$V,2,0)</f>
        <v>#N/A</v>
      </c>
      <c r="M339" s="1" t="e">
        <f>VLOOKUP(J339,$X:$Y,2,0)</f>
        <v>#N/A</v>
      </c>
      <c r="N339" s="1" t="e">
        <f>VLOOKUP(K339,$AA:$AB,2,0)</f>
        <v>#N/A</v>
      </c>
      <c r="O339" s="1">
        <f>IF(A339&lt;&gt;"",N339+M339+L339+F339+G339+H339,0)</f>
        <v>0</v>
      </c>
    </row>
    <row r="340" spans="1:15" x14ac:dyDescent="0.25">
      <c r="A340"/>
      <c r="B340"/>
      <c r="C340" s="1" t="str">
        <f>MID(A340,1,2)</f>
        <v/>
      </c>
      <c r="D340" s="1" t="str">
        <f>MID(B340,3,2)</f>
        <v/>
      </c>
      <c r="E340" s="1" t="str">
        <f>CONCATENATE(I340,K340)</f>
        <v/>
      </c>
      <c r="F340" s="1" t="e">
        <f>VLOOKUP(I340,$U$23:$AL$40,MATCH(J340,$U$23:$AL$23,0),FALSE)</f>
        <v>#N/A</v>
      </c>
      <c r="G340" s="1" t="e">
        <f>VLOOKUP(J340,$U$23:$AL$40,MATCH(K340,$U$23:$AL$23,0),FALSE)</f>
        <v>#N/A</v>
      </c>
      <c r="H340" s="1" t="e">
        <f>VLOOKUP(I340,$U$23:$AL$40,MATCH(K340,$U$23:$AL$23,0),FALSE)</f>
        <v>#N/A</v>
      </c>
      <c r="I340" s="1" t="str">
        <f>MID(A340,1,1)</f>
        <v/>
      </c>
      <c r="J340" s="1" t="str">
        <f>MID(A340,2,1)</f>
        <v/>
      </c>
      <c r="K340" s="1" t="str">
        <f>MID(A340,4,1)</f>
        <v/>
      </c>
      <c r="L340" s="1" t="e">
        <f>VLOOKUP(I340,$U:$V,2,0)</f>
        <v>#N/A</v>
      </c>
      <c r="M340" s="1" t="e">
        <f>VLOOKUP(J340,$X:$Y,2,0)</f>
        <v>#N/A</v>
      </c>
      <c r="N340" s="1" t="e">
        <f>VLOOKUP(K340,$AA:$AB,2,0)</f>
        <v>#N/A</v>
      </c>
      <c r="O340" s="1">
        <f>IF(A340&lt;&gt;"",N340+M340+L340+F340+G340+H340,0)</f>
        <v>0</v>
      </c>
    </row>
    <row r="341" spans="1:15" x14ac:dyDescent="0.25">
      <c r="A341"/>
      <c r="B341"/>
      <c r="C341" s="1" t="str">
        <f>MID(A341,1,2)</f>
        <v/>
      </c>
      <c r="D341" s="1" t="str">
        <f>MID(B341,3,2)</f>
        <v/>
      </c>
      <c r="E341" s="1" t="str">
        <f>CONCATENATE(I341,K341)</f>
        <v/>
      </c>
      <c r="F341" s="1" t="e">
        <f>VLOOKUP(I341,$U$23:$AL$40,MATCH(J341,$U$23:$AL$23,0),FALSE)</f>
        <v>#N/A</v>
      </c>
      <c r="G341" s="1" t="e">
        <f>VLOOKUP(J341,$U$23:$AL$40,MATCH(K341,$U$23:$AL$23,0),FALSE)</f>
        <v>#N/A</v>
      </c>
      <c r="H341" s="1" t="e">
        <f>VLOOKUP(I341,$U$23:$AL$40,MATCH(K341,$U$23:$AL$23,0),FALSE)</f>
        <v>#N/A</v>
      </c>
      <c r="I341" s="1" t="str">
        <f>MID(A341,1,1)</f>
        <v/>
      </c>
      <c r="J341" s="1" t="str">
        <f>MID(A341,2,1)</f>
        <v/>
      </c>
      <c r="K341" s="1" t="str">
        <f>MID(A341,4,1)</f>
        <v/>
      </c>
      <c r="L341" s="1" t="e">
        <f>VLOOKUP(I341,$U:$V,2,0)</f>
        <v>#N/A</v>
      </c>
      <c r="M341" s="1" t="e">
        <f>VLOOKUP(J341,$X:$Y,2,0)</f>
        <v>#N/A</v>
      </c>
      <c r="N341" s="1" t="e">
        <f>VLOOKUP(K341,$AA:$AB,2,0)</f>
        <v>#N/A</v>
      </c>
      <c r="O341" s="1">
        <f>IF(A341&lt;&gt;"",N341+M341+L341+F341+G341+H341,0)</f>
        <v>0</v>
      </c>
    </row>
    <row r="342" spans="1:15" x14ac:dyDescent="0.25">
      <c r="A342"/>
      <c r="B342"/>
      <c r="C342" s="1" t="str">
        <f>MID(A342,1,2)</f>
        <v/>
      </c>
      <c r="D342" s="1" t="str">
        <f>MID(B342,3,2)</f>
        <v/>
      </c>
      <c r="E342" s="1" t="str">
        <f>CONCATENATE(I342,K342)</f>
        <v/>
      </c>
      <c r="F342" s="1" t="e">
        <f>VLOOKUP(I342,$U$23:$AL$40,MATCH(J342,$U$23:$AL$23,0),FALSE)</f>
        <v>#N/A</v>
      </c>
      <c r="G342" s="1" t="e">
        <f>VLOOKUP(J342,$U$23:$AL$40,MATCH(K342,$U$23:$AL$23,0),FALSE)</f>
        <v>#N/A</v>
      </c>
      <c r="H342" s="1" t="e">
        <f>VLOOKUP(I342,$U$23:$AL$40,MATCH(K342,$U$23:$AL$23,0),FALSE)</f>
        <v>#N/A</v>
      </c>
      <c r="I342" s="1" t="str">
        <f>MID(A342,1,1)</f>
        <v/>
      </c>
      <c r="J342" s="1" t="str">
        <f>MID(A342,2,1)</f>
        <v/>
      </c>
      <c r="K342" s="1" t="str">
        <f>MID(A342,4,1)</f>
        <v/>
      </c>
      <c r="L342" s="1" t="e">
        <f>VLOOKUP(I342,$U:$V,2,0)</f>
        <v>#N/A</v>
      </c>
      <c r="M342" s="1" t="e">
        <f>VLOOKUP(J342,$X:$Y,2,0)</f>
        <v>#N/A</v>
      </c>
      <c r="N342" s="1" t="e">
        <f>VLOOKUP(K342,$AA:$AB,2,0)</f>
        <v>#N/A</v>
      </c>
      <c r="O342" s="1">
        <f>IF(A342&lt;&gt;"",N342+M342+L342+F342+G342+H342,0)</f>
        <v>0</v>
      </c>
    </row>
    <row r="343" spans="1:15" x14ac:dyDescent="0.25">
      <c r="A343"/>
      <c r="B343"/>
      <c r="C343" s="1" t="str">
        <f>MID(A343,1,2)</f>
        <v/>
      </c>
      <c r="D343" s="1" t="str">
        <f>MID(B343,3,2)</f>
        <v/>
      </c>
      <c r="E343" s="1" t="str">
        <f>CONCATENATE(I343,K343)</f>
        <v/>
      </c>
      <c r="F343" s="1" t="e">
        <f>VLOOKUP(I343,$U$23:$AL$40,MATCH(J343,$U$23:$AL$23,0),FALSE)</f>
        <v>#N/A</v>
      </c>
      <c r="G343" s="1" t="e">
        <f>VLOOKUP(J343,$U$23:$AL$40,MATCH(K343,$U$23:$AL$23,0),FALSE)</f>
        <v>#N/A</v>
      </c>
      <c r="H343" s="1" t="e">
        <f>VLOOKUP(I343,$U$23:$AL$40,MATCH(K343,$U$23:$AL$23,0),FALSE)</f>
        <v>#N/A</v>
      </c>
      <c r="I343" s="1" t="str">
        <f>MID(A343,1,1)</f>
        <v/>
      </c>
      <c r="J343" s="1" t="str">
        <f>MID(A343,2,1)</f>
        <v/>
      </c>
      <c r="K343" s="1" t="str">
        <f>MID(A343,4,1)</f>
        <v/>
      </c>
      <c r="L343" s="1" t="e">
        <f>VLOOKUP(I343,$U:$V,2,0)</f>
        <v>#N/A</v>
      </c>
      <c r="M343" s="1" t="e">
        <f>VLOOKUP(J343,$X:$Y,2,0)</f>
        <v>#N/A</v>
      </c>
      <c r="N343" s="1" t="e">
        <f>VLOOKUP(K343,$AA:$AB,2,0)</f>
        <v>#N/A</v>
      </c>
      <c r="O343" s="1">
        <f>IF(A343&lt;&gt;"",N343+M343+L343+F343+G343+H343,0)</f>
        <v>0</v>
      </c>
    </row>
    <row r="344" spans="1:15" x14ac:dyDescent="0.25">
      <c r="A344"/>
      <c r="B344"/>
      <c r="C344" s="1" t="str">
        <f>MID(A344,1,2)</f>
        <v/>
      </c>
      <c r="D344" s="1" t="str">
        <f>MID(B344,3,2)</f>
        <v/>
      </c>
      <c r="E344" s="1" t="str">
        <f>CONCATENATE(I344,K344)</f>
        <v/>
      </c>
      <c r="F344" s="1" t="e">
        <f>VLOOKUP(I344,$U$23:$AL$40,MATCH(J344,$U$23:$AL$23,0),FALSE)</f>
        <v>#N/A</v>
      </c>
      <c r="G344" s="1" t="e">
        <f>VLOOKUP(J344,$U$23:$AL$40,MATCH(K344,$U$23:$AL$23,0),FALSE)</f>
        <v>#N/A</v>
      </c>
      <c r="H344" s="1" t="e">
        <f>VLOOKUP(I344,$U$23:$AL$40,MATCH(K344,$U$23:$AL$23,0),FALSE)</f>
        <v>#N/A</v>
      </c>
      <c r="I344" s="1" t="str">
        <f>MID(A344,1,1)</f>
        <v/>
      </c>
      <c r="J344" s="1" t="str">
        <f>MID(A344,2,1)</f>
        <v/>
      </c>
      <c r="K344" s="1" t="str">
        <f>MID(A344,4,1)</f>
        <v/>
      </c>
      <c r="L344" s="1" t="e">
        <f>VLOOKUP(I344,$U:$V,2,0)</f>
        <v>#N/A</v>
      </c>
      <c r="M344" s="1" t="e">
        <f>VLOOKUP(J344,$X:$Y,2,0)</f>
        <v>#N/A</v>
      </c>
      <c r="N344" s="1" t="e">
        <f>VLOOKUP(K344,$AA:$AB,2,0)</f>
        <v>#N/A</v>
      </c>
      <c r="O344" s="1">
        <f>IF(A344&lt;&gt;"",N344+M344+L344+F344+G344+H344,0)</f>
        <v>0</v>
      </c>
    </row>
    <row r="345" spans="1:15" x14ac:dyDescent="0.25">
      <c r="A345"/>
      <c r="B345"/>
      <c r="C345" s="1" t="str">
        <f>MID(A345,1,2)</f>
        <v/>
      </c>
      <c r="D345" s="1" t="str">
        <f>MID(B345,3,2)</f>
        <v/>
      </c>
      <c r="E345" s="1" t="str">
        <f>CONCATENATE(I345,K345)</f>
        <v/>
      </c>
      <c r="F345" s="1" t="e">
        <f>VLOOKUP(I345,$U$23:$AL$40,MATCH(J345,$U$23:$AL$23,0),FALSE)</f>
        <v>#N/A</v>
      </c>
      <c r="G345" s="1" t="e">
        <f>VLOOKUP(J345,$U$23:$AL$40,MATCH(K345,$U$23:$AL$23,0),FALSE)</f>
        <v>#N/A</v>
      </c>
      <c r="H345" s="1" t="e">
        <f>VLOOKUP(I345,$U$23:$AL$40,MATCH(K345,$U$23:$AL$23,0),FALSE)</f>
        <v>#N/A</v>
      </c>
      <c r="I345" s="1" t="str">
        <f>MID(A345,1,1)</f>
        <v/>
      </c>
      <c r="J345" s="1" t="str">
        <f>MID(A345,2,1)</f>
        <v/>
      </c>
      <c r="K345" s="1" t="str">
        <f>MID(A345,4,1)</f>
        <v/>
      </c>
      <c r="L345" s="1" t="e">
        <f>VLOOKUP(I345,$U:$V,2,0)</f>
        <v>#N/A</v>
      </c>
      <c r="M345" s="1" t="e">
        <f>VLOOKUP(J345,$X:$Y,2,0)</f>
        <v>#N/A</v>
      </c>
      <c r="N345" s="1" t="e">
        <f>VLOOKUP(K345,$AA:$AB,2,0)</f>
        <v>#N/A</v>
      </c>
      <c r="O345" s="1">
        <f>IF(A345&lt;&gt;"",N345+M345+L345+F345+G345+H345,0)</f>
        <v>0</v>
      </c>
    </row>
    <row r="346" spans="1:15" x14ac:dyDescent="0.25">
      <c r="A346"/>
      <c r="B346"/>
      <c r="C346" s="1" t="str">
        <f>MID(A346,1,2)</f>
        <v/>
      </c>
      <c r="D346" s="1" t="str">
        <f>MID(B346,3,2)</f>
        <v/>
      </c>
      <c r="E346" s="1" t="str">
        <f>CONCATENATE(I346,K346)</f>
        <v/>
      </c>
      <c r="F346" s="1" t="e">
        <f>VLOOKUP(I346,$U$23:$AL$40,MATCH(J346,$U$23:$AL$23,0),FALSE)</f>
        <v>#N/A</v>
      </c>
      <c r="G346" s="1" t="e">
        <f>VLOOKUP(J346,$U$23:$AL$40,MATCH(K346,$U$23:$AL$23,0),FALSE)</f>
        <v>#N/A</v>
      </c>
      <c r="H346" s="1" t="e">
        <f>VLOOKUP(I346,$U$23:$AL$40,MATCH(K346,$U$23:$AL$23,0),FALSE)</f>
        <v>#N/A</v>
      </c>
      <c r="I346" s="1" t="str">
        <f>MID(A346,1,1)</f>
        <v/>
      </c>
      <c r="J346" s="1" t="str">
        <f>MID(A346,2,1)</f>
        <v/>
      </c>
      <c r="K346" s="1" t="str">
        <f>MID(A346,4,1)</f>
        <v/>
      </c>
      <c r="L346" s="1" t="e">
        <f>VLOOKUP(I346,$U:$V,2,0)</f>
        <v>#N/A</v>
      </c>
      <c r="M346" s="1" t="e">
        <f>VLOOKUP(J346,$X:$Y,2,0)</f>
        <v>#N/A</v>
      </c>
      <c r="N346" s="1" t="e">
        <f>VLOOKUP(K346,$AA:$AB,2,0)</f>
        <v>#N/A</v>
      </c>
      <c r="O346" s="1">
        <f>IF(A346&lt;&gt;"",N346+M346+L346+F346+G346+H346,0)</f>
        <v>0</v>
      </c>
    </row>
    <row r="347" spans="1:15" x14ac:dyDescent="0.25">
      <c r="A347"/>
      <c r="B347"/>
      <c r="C347" s="1" t="str">
        <f>MID(A347,1,2)</f>
        <v/>
      </c>
      <c r="D347" s="1" t="str">
        <f>MID(B347,3,2)</f>
        <v/>
      </c>
      <c r="E347" s="1" t="str">
        <f>CONCATENATE(I347,K347)</f>
        <v/>
      </c>
      <c r="F347" s="1" t="e">
        <f>VLOOKUP(I347,$U$23:$AL$40,MATCH(J347,$U$23:$AL$23,0),FALSE)</f>
        <v>#N/A</v>
      </c>
      <c r="G347" s="1" t="e">
        <f>VLOOKUP(J347,$U$23:$AL$40,MATCH(K347,$U$23:$AL$23,0),FALSE)</f>
        <v>#N/A</v>
      </c>
      <c r="H347" s="1" t="e">
        <f>VLOOKUP(I347,$U$23:$AL$40,MATCH(K347,$U$23:$AL$23,0),FALSE)</f>
        <v>#N/A</v>
      </c>
      <c r="I347" s="1" t="str">
        <f>MID(A347,1,1)</f>
        <v/>
      </c>
      <c r="J347" s="1" t="str">
        <f>MID(A347,2,1)</f>
        <v/>
      </c>
      <c r="K347" s="1" t="str">
        <f>MID(A347,4,1)</f>
        <v/>
      </c>
      <c r="L347" s="1" t="e">
        <f>VLOOKUP(I347,$U:$V,2,0)</f>
        <v>#N/A</v>
      </c>
      <c r="M347" s="1" t="e">
        <f>VLOOKUP(J347,$X:$Y,2,0)</f>
        <v>#N/A</v>
      </c>
      <c r="N347" s="1" t="e">
        <f>VLOOKUP(K347,$AA:$AB,2,0)</f>
        <v>#N/A</v>
      </c>
      <c r="O347" s="1">
        <f>IF(A347&lt;&gt;"",N347+M347+L347+F347+G347+H347,0)</f>
        <v>0</v>
      </c>
    </row>
    <row r="348" spans="1:15" x14ac:dyDescent="0.25">
      <c r="A348"/>
      <c r="B348"/>
      <c r="C348" s="1" t="str">
        <f>MID(A348,1,2)</f>
        <v/>
      </c>
      <c r="D348" s="1" t="str">
        <f>MID(B348,3,2)</f>
        <v/>
      </c>
      <c r="E348" s="1" t="str">
        <f>CONCATENATE(I348,K348)</f>
        <v/>
      </c>
      <c r="F348" s="1" t="e">
        <f>VLOOKUP(I348,$U$23:$AL$40,MATCH(J348,$U$23:$AL$23,0),FALSE)</f>
        <v>#N/A</v>
      </c>
      <c r="G348" s="1" t="e">
        <f>VLOOKUP(J348,$U$23:$AL$40,MATCH(K348,$U$23:$AL$23,0),FALSE)</f>
        <v>#N/A</v>
      </c>
      <c r="H348" s="1" t="e">
        <f>VLOOKUP(I348,$U$23:$AL$40,MATCH(K348,$U$23:$AL$23,0),FALSE)</f>
        <v>#N/A</v>
      </c>
      <c r="I348" s="1" t="str">
        <f>MID(A348,1,1)</f>
        <v/>
      </c>
      <c r="J348" s="1" t="str">
        <f>MID(A348,2,1)</f>
        <v/>
      </c>
      <c r="K348" s="1" t="str">
        <f>MID(A348,4,1)</f>
        <v/>
      </c>
      <c r="L348" s="1" t="e">
        <f>VLOOKUP(I348,$U:$V,2,0)</f>
        <v>#N/A</v>
      </c>
      <c r="M348" s="1" t="e">
        <f>VLOOKUP(J348,$X:$Y,2,0)</f>
        <v>#N/A</v>
      </c>
      <c r="N348" s="1" t="e">
        <f>VLOOKUP(K348,$AA:$AB,2,0)</f>
        <v>#N/A</v>
      </c>
      <c r="O348" s="1">
        <f>IF(A348&lt;&gt;"",N348+M348+L348+F348+G348+H348,0)</f>
        <v>0</v>
      </c>
    </row>
    <row r="349" spans="1:15" x14ac:dyDescent="0.25">
      <c r="A349"/>
      <c r="B349"/>
      <c r="C349" s="1" t="str">
        <f>MID(A349,1,2)</f>
        <v/>
      </c>
      <c r="D349" s="1" t="str">
        <f>MID(B349,3,2)</f>
        <v/>
      </c>
      <c r="E349" s="1" t="str">
        <f>CONCATENATE(I349,K349)</f>
        <v/>
      </c>
      <c r="F349" s="1" t="e">
        <f>VLOOKUP(I349,$U$23:$AL$40,MATCH(J349,$U$23:$AL$23,0),FALSE)</f>
        <v>#N/A</v>
      </c>
      <c r="G349" s="1" t="e">
        <f>VLOOKUP(J349,$U$23:$AL$40,MATCH(K349,$U$23:$AL$23,0),FALSE)</f>
        <v>#N/A</v>
      </c>
      <c r="H349" s="1" t="e">
        <f>VLOOKUP(I349,$U$23:$AL$40,MATCH(K349,$U$23:$AL$23,0),FALSE)</f>
        <v>#N/A</v>
      </c>
      <c r="I349" s="1" t="str">
        <f>MID(A349,1,1)</f>
        <v/>
      </c>
      <c r="J349" s="1" t="str">
        <f>MID(A349,2,1)</f>
        <v/>
      </c>
      <c r="K349" s="1" t="str">
        <f>MID(A349,4,1)</f>
        <v/>
      </c>
      <c r="L349" s="1" t="e">
        <f>VLOOKUP(I349,$U:$V,2,0)</f>
        <v>#N/A</v>
      </c>
      <c r="M349" s="1" t="e">
        <f>VLOOKUP(J349,$X:$Y,2,0)</f>
        <v>#N/A</v>
      </c>
      <c r="N349" s="1" t="e">
        <f>VLOOKUP(K349,$AA:$AB,2,0)</f>
        <v>#N/A</v>
      </c>
      <c r="O349" s="1">
        <f>IF(A349&lt;&gt;"",N349+M349+L349+F349+G349+H349,0)</f>
        <v>0</v>
      </c>
    </row>
    <row r="350" spans="1:15" x14ac:dyDescent="0.25">
      <c r="A350"/>
      <c r="B350"/>
      <c r="C350" s="1" t="str">
        <f>MID(A350,1,2)</f>
        <v/>
      </c>
      <c r="D350" s="1" t="str">
        <f>MID(B350,3,2)</f>
        <v/>
      </c>
      <c r="E350" s="1" t="str">
        <f>CONCATENATE(I350,K350)</f>
        <v/>
      </c>
      <c r="F350" s="1" t="e">
        <f>VLOOKUP(I350,$U$23:$AL$40,MATCH(J350,$U$23:$AL$23,0),FALSE)</f>
        <v>#N/A</v>
      </c>
      <c r="G350" s="1" t="e">
        <f>VLOOKUP(J350,$U$23:$AL$40,MATCH(K350,$U$23:$AL$23,0),FALSE)</f>
        <v>#N/A</v>
      </c>
      <c r="H350" s="1" t="e">
        <f>VLOOKUP(I350,$U$23:$AL$40,MATCH(K350,$U$23:$AL$23,0),FALSE)</f>
        <v>#N/A</v>
      </c>
      <c r="I350" s="1" t="str">
        <f>MID(A350,1,1)</f>
        <v/>
      </c>
      <c r="J350" s="1" t="str">
        <f>MID(A350,2,1)</f>
        <v/>
      </c>
      <c r="K350" s="1" t="str">
        <f>MID(A350,4,1)</f>
        <v/>
      </c>
      <c r="L350" s="1" t="e">
        <f>VLOOKUP(I350,$U:$V,2,0)</f>
        <v>#N/A</v>
      </c>
      <c r="M350" s="1" t="e">
        <f>VLOOKUP(J350,$X:$Y,2,0)</f>
        <v>#N/A</v>
      </c>
      <c r="N350" s="1" t="e">
        <f>VLOOKUP(K350,$AA:$AB,2,0)</f>
        <v>#N/A</v>
      </c>
      <c r="O350" s="1">
        <f>IF(A350&lt;&gt;"",N350+M350+L350+F350+G350+H350,0)</f>
        <v>0</v>
      </c>
    </row>
    <row r="351" spans="1:15" x14ac:dyDescent="0.25">
      <c r="A351"/>
      <c r="B351"/>
      <c r="C351" s="1" t="str">
        <f>MID(A351,1,2)</f>
        <v/>
      </c>
      <c r="D351" s="1" t="str">
        <f>MID(B351,3,2)</f>
        <v/>
      </c>
      <c r="E351" s="1" t="str">
        <f>CONCATENATE(I351,K351)</f>
        <v/>
      </c>
      <c r="F351" s="1" t="e">
        <f>VLOOKUP(I351,$U$23:$AL$40,MATCH(J351,$U$23:$AL$23,0),FALSE)</f>
        <v>#N/A</v>
      </c>
      <c r="G351" s="1" t="e">
        <f>VLOOKUP(J351,$U$23:$AL$40,MATCH(K351,$U$23:$AL$23,0),FALSE)</f>
        <v>#N/A</v>
      </c>
      <c r="H351" s="1" t="e">
        <f>VLOOKUP(I351,$U$23:$AL$40,MATCH(K351,$U$23:$AL$23,0),FALSE)</f>
        <v>#N/A</v>
      </c>
      <c r="I351" s="1" t="str">
        <f>MID(A351,1,1)</f>
        <v/>
      </c>
      <c r="J351" s="1" t="str">
        <f>MID(A351,2,1)</f>
        <v/>
      </c>
      <c r="K351" s="1" t="str">
        <f>MID(A351,4,1)</f>
        <v/>
      </c>
      <c r="L351" s="1" t="e">
        <f>VLOOKUP(I351,$U:$V,2,0)</f>
        <v>#N/A</v>
      </c>
      <c r="M351" s="1" t="e">
        <f>VLOOKUP(J351,$X:$Y,2,0)</f>
        <v>#N/A</v>
      </c>
      <c r="N351" s="1" t="e">
        <f>VLOOKUP(K351,$AA:$AB,2,0)</f>
        <v>#N/A</v>
      </c>
      <c r="O351" s="1">
        <f>IF(A351&lt;&gt;"",N351+M351+L351+F351+G351+H351,0)</f>
        <v>0</v>
      </c>
    </row>
    <row r="352" spans="1:15" x14ac:dyDescent="0.25">
      <c r="A352"/>
      <c r="B352"/>
      <c r="C352" s="1" t="str">
        <f>MID(A352,1,2)</f>
        <v/>
      </c>
      <c r="D352" s="1" t="str">
        <f>MID(B352,3,2)</f>
        <v/>
      </c>
      <c r="E352" s="1" t="str">
        <f>CONCATENATE(I352,K352)</f>
        <v/>
      </c>
      <c r="F352" s="1" t="e">
        <f>VLOOKUP(I352,$U$23:$AL$40,MATCH(J352,$U$23:$AL$23,0),FALSE)</f>
        <v>#N/A</v>
      </c>
      <c r="G352" s="1" t="e">
        <f>VLOOKUP(J352,$U$23:$AL$40,MATCH(K352,$U$23:$AL$23,0),FALSE)</f>
        <v>#N/A</v>
      </c>
      <c r="H352" s="1" t="e">
        <f>VLOOKUP(I352,$U$23:$AL$40,MATCH(K352,$U$23:$AL$23,0),FALSE)</f>
        <v>#N/A</v>
      </c>
      <c r="I352" s="1" t="str">
        <f>MID(A352,1,1)</f>
        <v/>
      </c>
      <c r="J352" s="1" t="str">
        <f>MID(A352,2,1)</f>
        <v/>
      </c>
      <c r="K352" s="1" t="str">
        <f>MID(A352,4,1)</f>
        <v/>
      </c>
      <c r="L352" s="1" t="e">
        <f>VLOOKUP(I352,$U:$V,2,0)</f>
        <v>#N/A</v>
      </c>
      <c r="M352" s="1" t="e">
        <f>VLOOKUP(J352,$X:$Y,2,0)</f>
        <v>#N/A</v>
      </c>
      <c r="N352" s="1" t="e">
        <f>VLOOKUP(K352,$AA:$AB,2,0)</f>
        <v>#N/A</v>
      </c>
      <c r="O352" s="1">
        <f>IF(A352&lt;&gt;"",N352+M352+L352+F352+G352+H352,0)</f>
        <v>0</v>
      </c>
    </row>
    <row r="353" spans="1:15" x14ac:dyDescent="0.25">
      <c r="A353"/>
      <c r="B353"/>
      <c r="C353" s="1" t="str">
        <f>MID(A353,1,2)</f>
        <v/>
      </c>
      <c r="D353" s="1" t="str">
        <f>MID(B353,3,2)</f>
        <v/>
      </c>
      <c r="E353" s="1" t="str">
        <f>CONCATENATE(I353,K353)</f>
        <v/>
      </c>
      <c r="F353" s="1" t="e">
        <f>VLOOKUP(I353,$U$23:$AL$40,MATCH(J353,$U$23:$AL$23,0),FALSE)</f>
        <v>#N/A</v>
      </c>
      <c r="G353" s="1" t="e">
        <f>VLOOKUP(J353,$U$23:$AL$40,MATCH(K353,$U$23:$AL$23,0),FALSE)</f>
        <v>#N/A</v>
      </c>
      <c r="H353" s="1" t="e">
        <f>VLOOKUP(I353,$U$23:$AL$40,MATCH(K353,$U$23:$AL$23,0),FALSE)</f>
        <v>#N/A</v>
      </c>
      <c r="I353" s="1" t="str">
        <f>MID(A353,1,1)</f>
        <v/>
      </c>
      <c r="J353" s="1" t="str">
        <f>MID(A353,2,1)</f>
        <v/>
      </c>
      <c r="K353" s="1" t="str">
        <f>MID(A353,4,1)</f>
        <v/>
      </c>
      <c r="L353" s="1" t="e">
        <f>VLOOKUP(I353,$U:$V,2,0)</f>
        <v>#N/A</v>
      </c>
      <c r="M353" s="1" t="e">
        <f>VLOOKUP(J353,$X:$Y,2,0)</f>
        <v>#N/A</v>
      </c>
      <c r="N353" s="1" t="e">
        <f>VLOOKUP(K353,$AA:$AB,2,0)</f>
        <v>#N/A</v>
      </c>
      <c r="O353" s="1">
        <f>IF(A353&lt;&gt;"",N353+M353+L353+F353+G353+H353,0)</f>
        <v>0</v>
      </c>
    </row>
    <row r="354" spans="1:15" x14ac:dyDescent="0.25">
      <c r="A354"/>
      <c r="B354"/>
      <c r="C354" s="1" t="str">
        <f>MID(A354,1,2)</f>
        <v/>
      </c>
      <c r="D354" s="1" t="str">
        <f>MID(B354,3,2)</f>
        <v/>
      </c>
      <c r="E354" s="1" t="str">
        <f>CONCATENATE(I354,K354)</f>
        <v/>
      </c>
      <c r="F354" s="1" t="e">
        <f>VLOOKUP(I354,$U$23:$AL$40,MATCH(J354,$U$23:$AL$23,0),FALSE)</f>
        <v>#N/A</v>
      </c>
      <c r="G354" s="1" t="e">
        <f>VLOOKUP(J354,$U$23:$AL$40,MATCH(K354,$U$23:$AL$23,0),FALSE)</f>
        <v>#N/A</v>
      </c>
      <c r="H354" s="1" t="e">
        <f>VLOOKUP(I354,$U$23:$AL$40,MATCH(K354,$U$23:$AL$23,0),FALSE)</f>
        <v>#N/A</v>
      </c>
      <c r="I354" s="1" t="str">
        <f>MID(A354,1,1)</f>
        <v/>
      </c>
      <c r="J354" s="1" t="str">
        <f>MID(A354,2,1)</f>
        <v/>
      </c>
      <c r="K354" s="1" t="str">
        <f>MID(A354,4,1)</f>
        <v/>
      </c>
      <c r="L354" s="1" t="e">
        <f>VLOOKUP(I354,$U:$V,2,0)</f>
        <v>#N/A</v>
      </c>
      <c r="M354" s="1" t="e">
        <f>VLOOKUP(J354,$X:$Y,2,0)</f>
        <v>#N/A</v>
      </c>
      <c r="N354" s="1" t="e">
        <f>VLOOKUP(K354,$AA:$AB,2,0)</f>
        <v>#N/A</v>
      </c>
      <c r="O354" s="1">
        <f>IF(A354&lt;&gt;"",N354+M354+L354+F354+G354+H354,0)</f>
        <v>0</v>
      </c>
    </row>
    <row r="355" spans="1:15" x14ac:dyDescent="0.25">
      <c r="A355"/>
      <c r="B355"/>
      <c r="C355" s="1" t="str">
        <f>MID(A355,1,2)</f>
        <v/>
      </c>
      <c r="D355" s="1" t="str">
        <f>MID(B355,3,2)</f>
        <v/>
      </c>
      <c r="E355" s="1" t="str">
        <f>CONCATENATE(I355,K355)</f>
        <v/>
      </c>
      <c r="F355" s="1" t="e">
        <f>VLOOKUP(I355,$U$23:$AL$40,MATCH(J355,$U$23:$AL$23,0),FALSE)</f>
        <v>#N/A</v>
      </c>
      <c r="G355" s="1" t="e">
        <f>VLOOKUP(J355,$U$23:$AL$40,MATCH(K355,$U$23:$AL$23,0),FALSE)</f>
        <v>#N/A</v>
      </c>
      <c r="H355" s="1" t="e">
        <f>VLOOKUP(I355,$U$23:$AL$40,MATCH(K355,$U$23:$AL$23,0),FALSE)</f>
        <v>#N/A</v>
      </c>
      <c r="I355" s="1" t="str">
        <f>MID(A355,1,1)</f>
        <v/>
      </c>
      <c r="J355" s="1" t="str">
        <f>MID(A355,2,1)</f>
        <v/>
      </c>
      <c r="K355" s="1" t="str">
        <f>MID(A355,4,1)</f>
        <v/>
      </c>
      <c r="L355" s="1" t="e">
        <f>VLOOKUP(I355,$U:$V,2,0)</f>
        <v>#N/A</v>
      </c>
      <c r="M355" s="1" t="e">
        <f>VLOOKUP(J355,$X:$Y,2,0)</f>
        <v>#N/A</v>
      </c>
      <c r="N355" s="1" t="e">
        <f>VLOOKUP(K355,$AA:$AB,2,0)</f>
        <v>#N/A</v>
      </c>
      <c r="O355" s="1">
        <f>IF(A355&lt;&gt;"",N355+M355+L355+F355+G355+H355,0)</f>
        <v>0</v>
      </c>
    </row>
    <row r="356" spans="1:15" x14ac:dyDescent="0.25">
      <c r="A356"/>
      <c r="B356"/>
      <c r="C356" s="1" t="str">
        <f>MID(A356,1,2)</f>
        <v/>
      </c>
      <c r="D356" s="1" t="str">
        <f>MID(B356,3,2)</f>
        <v/>
      </c>
      <c r="E356" s="1" t="str">
        <f>CONCATENATE(I356,K356)</f>
        <v/>
      </c>
      <c r="F356" s="1" t="e">
        <f>VLOOKUP(I356,$U$23:$AL$40,MATCH(J356,$U$23:$AL$23,0),FALSE)</f>
        <v>#N/A</v>
      </c>
      <c r="G356" s="1" t="e">
        <f>VLOOKUP(J356,$U$23:$AL$40,MATCH(K356,$U$23:$AL$23,0),FALSE)</f>
        <v>#N/A</v>
      </c>
      <c r="H356" s="1" t="e">
        <f>VLOOKUP(I356,$U$23:$AL$40,MATCH(K356,$U$23:$AL$23,0),FALSE)</f>
        <v>#N/A</v>
      </c>
      <c r="I356" s="1" t="str">
        <f>MID(A356,1,1)</f>
        <v/>
      </c>
      <c r="J356" s="1" t="str">
        <f>MID(A356,2,1)</f>
        <v/>
      </c>
      <c r="K356" s="1" t="str">
        <f>MID(A356,4,1)</f>
        <v/>
      </c>
      <c r="L356" s="1" t="e">
        <f>VLOOKUP(I356,$U:$V,2,0)</f>
        <v>#N/A</v>
      </c>
      <c r="M356" s="1" t="e">
        <f>VLOOKUP(J356,$X:$Y,2,0)</f>
        <v>#N/A</v>
      </c>
      <c r="N356" s="1" t="e">
        <f>VLOOKUP(K356,$AA:$AB,2,0)</f>
        <v>#N/A</v>
      </c>
      <c r="O356" s="1">
        <f>IF(A356&lt;&gt;"",N356+M356+L356+F356+G356+H356,0)</f>
        <v>0</v>
      </c>
    </row>
    <row r="357" spans="1:15" x14ac:dyDescent="0.25">
      <c r="A357"/>
      <c r="B357"/>
      <c r="C357" s="1" t="str">
        <f>MID(A357,1,2)</f>
        <v/>
      </c>
      <c r="D357" s="1" t="str">
        <f>MID(B357,3,2)</f>
        <v/>
      </c>
      <c r="E357" s="1" t="str">
        <f>CONCATENATE(I357,K357)</f>
        <v/>
      </c>
      <c r="F357" s="1" t="e">
        <f>VLOOKUP(I357,$U$23:$AL$40,MATCH(J357,$U$23:$AL$23,0),FALSE)</f>
        <v>#N/A</v>
      </c>
      <c r="G357" s="1" t="e">
        <f>VLOOKUP(J357,$U$23:$AL$40,MATCH(K357,$U$23:$AL$23,0),FALSE)</f>
        <v>#N/A</v>
      </c>
      <c r="H357" s="1" t="e">
        <f>VLOOKUP(I357,$U$23:$AL$40,MATCH(K357,$U$23:$AL$23,0),FALSE)</f>
        <v>#N/A</v>
      </c>
      <c r="I357" s="1" t="str">
        <f>MID(A357,1,1)</f>
        <v/>
      </c>
      <c r="J357" s="1" t="str">
        <f>MID(A357,2,1)</f>
        <v/>
      </c>
      <c r="K357" s="1" t="str">
        <f>MID(A357,4,1)</f>
        <v/>
      </c>
      <c r="L357" s="1" t="e">
        <f>VLOOKUP(I357,$U:$V,2,0)</f>
        <v>#N/A</v>
      </c>
      <c r="M357" s="1" t="e">
        <f>VLOOKUP(J357,$X:$Y,2,0)</f>
        <v>#N/A</v>
      </c>
      <c r="N357" s="1" t="e">
        <f>VLOOKUP(K357,$AA:$AB,2,0)</f>
        <v>#N/A</v>
      </c>
      <c r="O357" s="1">
        <f>IF(A357&lt;&gt;"",N357+M357+L357+F357+G357+H357,0)</f>
        <v>0</v>
      </c>
    </row>
    <row r="358" spans="1:15" x14ac:dyDescent="0.25">
      <c r="A358"/>
      <c r="B358"/>
      <c r="C358" s="1" t="str">
        <f>MID(A358,1,2)</f>
        <v/>
      </c>
      <c r="D358" s="1" t="str">
        <f>MID(B358,3,2)</f>
        <v/>
      </c>
      <c r="E358" s="1" t="str">
        <f>CONCATENATE(I358,K358)</f>
        <v/>
      </c>
      <c r="F358" s="1" t="e">
        <f>VLOOKUP(I358,$U$23:$AL$40,MATCH(J358,$U$23:$AL$23,0),FALSE)</f>
        <v>#N/A</v>
      </c>
      <c r="G358" s="1" t="e">
        <f>VLOOKUP(J358,$U$23:$AL$40,MATCH(K358,$U$23:$AL$23,0),FALSE)</f>
        <v>#N/A</v>
      </c>
      <c r="H358" s="1" t="e">
        <f>VLOOKUP(I358,$U$23:$AL$40,MATCH(K358,$U$23:$AL$23,0),FALSE)</f>
        <v>#N/A</v>
      </c>
      <c r="I358" s="1" t="str">
        <f>MID(A358,1,1)</f>
        <v/>
      </c>
      <c r="J358" s="1" t="str">
        <f>MID(A358,2,1)</f>
        <v/>
      </c>
      <c r="K358" s="1" t="str">
        <f>MID(A358,4,1)</f>
        <v/>
      </c>
      <c r="L358" s="1" t="e">
        <f>VLOOKUP(I358,$U:$V,2,0)</f>
        <v>#N/A</v>
      </c>
      <c r="M358" s="1" t="e">
        <f>VLOOKUP(J358,$X:$Y,2,0)</f>
        <v>#N/A</v>
      </c>
      <c r="N358" s="1" t="e">
        <f>VLOOKUP(K358,$AA:$AB,2,0)</f>
        <v>#N/A</v>
      </c>
      <c r="O358" s="1">
        <f>IF(A358&lt;&gt;"",N358+M358+L358+F358+G358+H358,0)</f>
        <v>0</v>
      </c>
    </row>
    <row r="359" spans="1:15" x14ac:dyDescent="0.25">
      <c r="A359"/>
      <c r="B359"/>
      <c r="C359" s="1" t="str">
        <f>MID(A359,1,2)</f>
        <v/>
      </c>
      <c r="D359" s="1" t="str">
        <f>MID(B359,3,2)</f>
        <v/>
      </c>
      <c r="E359" s="1" t="str">
        <f>CONCATENATE(I359,K359)</f>
        <v/>
      </c>
      <c r="F359" s="1" t="e">
        <f>VLOOKUP(I359,$U$23:$AL$40,MATCH(J359,$U$23:$AL$23,0),FALSE)</f>
        <v>#N/A</v>
      </c>
      <c r="G359" s="1" t="e">
        <f>VLOOKUP(J359,$U$23:$AL$40,MATCH(K359,$U$23:$AL$23,0),FALSE)</f>
        <v>#N/A</v>
      </c>
      <c r="H359" s="1" t="e">
        <f>VLOOKUP(I359,$U$23:$AL$40,MATCH(K359,$U$23:$AL$23,0),FALSE)</f>
        <v>#N/A</v>
      </c>
      <c r="I359" s="1" t="str">
        <f>MID(A359,1,1)</f>
        <v/>
      </c>
      <c r="J359" s="1" t="str">
        <f>MID(A359,2,1)</f>
        <v/>
      </c>
      <c r="K359" s="1" t="str">
        <f>MID(A359,4,1)</f>
        <v/>
      </c>
      <c r="L359" s="1" t="e">
        <f>VLOOKUP(I359,$U:$V,2,0)</f>
        <v>#N/A</v>
      </c>
      <c r="M359" s="1" t="e">
        <f>VLOOKUP(J359,$X:$Y,2,0)</f>
        <v>#N/A</v>
      </c>
      <c r="N359" s="1" t="e">
        <f>VLOOKUP(K359,$AA:$AB,2,0)</f>
        <v>#N/A</v>
      </c>
      <c r="O359" s="1">
        <f>IF(A359&lt;&gt;"",N359+M359+L359+F359+G359+H359,0)</f>
        <v>0</v>
      </c>
    </row>
    <row r="360" spans="1:15" x14ac:dyDescent="0.25">
      <c r="A360"/>
      <c r="B360"/>
      <c r="C360" s="1" t="str">
        <f>MID(A360,1,2)</f>
        <v/>
      </c>
      <c r="D360" s="1" t="str">
        <f>MID(B360,3,2)</f>
        <v/>
      </c>
      <c r="E360" s="1" t="str">
        <f>CONCATENATE(I360,K360)</f>
        <v/>
      </c>
      <c r="F360" s="1" t="e">
        <f>VLOOKUP(I360,$U$23:$AL$40,MATCH(J360,$U$23:$AL$23,0),FALSE)</f>
        <v>#N/A</v>
      </c>
      <c r="G360" s="1" t="e">
        <f>VLOOKUP(J360,$U$23:$AL$40,MATCH(K360,$U$23:$AL$23,0),FALSE)</f>
        <v>#N/A</v>
      </c>
      <c r="H360" s="1" t="e">
        <f>VLOOKUP(I360,$U$23:$AL$40,MATCH(K360,$U$23:$AL$23,0),FALSE)</f>
        <v>#N/A</v>
      </c>
      <c r="I360" s="1" t="str">
        <f>MID(A360,1,1)</f>
        <v/>
      </c>
      <c r="J360" s="1" t="str">
        <f>MID(A360,2,1)</f>
        <v/>
      </c>
      <c r="K360" s="1" t="str">
        <f>MID(A360,4,1)</f>
        <v/>
      </c>
      <c r="L360" s="1" t="e">
        <f>VLOOKUP(I360,$U:$V,2,0)</f>
        <v>#N/A</v>
      </c>
      <c r="M360" s="1" t="e">
        <f>VLOOKUP(J360,$X:$Y,2,0)</f>
        <v>#N/A</v>
      </c>
      <c r="N360" s="1" t="e">
        <f>VLOOKUP(K360,$AA:$AB,2,0)</f>
        <v>#N/A</v>
      </c>
      <c r="O360" s="1">
        <f>IF(A360&lt;&gt;"",N360+M360+L360+F360+G360+H360,0)</f>
        <v>0</v>
      </c>
    </row>
    <row r="361" spans="1:15" x14ac:dyDescent="0.25">
      <c r="A361"/>
      <c r="B361"/>
      <c r="C361" s="1" t="str">
        <f>MID(A361,1,2)</f>
        <v/>
      </c>
      <c r="D361" s="1" t="str">
        <f>MID(B361,3,2)</f>
        <v/>
      </c>
      <c r="E361" s="1" t="str">
        <f>CONCATENATE(I361,K361)</f>
        <v/>
      </c>
      <c r="F361" s="1" t="e">
        <f>VLOOKUP(I361,$U$23:$AL$40,MATCH(J361,$U$23:$AL$23,0),FALSE)</f>
        <v>#N/A</v>
      </c>
      <c r="G361" s="1" t="e">
        <f>VLOOKUP(J361,$U$23:$AL$40,MATCH(K361,$U$23:$AL$23,0),FALSE)</f>
        <v>#N/A</v>
      </c>
      <c r="H361" s="1" t="e">
        <f>VLOOKUP(I361,$U$23:$AL$40,MATCH(K361,$U$23:$AL$23,0),FALSE)</f>
        <v>#N/A</v>
      </c>
      <c r="I361" s="1" t="str">
        <f>MID(A361,1,1)</f>
        <v/>
      </c>
      <c r="J361" s="1" t="str">
        <f>MID(A361,2,1)</f>
        <v/>
      </c>
      <c r="K361" s="1" t="str">
        <f>MID(A361,4,1)</f>
        <v/>
      </c>
      <c r="L361" s="1" t="e">
        <f>VLOOKUP(I361,$U:$V,2,0)</f>
        <v>#N/A</v>
      </c>
      <c r="M361" s="1" t="e">
        <f>VLOOKUP(J361,$X:$Y,2,0)</f>
        <v>#N/A</v>
      </c>
      <c r="N361" s="1" t="e">
        <f>VLOOKUP(K361,$AA:$AB,2,0)</f>
        <v>#N/A</v>
      </c>
      <c r="O361" s="1">
        <f>IF(A361&lt;&gt;"",N361+M361+L361+F361+G361+H361,0)</f>
        <v>0</v>
      </c>
    </row>
    <row r="362" spans="1:15" x14ac:dyDescent="0.25">
      <c r="A362"/>
      <c r="B362"/>
      <c r="C362" s="1" t="str">
        <f>MID(A362,1,2)</f>
        <v/>
      </c>
      <c r="D362" s="1" t="str">
        <f>MID(B362,3,2)</f>
        <v/>
      </c>
      <c r="E362" s="1" t="str">
        <f>CONCATENATE(I362,K362)</f>
        <v/>
      </c>
      <c r="F362" s="1" t="e">
        <f>VLOOKUP(I362,$U$23:$AL$40,MATCH(J362,$U$23:$AL$23,0),FALSE)</f>
        <v>#N/A</v>
      </c>
      <c r="G362" s="1" t="e">
        <f>VLOOKUP(J362,$U$23:$AL$40,MATCH(K362,$U$23:$AL$23,0),FALSE)</f>
        <v>#N/A</v>
      </c>
      <c r="H362" s="1" t="e">
        <f>VLOOKUP(I362,$U$23:$AL$40,MATCH(K362,$U$23:$AL$23,0),FALSE)</f>
        <v>#N/A</v>
      </c>
      <c r="I362" s="1" t="str">
        <f>MID(A362,1,1)</f>
        <v/>
      </c>
      <c r="J362" s="1" t="str">
        <f>MID(A362,2,1)</f>
        <v/>
      </c>
      <c r="K362" s="1" t="str">
        <f>MID(A362,4,1)</f>
        <v/>
      </c>
      <c r="L362" s="1" t="e">
        <f>VLOOKUP(I362,$U:$V,2,0)</f>
        <v>#N/A</v>
      </c>
      <c r="M362" s="1" t="e">
        <f>VLOOKUP(J362,$X:$Y,2,0)</f>
        <v>#N/A</v>
      </c>
      <c r="N362" s="1" t="e">
        <f>VLOOKUP(K362,$AA:$AB,2,0)</f>
        <v>#N/A</v>
      </c>
      <c r="O362" s="1">
        <f>IF(A362&lt;&gt;"",N362+M362+L362+F362+G362+H362,0)</f>
        <v>0</v>
      </c>
    </row>
    <row r="363" spans="1:15" x14ac:dyDescent="0.25">
      <c r="A363"/>
      <c r="B363"/>
      <c r="C363" s="1" t="str">
        <f>MID(A363,1,2)</f>
        <v/>
      </c>
      <c r="D363" s="1" t="str">
        <f>MID(B363,3,2)</f>
        <v/>
      </c>
      <c r="E363" s="1" t="str">
        <f>CONCATENATE(I363,K363)</f>
        <v/>
      </c>
      <c r="F363" s="1" t="e">
        <f>VLOOKUP(I363,$U$23:$AL$40,MATCH(J363,$U$23:$AL$23,0),FALSE)</f>
        <v>#N/A</v>
      </c>
      <c r="G363" s="1" t="e">
        <f>VLOOKUP(J363,$U$23:$AL$40,MATCH(K363,$U$23:$AL$23,0),FALSE)</f>
        <v>#N/A</v>
      </c>
      <c r="H363" s="1" t="e">
        <f>VLOOKUP(I363,$U$23:$AL$40,MATCH(K363,$U$23:$AL$23,0),FALSE)</f>
        <v>#N/A</v>
      </c>
      <c r="I363" s="1" t="str">
        <f>MID(A363,1,1)</f>
        <v/>
      </c>
      <c r="J363" s="1" t="str">
        <f>MID(A363,2,1)</f>
        <v/>
      </c>
      <c r="K363" s="1" t="str">
        <f>MID(A363,4,1)</f>
        <v/>
      </c>
      <c r="L363" s="1" t="e">
        <f>VLOOKUP(I363,$U:$V,2,0)</f>
        <v>#N/A</v>
      </c>
      <c r="M363" s="1" t="e">
        <f>VLOOKUP(J363,$X:$Y,2,0)</f>
        <v>#N/A</v>
      </c>
      <c r="N363" s="1" t="e">
        <f>VLOOKUP(K363,$AA:$AB,2,0)</f>
        <v>#N/A</v>
      </c>
      <c r="O363" s="1">
        <f>IF(A363&lt;&gt;"",N363+M363+L363+F363+G363+H363,0)</f>
        <v>0</v>
      </c>
    </row>
    <row r="364" spans="1:15" x14ac:dyDescent="0.25">
      <c r="A364"/>
      <c r="B364"/>
      <c r="C364" s="1" t="str">
        <f>MID(A364,1,2)</f>
        <v/>
      </c>
      <c r="D364" s="1" t="str">
        <f>MID(B364,3,2)</f>
        <v/>
      </c>
      <c r="E364" s="1" t="str">
        <f>CONCATENATE(I364,K364)</f>
        <v/>
      </c>
      <c r="F364" s="1" t="e">
        <f>VLOOKUP(I364,$U$23:$AL$40,MATCH(J364,$U$23:$AL$23,0),FALSE)</f>
        <v>#N/A</v>
      </c>
      <c r="G364" s="1" t="e">
        <f>VLOOKUP(J364,$U$23:$AL$40,MATCH(K364,$U$23:$AL$23,0),FALSE)</f>
        <v>#N/A</v>
      </c>
      <c r="H364" s="1" t="e">
        <f>VLOOKUP(I364,$U$23:$AL$40,MATCH(K364,$U$23:$AL$23,0),FALSE)</f>
        <v>#N/A</v>
      </c>
      <c r="I364" s="1" t="str">
        <f>MID(A364,1,1)</f>
        <v/>
      </c>
      <c r="J364" s="1" t="str">
        <f>MID(A364,2,1)</f>
        <v/>
      </c>
      <c r="K364" s="1" t="str">
        <f>MID(A364,4,1)</f>
        <v/>
      </c>
      <c r="L364" s="1" t="e">
        <f>VLOOKUP(I364,$U:$V,2,0)</f>
        <v>#N/A</v>
      </c>
      <c r="M364" s="1" t="e">
        <f>VLOOKUP(J364,$X:$Y,2,0)</f>
        <v>#N/A</v>
      </c>
      <c r="N364" s="1" t="e">
        <f>VLOOKUP(K364,$AA:$AB,2,0)</f>
        <v>#N/A</v>
      </c>
      <c r="O364" s="1">
        <f>IF(A364&lt;&gt;"",N364+M364+L364+F364+G364+H364,0)</f>
        <v>0</v>
      </c>
    </row>
    <row r="365" spans="1:15" x14ac:dyDescent="0.25">
      <c r="A365"/>
      <c r="B365"/>
      <c r="C365" s="1" t="str">
        <f>MID(A365,1,2)</f>
        <v/>
      </c>
      <c r="D365" s="1" t="str">
        <f>MID(B365,3,2)</f>
        <v/>
      </c>
      <c r="E365" s="1" t="str">
        <f>CONCATENATE(I365,K365)</f>
        <v/>
      </c>
      <c r="F365" s="1" t="e">
        <f>VLOOKUP(I365,$U$23:$AL$40,MATCH(J365,$U$23:$AL$23,0),FALSE)</f>
        <v>#N/A</v>
      </c>
      <c r="G365" s="1" t="e">
        <f>VLOOKUP(J365,$U$23:$AL$40,MATCH(K365,$U$23:$AL$23,0),FALSE)</f>
        <v>#N/A</v>
      </c>
      <c r="H365" s="1" t="e">
        <f>VLOOKUP(I365,$U$23:$AL$40,MATCH(K365,$U$23:$AL$23,0),FALSE)</f>
        <v>#N/A</v>
      </c>
      <c r="I365" s="1" t="str">
        <f>MID(A365,1,1)</f>
        <v/>
      </c>
      <c r="J365" s="1" t="str">
        <f>MID(A365,2,1)</f>
        <v/>
      </c>
      <c r="K365" s="1" t="str">
        <f>MID(A365,4,1)</f>
        <v/>
      </c>
      <c r="L365" s="1" t="e">
        <f>VLOOKUP(I365,$U:$V,2,0)</f>
        <v>#N/A</v>
      </c>
      <c r="M365" s="1" t="e">
        <f>VLOOKUP(J365,$X:$Y,2,0)</f>
        <v>#N/A</v>
      </c>
      <c r="N365" s="1" t="e">
        <f>VLOOKUP(K365,$AA:$AB,2,0)</f>
        <v>#N/A</v>
      </c>
      <c r="O365" s="1">
        <f>IF(A365&lt;&gt;"",N365+M365+L365+F365+G365+H365,0)</f>
        <v>0</v>
      </c>
    </row>
    <row r="366" spans="1:15" x14ac:dyDescent="0.25">
      <c r="A366"/>
      <c r="B366"/>
      <c r="C366" s="1" t="str">
        <f>MID(A366,1,2)</f>
        <v/>
      </c>
      <c r="D366" s="1" t="str">
        <f>MID(B366,3,2)</f>
        <v/>
      </c>
      <c r="E366" s="1" t="str">
        <f>CONCATENATE(I366,K366)</f>
        <v/>
      </c>
      <c r="F366" s="1" t="e">
        <f>VLOOKUP(I366,$U$23:$AL$40,MATCH(J366,$U$23:$AL$23,0),FALSE)</f>
        <v>#N/A</v>
      </c>
      <c r="G366" s="1" t="e">
        <f>VLOOKUP(J366,$U$23:$AL$40,MATCH(K366,$U$23:$AL$23,0),FALSE)</f>
        <v>#N/A</v>
      </c>
      <c r="H366" s="1" t="e">
        <f>VLOOKUP(I366,$U$23:$AL$40,MATCH(K366,$U$23:$AL$23,0),FALSE)</f>
        <v>#N/A</v>
      </c>
      <c r="I366" s="1" t="str">
        <f>MID(A366,1,1)</f>
        <v/>
      </c>
      <c r="J366" s="1" t="str">
        <f>MID(A366,2,1)</f>
        <v/>
      </c>
      <c r="K366" s="1" t="str">
        <f>MID(A366,4,1)</f>
        <v/>
      </c>
      <c r="L366" s="1" t="e">
        <f>VLOOKUP(I366,$U:$V,2,0)</f>
        <v>#N/A</v>
      </c>
      <c r="M366" s="1" t="e">
        <f>VLOOKUP(J366,$X:$Y,2,0)</f>
        <v>#N/A</v>
      </c>
      <c r="N366" s="1" t="e">
        <f>VLOOKUP(K366,$AA:$AB,2,0)</f>
        <v>#N/A</v>
      </c>
      <c r="O366" s="1">
        <f>IF(A366&lt;&gt;"",N366+M366+L366+F366+G366+H366,0)</f>
        <v>0</v>
      </c>
    </row>
    <row r="367" spans="1:15" x14ac:dyDescent="0.25">
      <c r="A367"/>
      <c r="B367"/>
      <c r="C367" s="1" t="str">
        <f>MID(A367,1,2)</f>
        <v/>
      </c>
      <c r="D367" s="1" t="str">
        <f>MID(B367,3,2)</f>
        <v/>
      </c>
      <c r="E367" s="1" t="str">
        <f>CONCATENATE(I367,K367)</f>
        <v/>
      </c>
      <c r="F367" s="1" t="e">
        <f>VLOOKUP(I367,$U$23:$AL$40,MATCH(J367,$U$23:$AL$23,0),FALSE)</f>
        <v>#N/A</v>
      </c>
      <c r="G367" s="1" t="e">
        <f>VLOOKUP(J367,$U$23:$AL$40,MATCH(K367,$U$23:$AL$23,0),FALSE)</f>
        <v>#N/A</v>
      </c>
      <c r="H367" s="1" t="e">
        <f>VLOOKUP(I367,$U$23:$AL$40,MATCH(K367,$U$23:$AL$23,0),FALSE)</f>
        <v>#N/A</v>
      </c>
      <c r="I367" s="1" t="str">
        <f>MID(A367,1,1)</f>
        <v/>
      </c>
      <c r="J367" s="1" t="str">
        <f>MID(A367,2,1)</f>
        <v/>
      </c>
      <c r="K367" s="1" t="str">
        <f>MID(A367,4,1)</f>
        <v/>
      </c>
      <c r="L367" s="1" t="e">
        <f>VLOOKUP(I367,$U:$V,2,0)</f>
        <v>#N/A</v>
      </c>
      <c r="M367" s="1" t="e">
        <f>VLOOKUP(J367,$X:$Y,2,0)</f>
        <v>#N/A</v>
      </c>
      <c r="N367" s="1" t="e">
        <f>VLOOKUP(K367,$AA:$AB,2,0)</f>
        <v>#N/A</v>
      </c>
      <c r="O367" s="1">
        <f>IF(A367&lt;&gt;"",N367+M367+L367+F367+G367+H367,0)</f>
        <v>0</v>
      </c>
    </row>
    <row r="368" spans="1:15" x14ac:dyDescent="0.25">
      <c r="A368"/>
      <c r="B368"/>
      <c r="C368" s="1" t="str">
        <f>MID(A368,1,2)</f>
        <v/>
      </c>
      <c r="D368" s="1" t="str">
        <f>MID(B368,3,2)</f>
        <v/>
      </c>
      <c r="E368" s="1" t="str">
        <f>CONCATENATE(I368,K368)</f>
        <v/>
      </c>
      <c r="F368" s="1" t="e">
        <f>VLOOKUP(I368,$U$23:$AL$40,MATCH(J368,$U$23:$AL$23,0),FALSE)</f>
        <v>#N/A</v>
      </c>
      <c r="G368" s="1" t="e">
        <f>VLOOKUP(J368,$U$23:$AL$40,MATCH(K368,$U$23:$AL$23,0),FALSE)</f>
        <v>#N/A</v>
      </c>
      <c r="H368" s="1" t="e">
        <f>VLOOKUP(I368,$U$23:$AL$40,MATCH(K368,$U$23:$AL$23,0),FALSE)</f>
        <v>#N/A</v>
      </c>
      <c r="I368" s="1" t="str">
        <f>MID(A368,1,1)</f>
        <v/>
      </c>
      <c r="J368" s="1" t="str">
        <f>MID(A368,2,1)</f>
        <v/>
      </c>
      <c r="K368" s="1" t="str">
        <f>MID(A368,4,1)</f>
        <v/>
      </c>
      <c r="L368" s="1" t="e">
        <f>VLOOKUP(I368,$U:$V,2,0)</f>
        <v>#N/A</v>
      </c>
      <c r="M368" s="1" t="e">
        <f>VLOOKUP(J368,$X:$Y,2,0)</f>
        <v>#N/A</v>
      </c>
      <c r="N368" s="1" t="e">
        <f>VLOOKUP(K368,$AA:$AB,2,0)</f>
        <v>#N/A</v>
      </c>
      <c r="O368" s="1">
        <f>IF(A368&lt;&gt;"",N368+M368+L368+F368+G368+H368,0)</f>
        <v>0</v>
      </c>
    </row>
    <row r="369" spans="1:15" x14ac:dyDescent="0.25">
      <c r="A369"/>
      <c r="B369"/>
      <c r="C369" s="1" t="str">
        <f>MID(A369,1,2)</f>
        <v/>
      </c>
      <c r="D369" s="1" t="str">
        <f>MID(B369,3,2)</f>
        <v/>
      </c>
      <c r="E369" s="1" t="str">
        <f>CONCATENATE(I369,K369)</f>
        <v/>
      </c>
      <c r="F369" s="1" t="e">
        <f>VLOOKUP(I369,$U$23:$AL$40,MATCH(J369,$U$23:$AL$23,0),FALSE)</f>
        <v>#N/A</v>
      </c>
      <c r="G369" s="1" t="e">
        <f>VLOOKUP(J369,$U$23:$AL$40,MATCH(K369,$U$23:$AL$23,0),FALSE)</f>
        <v>#N/A</v>
      </c>
      <c r="H369" s="1" t="e">
        <f>VLOOKUP(I369,$U$23:$AL$40,MATCH(K369,$U$23:$AL$23,0),FALSE)</f>
        <v>#N/A</v>
      </c>
      <c r="I369" s="1" t="str">
        <f>MID(A369,1,1)</f>
        <v/>
      </c>
      <c r="J369" s="1" t="str">
        <f>MID(A369,2,1)</f>
        <v/>
      </c>
      <c r="K369" s="1" t="str">
        <f>MID(A369,4,1)</f>
        <v/>
      </c>
      <c r="L369" s="1" t="e">
        <f>VLOOKUP(I369,$U:$V,2,0)</f>
        <v>#N/A</v>
      </c>
      <c r="M369" s="1" t="e">
        <f>VLOOKUP(J369,$X:$Y,2,0)</f>
        <v>#N/A</v>
      </c>
      <c r="N369" s="1" t="e">
        <f>VLOOKUP(K369,$AA:$AB,2,0)</f>
        <v>#N/A</v>
      </c>
      <c r="O369" s="1">
        <f>IF(A369&lt;&gt;"",N369+M369+L369+F369+G369+H369,0)</f>
        <v>0</v>
      </c>
    </row>
    <row r="370" spans="1:15" x14ac:dyDescent="0.25">
      <c r="A370"/>
      <c r="B370"/>
      <c r="C370" s="1" t="str">
        <f>MID(A370,1,2)</f>
        <v/>
      </c>
      <c r="D370" s="1" t="str">
        <f>MID(B370,3,2)</f>
        <v/>
      </c>
      <c r="E370" s="1" t="str">
        <f>CONCATENATE(I370,K370)</f>
        <v/>
      </c>
      <c r="F370" s="1" t="e">
        <f>VLOOKUP(I370,$U$23:$AL$40,MATCH(J370,$U$23:$AL$23,0),FALSE)</f>
        <v>#N/A</v>
      </c>
      <c r="G370" s="1" t="e">
        <f>VLOOKUP(J370,$U$23:$AL$40,MATCH(K370,$U$23:$AL$23,0),FALSE)</f>
        <v>#N/A</v>
      </c>
      <c r="H370" s="1" t="e">
        <f>VLOOKUP(I370,$U$23:$AL$40,MATCH(K370,$U$23:$AL$23,0),FALSE)</f>
        <v>#N/A</v>
      </c>
      <c r="I370" s="1" t="str">
        <f>MID(A370,1,1)</f>
        <v/>
      </c>
      <c r="J370" s="1" t="str">
        <f>MID(A370,2,1)</f>
        <v/>
      </c>
      <c r="K370" s="1" t="str">
        <f>MID(A370,4,1)</f>
        <v/>
      </c>
      <c r="L370" s="1" t="e">
        <f>VLOOKUP(I370,$U:$V,2,0)</f>
        <v>#N/A</v>
      </c>
      <c r="M370" s="1" t="e">
        <f>VLOOKUP(J370,$X:$Y,2,0)</f>
        <v>#N/A</v>
      </c>
      <c r="N370" s="1" t="e">
        <f>VLOOKUP(K370,$AA:$AB,2,0)</f>
        <v>#N/A</v>
      </c>
      <c r="O370" s="1">
        <f>IF(A370&lt;&gt;"",N370+M370+L370+F370+G370+H370,0)</f>
        <v>0</v>
      </c>
    </row>
    <row r="371" spans="1:15" x14ac:dyDescent="0.25">
      <c r="A371"/>
      <c r="B371"/>
      <c r="C371" s="1" t="str">
        <f>MID(A371,1,2)</f>
        <v/>
      </c>
      <c r="D371" s="1" t="str">
        <f>MID(B371,3,2)</f>
        <v/>
      </c>
      <c r="E371" s="1" t="str">
        <f>CONCATENATE(I371,K371)</f>
        <v/>
      </c>
      <c r="F371" s="1" t="e">
        <f>VLOOKUP(I371,$U$23:$AL$40,MATCH(J371,$U$23:$AL$23,0),FALSE)</f>
        <v>#N/A</v>
      </c>
      <c r="G371" s="1" t="e">
        <f>VLOOKUP(J371,$U$23:$AL$40,MATCH(K371,$U$23:$AL$23,0),FALSE)</f>
        <v>#N/A</v>
      </c>
      <c r="H371" s="1" t="e">
        <f>VLOOKUP(I371,$U$23:$AL$40,MATCH(K371,$U$23:$AL$23,0),FALSE)</f>
        <v>#N/A</v>
      </c>
      <c r="I371" s="1" t="str">
        <f>MID(A371,1,1)</f>
        <v/>
      </c>
      <c r="J371" s="1" t="str">
        <f>MID(A371,2,1)</f>
        <v/>
      </c>
      <c r="K371" s="1" t="str">
        <f>MID(A371,4,1)</f>
        <v/>
      </c>
      <c r="L371" s="1" t="e">
        <f>VLOOKUP(I371,$U:$V,2,0)</f>
        <v>#N/A</v>
      </c>
      <c r="M371" s="1" t="e">
        <f>VLOOKUP(J371,$X:$Y,2,0)</f>
        <v>#N/A</v>
      </c>
      <c r="N371" s="1" t="e">
        <f>VLOOKUP(K371,$AA:$AB,2,0)</f>
        <v>#N/A</v>
      </c>
      <c r="O371" s="1">
        <f>IF(A371&lt;&gt;"",N371+M371+L371+F371+G371+H371,0)</f>
        <v>0</v>
      </c>
    </row>
    <row r="372" spans="1:15" x14ac:dyDescent="0.25">
      <c r="A372"/>
      <c r="B372"/>
      <c r="C372" s="1" t="str">
        <f>MID(A372,1,2)</f>
        <v/>
      </c>
      <c r="D372" s="1" t="str">
        <f>MID(B372,3,2)</f>
        <v/>
      </c>
      <c r="E372" s="1" t="str">
        <f>CONCATENATE(I372,K372)</f>
        <v/>
      </c>
      <c r="F372" s="1" t="e">
        <f>VLOOKUP(I372,$U$23:$AL$40,MATCH(J372,$U$23:$AL$23,0),FALSE)</f>
        <v>#N/A</v>
      </c>
      <c r="G372" s="1" t="e">
        <f>VLOOKUP(J372,$U$23:$AL$40,MATCH(K372,$U$23:$AL$23,0),FALSE)</f>
        <v>#N/A</v>
      </c>
      <c r="H372" s="1" t="e">
        <f>VLOOKUP(I372,$U$23:$AL$40,MATCH(K372,$U$23:$AL$23,0),FALSE)</f>
        <v>#N/A</v>
      </c>
      <c r="I372" s="1" t="str">
        <f>MID(A372,1,1)</f>
        <v/>
      </c>
      <c r="J372" s="1" t="str">
        <f>MID(A372,2,1)</f>
        <v/>
      </c>
      <c r="K372" s="1" t="str">
        <f>MID(A372,4,1)</f>
        <v/>
      </c>
      <c r="L372" s="1" t="e">
        <f>VLOOKUP(I372,$U:$V,2,0)</f>
        <v>#N/A</v>
      </c>
      <c r="M372" s="1" t="e">
        <f>VLOOKUP(J372,$X:$Y,2,0)</f>
        <v>#N/A</v>
      </c>
      <c r="N372" s="1" t="e">
        <f>VLOOKUP(K372,$AA:$AB,2,0)</f>
        <v>#N/A</v>
      </c>
      <c r="O372" s="1">
        <f>IF(A372&lt;&gt;"",N372+M372+L372+F372+G372+H372,0)</f>
        <v>0</v>
      </c>
    </row>
    <row r="373" spans="1:15" x14ac:dyDescent="0.25">
      <c r="A373"/>
      <c r="B373"/>
      <c r="C373" s="1" t="str">
        <f>MID(A373,1,2)</f>
        <v/>
      </c>
      <c r="D373" s="1" t="str">
        <f>MID(B373,3,2)</f>
        <v/>
      </c>
      <c r="E373" s="1" t="str">
        <f>CONCATENATE(I373,K373)</f>
        <v/>
      </c>
      <c r="F373" s="1" t="e">
        <f>VLOOKUP(I373,$U$23:$AL$40,MATCH(J373,$U$23:$AL$23,0),FALSE)</f>
        <v>#N/A</v>
      </c>
      <c r="G373" s="1" t="e">
        <f>VLOOKUP(J373,$U$23:$AL$40,MATCH(K373,$U$23:$AL$23,0),FALSE)</f>
        <v>#N/A</v>
      </c>
      <c r="H373" s="1" t="e">
        <f>VLOOKUP(I373,$U$23:$AL$40,MATCH(K373,$U$23:$AL$23,0),FALSE)</f>
        <v>#N/A</v>
      </c>
      <c r="I373" s="1" t="str">
        <f>MID(A373,1,1)</f>
        <v/>
      </c>
      <c r="J373" s="1" t="str">
        <f>MID(A373,2,1)</f>
        <v/>
      </c>
      <c r="K373" s="1" t="str">
        <f>MID(A373,4,1)</f>
        <v/>
      </c>
      <c r="L373" s="1" t="e">
        <f>VLOOKUP(I373,$U:$V,2,0)</f>
        <v>#N/A</v>
      </c>
      <c r="M373" s="1" t="e">
        <f>VLOOKUP(J373,$X:$Y,2,0)</f>
        <v>#N/A</v>
      </c>
      <c r="N373" s="1" t="e">
        <f>VLOOKUP(K373,$AA:$AB,2,0)</f>
        <v>#N/A</v>
      </c>
      <c r="O373" s="1">
        <f>IF(A373&lt;&gt;"",N373+M373+L373+F373+G373+H373,0)</f>
        <v>0</v>
      </c>
    </row>
    <row r="374" spans="1:15" x14ac:dyDescent="0.25">
      <c r="A374"/>
      <c r="B374"/>
      <c r="C374" s="1" t="str">
        <f>MID(A374,1,2)</f>
        <v/>
      </c>
      <c r="D374" s="1" t="str">
        <f>MID(B374,3,2)</f>
        <v/>
      </c>
      <c r="E374" s="1" t="str">
        <f>CONCATENATE(I374,K374)</f>
        <v/>
      </c>
      <c r="F374" s="1" t="e">
        <f>VLOOKUP(I374,$U$23:$AL$40,MATCH(J374,$U$23:$AL$23,0),FALSE)</f>
        <v>#N/A</v>
      </c>
      <c r="G374" s="1" t="e">
        <f>VLOOKUP(J374,$U$23:$AL$40,MATCH(K374,$U$23:$AL$23,0),FALSE)</f>
        <v>#N/A</v>
      </c>
      <c r="H374" s="1" t="e">
        <f>VLOOKUP(I374,$U$23:$AL$40,MATCH(K374,$U$23:$AL$23,0),FALSE)</f>
        <v>#N/A</v>
      </c>
      <c r="I374" s="1" t="str">
        <f>MID(A374,1,1)</f>
        <v/>
      </c>
      <c r="J374" s="1" t="str">
        <f>MID(A374,2,1)</f>
        <v/>
      </c>
      <c r="K374" s="1" t="str">
        <f>MID(A374,4,1)</f>
        <v/>
      </c>
      <c r="L374" s="1" t="e">
        <f>VLOOKUP(I374,$U:$V,2,0)</f>
        <v>#N/A</v>
      </c>
      <c r="M374" s="1" t="e">
        <f>VLOOKUP(J374,$X:$Y,2,0)</f>
        <v>#N/A</v>
      </c>
      <c r="N374" s="1" t="e">
        <f>VLOOKUP(K374,$AA:$AB,2,0)</f>
        <v>#N/A</v>
      </c>
      <c r="O374" s="1">
        <f>IF(A374&lt;&gt;"",N374+M374+L374+F374+G374+H374,0)</f>
        <v>0</v>
      </c>
    </row>
    <row r="375" spans="1:15" x14ac:dyDescent="0.25">
      <c r="A375"/>
      <c r="B375"/>
      <c r="C375" s="1" t="str">
        <f>MID(A375,1,2)</f>
        <v/>
      </c>
      <c r="D375" s="1" t="str">
        <f>MID(B375,3,2)</f>
        <v/>
      </c>
      <c r="E375" s="1" t="str">
        <f>CONCATENATE(I375,K375)</f>
        <v/>
      </c>
      <c r="F375" s="1" t="e">
        <f>VLOOKUP(I375,$U$23:$AL$40,MATCH(J375,$U$23:$AL$23,0),FALSE)</f>
        <v>#N/A</v>
      </c>
      <c r="G375" s="1" t="e">
        <f>VLOOKUP(J375,$U$23:$AL$40,MATCH(K375,$U$23:$AL$23,0),FALSE)</f>
        <v>#N/A</v>
      </c>
      <c r="H375" s="1" t="e">
        <f>VLOOKUP(I375,$U$23:$AL$40,MATCH(K375,$U$23:$AL$23,0),FALSE)</f>
        <v>#N/A</v>
      </c>
      <c r="I375" s="1" t="str">
        <f>MID(A375,1,1)</f>
        <v/>
      </c>
      <c r="J375" s="1" t="str">
        <f>MID(A375,2,1)</f>
        <v/>
      </c>
      <c r="K375" s="1" t="str">
        <f>MID(A375,4,1)</f>
        <v/>
      </c>
      <c r="L375" s="1" t="e">
        <f>VLOOKUP(I375,$U:$V,2,0)</f>
        <v>#N/A</v>
      </c>
      <c r="M375" s="1" t="e">
        <f>VLOOKUP(J375,$X:$Y,2,0)</f>
        <v>#N/A</v>
      </c>
      <c r="N375" s="1" t="e">
        <f>VLOOKUP(K375,$AA:$AB,2,0)</f>
        <v>#N/A</v>
      </c>
      <c r="O375" s="1">
        <f>IF(A375&lt;&gt;"",N375+M375+L375+F375+G375+H375,0)</f>
        <v>0</v>
      </c>
    </row>
    <row r="376" spans="1:15" x14ac:dyDescent="0.25">
      <c r="A376"/>
      <c r="B376"/>
      <c r="C376" s="1" t="str">
        <f>MID(A376,1,2)</f>
        <v/>
      </c>
      <c r="D376" s="1" t="str">
        <f>MID(B376,3,2)</f>
        <v/>
      </c>
      <c r="E376" s="1" t="str">
        <f>CONCATENATE(I376,K376)</f>
        <v/>
      </c>
      <c r="F376" s="1" t="e">
        <f>VLOOKUP(I376,$U$23:$AL$40,MATCH(J376,$U$23:$AL$23,0),FALSE)</f>
        <v>#N/A</v>
      </c>
      <c r="G376" s="1" t="e">
        <f>VLOOKUP(J376,$U$23:$AL$40,MATCH(K376,$U$23:$AL$23,0),FALSE)</f>
        <v>#N/A</v>
      </c>
      <c r="H376" s="1" t="e">
        <f>VLOOKUP(I376,$U$23:$AL$40,MATCH(K376,$U$23:$AL$23,0),FALSE)</f>
        <v>#N/A</v>
      </c>
      <c r="I376" s="1" t="str">
        <f>MID(A376,1,1)</f>
        <v/>
      </c>
      <c r="J376" s="1" t="str">
        <f>MID(A376,2,1)</f>
        <v/>
      </c>
      <c r="K376" s="1" t="str">
        <f>MID(A376,4,1)</f>
        <v/>
      </c>
      <c r="L376" s="1" t="e">
        <f>VLOOKUP(I376,$U:$V,2,0)</f>
        <v>#N/A</v>
      </c>
      <c r="M376" s="1" t="e">
        <f>VLOOKUP(J376,$X:$Y,2,0)</f>
        <v>#N/A</v>
      </c>
      <c r="N376" s="1" t="e">
        <f>VLOOKUP(K376,$AA:$AB,2,0)</f>
        <v>#N/A</v>
      </c>
      <c r="O376" s="1">
        <f>IF(A376&lt;&gt;"",N376+M376+L376+F376+G376+H376,0)</f>
        <v>0</v>
      </c>
    </row>
    <row r="377" spans="1:15" x14ac:dyDescent="0.25">
      <c r="A377"/>
      <c r="B377"/>
      <c r="C377" s="1" t="str">
        <f>MID(A377,1,2)</f>
        <v/>
      </c>
      <c r="D377" s="1" t="str">
        <f>MID(B377,3,2)</f>
        <v/>
      </c>
      <c r="E377" s="1" t="str">
        <f>CONCATENATE(I377,K377)</f>
        <v/>
      </c>
      <c r="F377" s="1" t="e">
        <f>VLOOKUP(I377,$U$23:$AL$40,MATCH(J377,$U$23:$AL$23,0),FALSE)</f>
        <v>#N/A</v>
      </c>
      <c r="G377" s="1" t="e">
        <f>VLOOKUP(J377,$U$23:$AL$40,MATCH(K377,$U$23:$AL$23,0),FALSE)</f>
        <v>#N/A</v>
      </c>
      <c r="H377" s="1" t="e">
        <f>VLOOKUP(I377,$U$23:$AL$40,MATCH(K377,$U$23:$AL$23,0),FALSE)</f>
        <v>#N/A</v>
      </c>
      <c r="I377" s="1" t="str">
        <f>MID(A377,1,1)</f>
        <v/>
      </c>
      <c r="J377" s="1" t="str">
        <f>MID(A377,2,1)</f>
        <v/>
      </c>
      <c r="K377" s="1" t="str">
        <f>MID(A377,4,1)</f>
        <v/>
      </c>
      <c r="L377" s="1" t="e">
        <f>VLOOKUP(I377,$U:$V,2,0)</f>
        <v>#N/A</v>
      </c>
      <c r="M377" s="1" t="e">
        <f>VLOOKUP(J377,$X:$Y,2,0)</f>
        <v>#N/A</v>
      </c>
      <c r="N377" s="1" t="e">
        <f>VLOOKUP(K377,$AA:$AB,2,0)</f>
        <v>#N/A</v>
      </c>
      <c r="O377" s="1">
        <f>IF(A377&lt;&gt;"",N377+M377+L377+F377+G377+H377,0)</f>
        <v>0</v>
      </c>
    </row>
    <row r="378" spans="1:15" x14ac:dyDescent="0.25">
      <c r="A378"/>
      <c r="B378"/>
      <c r="C378" s="1" t="str">
        <f>MID(A378,1,2)</f>
        <v/>
      </c>
      <c r="D378" s="1" t="str">
        <f>MID(B378,3,2)</f>
        <v/>
      </c>
      <c r="E378" s="1" t="str">
        <f>CONCATENATE(I378,K378)</f>
        <v/>
      </c>
      <c r="F378" s="1" t="e">
        <f>VLOOKUP(I378,$U$23:$AL$40,MATCH(J378,$U$23:$AL$23,0),FALSE)</f>
        <v>#N/A</v>
      </c>
      <c r="G378" s="1" t="e">
        <f>VLOOKUP(J378,$U$23:$AL$40,MATCH(K378,$U$23:$AL$23,0),FALSE)</f>
        <v>#N/A</v>
      </c>
      <c r="H378" s="1" t="e">
        <f>VLOOKUP(I378,$U$23:$AL$40,MATCH(K378,$U$23:$AL$23,0),FALSE)</f>
        <v>#N/A</v>
      </c>
      <c r="I378" s="1" t="str">
        <f>MID(A378,1,1)</f>
        <v/>
      </c>
      <c r="J378" s="1" t="str">
        <f>MID(A378,2,1)</f>
        <v/>
      </c>
      <c r="K378" s="1" t="str">
        <f>MID(A378,4,1)</f>
        <v/>
      </c>
      <c r="L378" s="1" t="e">
        <f>VLOOKUP(I378,$U:$V,2,0)</f>
        <v>#N/A</v>
      </c>
      <c r="M378" s="1" t="e">
        <f>VLOOKUP(J378,$X:$Y,2,0)</f>
        <v>#N/A</v>
      </c>
      <c r="N378" s="1" t="e">
        <f>VLOOKUP(K378,$AA:$AB,2,0)</f>
        <v>#N/A</v>
      </c>
      <c r="O378" s="1">
        <f>IF(A378&lt;&gt;"",N378+M378+L378+F378+G378+H378,0)</f>
        <v>0</v>
      </c>
    </row>
    <row r="379" spans="1:15" x14ac:dyDescent="0.25">
      <c r="A379"/>
      <c r="B379"/>
      <c r="C379" s="1" t="str">
        <f>MID(A379,1,2)</f>
        <v/>
      </c>
      <c r="D379" s="1" t="str">
        <f>MID(B379,3,2)</f>
        <v/>
      </c>
      <c r="E379" s="1" t="str">
        <f>CONCATENATE(I379,K379)</f>
        <v/>
      </c>
      <c r="F379" s="1" t="e">
        <f>VLOOKUP(I379,$U$23:$AL$40,MATCH(J379,$U$23:$AL$23,0),FALSE)</f>
        <v>#N/A</v>
      </c>
      <c r="G379" s="1" t="e">
        <f>VLOOKUP(J379,$U$23:$AL$40,MATCH(K379,$U$23:$AL$23,0),FALSE)</f>
        <v>#N/A</v>
      </c>
      <c r="H379" s="1" t="e">
        <f>VLOOKUP(I379,$U$23:$AL$40,MATCH(K379,$U$23:$AL$23,0),FALSE)</f>
        <v>#N/A</v>
      </c>
      <c r="I379" s="1" t="str">
        <f>MID(A379,1,1)</f>
        <v/>
      </c>
      <c r="J379" s="1" t="str">
        <f>MID(A379,2,1)</f>
        <v/>
      </c>
      <c r="K379" s="1" t="str">
        <f>MID(A379,4,1)</f>
        <v/>
      </c>
      <c r="L379" s="1" t="e">
        <f>VLOOKUP(I379,$U:$V,2,0)</f>
        <v>#N/A</v>
      </c>
      <c r="M379" s="1" t="e">
        <f>VLOOKUP(J379,$X:$Y,2,0)</f>
        <v>#N/A</v>
      </c>
      <c r="N379" s="1" t="e">
        <f>VLOOKUP(K379,$AA:$AB,2,0)</f>
        <v>#N/A</v>
      </c>
      <c r="O379" s="1">
        <f>IF(A379&lt;&gt;"",N379+M379+L379+F379+G379+H379,0)</f>
        <v>0</v>
      </c>
    </row>
    <row r="380" spans="1:15" x14ac:dyDescent="0.25">
      <c r="A380"/>
      <c r="B380"/>
      <c r="C380" s="1" t="str">
        <f>MID(A380,1,2)</f>
        <v/>
      </c>
      <c r="D380" s="1" t="str">
        <f>MID(B380,3,2)</f>
        <v/>
      </c>
      <c r="E380" s="1" t="str">
        <f>CONCATENATE(I380,K380)</f>
        <v/>
      </c>
      <c r="F380" s="1" t="e">
        <f>VLOOKUP(I380,$U$23:$AL$40,MATCH(J380,$U$23:$AL$23,0),FALSE)</f>
        <v>#N/A</v>
      </c>
      <c r="G380" s="1" t="e">
        <f>VLOOKUP(J380,$U$23:$AL$40,MATCH(K380,$U$23:$AL$23,0),FALSE)</f>
        <v>#N/A</v>
      </c>
      <c r="H380" s="1" t="e">
        <f>VLOOKUP(I380,$U$23:$AL$40,MATCH(K380,$U$23:$AL$23,0),FALSE)</f>
        <v>#N/A</v>
      </c>
      <c r="I380" s="1" t="str">
        <f>MID(A380,1,1)</f>
        <v/>
      </c>
      <c r="J380" s="1" t="str">
        <f>MID(A380,2,1)</f>
        <v/>
      </c>
      <c r="K380" s="1" t="str">
        <f>MID(A380,4,1)</f>
        <v/>
      </c>
      <c r="L380" s="1" t="e">
        <f>VLOOKUP(I380,$U:$V,2,0)</f>
        <v>#N/A</v>
      </c>
      <c r="M380" s="1" t="e">
        <f>VLOOKUP(J380,$X:$Y,2,0)</f>
        <v>#N/A</v>
      </c>
      <c r="N380" s="1" t="e">
        <f>VLOOKUP(K380,$AA:$AB,2,0)</f>
        <v>#N/A</v>
      </c>
      <c r="O380" s="1">
        <f>IF(A380&lt;&gt;"",N380+M380+L380+F380+G380+H380,0)</f>
        <v>0</v>
      </c>
    </row>
    <row r="381" spans="1:15" x14ac:dyDescent="0.25">
      <c r="A381"/>
      <c r="B381"/>
      <c r="C381" s="1" t="str">
        <f>MID(A381,1,2)</f>
        <v/>
      </c>
      <c r="D381" s="1" t="str">
        <f>MID(B381,3,2)</f>
        <v/>
      </c>
      <c r="E381" s="1" t="str">
        <f>CONCATENATE(I381,K381)</f>
        <v/>
      </c>
      <c r="F381" s="1" t="e">
        <f>VLOOKUP(I381,$U$23:$AL$40,MATCH(J381,$U$23:$AL$23,0),FALSE)</f>
        <v>#N/A</v>
      </c>
      <c r="G381" s="1" t="e">
        <f>VLOOKUP(J381,$U$23:$AL$40,MATCH(K381,$U$23:$AL$23,0),FALSE)</f>
        <v>#N/A</v>
      </c>
      <c r="H381" s="1" t="e">
        <f>VLOOKUP(I381,$U$23:$AL$40,MATCH(K381,$U$23:$AL$23,0),FALSE)</f>
        <v>#N/A</v>
      </c>
      <c r="I381" s="1" t="str">
        <f>MID(A381,1,1)</f>
        <v/>
      </c>
      <c r="J381" s="1" t="str">
        <f>MID(A381,2,1)</f>
        <v/>
      </c>
      <c r="K381" s="1" t="str">
        <f>MID(A381,4,1)</f>
        <v/>
      </c>
      <c r="L381" s="1" t="e">
        <f>VLOOKUP(I381,$U:$V,2,0)</f>
        <v>#N/A</v>
      </c>
      <c r="M381" s="1" t="e">
        <f>VLOOKUP(J381,$X:$Y,2,0)</f>
        <v>#N/A</v>
      </c>
      <c r="N381" s="1" t="e">
        <f>VLOOKUP(K381,$AA:$AB,2,0)</f>
        <v>#N/A</v>
      </c>
      <c r="O381" s="1">
        <f>IF(A381&lt;&gt;"",N381+M381+L381+F381+G381+H381,0)</f>
        <v>0</v>
      </c>
    </row>
    <row r="382" spans="1:15" x14ac:dyDescent="0.25">
      <c r="A382"/>
      <c r="B382"/>
      <c r="C382" s="1" t="str">
        <f>MID(A382,1,2)</f>
        <v/>
      </c>
      <c r="D382" s="1" t="str">
        <f>MID(B382,3,2)</f>
        <v/>
      </c>
      <c r="E382" s="1" t="str">
        <f>CONCATENATE(I382,K382)</f>
        <v/>
      </c>
      <c r="F382" s="1" t="e">
        <f>VLOOKUP(I382,$U$23:$AL$40,MATCH(J382,$U$23:$AL$23,0),FALSE)</f>
        <v>#N/A</v>
      </c>
      <c r="G382" s="1" t="e">
        <f>VLOOKUP(J382,$U$23:$AL$40,MATCH(K382,$U$23:$AL$23,0),FALSE)</f>
        <v>#N/A</v>
      </c>
      <c r="H382" s="1" t="e">
        <f>VLOOKUP(I382,$U$23:$AL$40,MATCH(K382,$U$23:$AL$23,0),FALSE)</f>
        <v>#N/A</v>
      </c>
      <c r="I382" s="1" t="str">
        <f>MID(A382,1,1)</f>
        <v/>
      </c>
      <c r="J382" s="1" t="str">
        <f>MID(A382,2,1)</f>
        <v/>
      </c>
      <c r="K382" s="1" t="str">
        <f>MID(A382,4,1)</f>
        <v/>
      </c>
      <c r="L382" s="1" t="e">
        <f>VLOOKUP(I382,$U:$V,2,0)</f>
        <v>#N/A</v>
      </c>
      <c r="M382" s="1" t="e">
        <f>VLOOKUP(J382,$X:$Y,2,0)</f>
        <v>#N/A</v>
      </c>
      <c r="N382" s="1" t="e">
        <f>VLOOKUP(K382,$AA:$AB,2,0)</f>
        <v>#N/A</v>
      </c>
      <c r="O382" s="1">
        <f>IF(A382&lt;&gt;"",N382+M382+L382+F382+G382+H382,0)</f>
        <v>0</v>
      </c>
    </row>
    <row r="383" spans="1:15" x14ac:dyDescent="0.25">
      <c r="A383"/>
      <c r="B383"/>
      <c r="C383" s="1" t="str">
        <f>MID(A383,1,2)</f>
        <v/>
      </c>
      <c r="D383" s="1" t="str">
        <f>MID(B383,3,2)</f>
        <v/>
      </c>
      <c r="E383" s="1" t="str">
        <f>CONCATENATE(I383,K383)</f>
        <v/>
      </c>
      <c r="F383" s="1" t="e">
        <f>VLOOKUP(I383,$U$23:$AL$40,MATCH(J383,$U$23:$AL$23,0),FALSE)</f>
        <v>#N/A</v>
      </c>
      <c r="G383" s="1" t="e">
        <f>VLOOKUP(J383,$U$23:$AL$40,MATCH(K383,$U$23:$AL$23,0),FALSE)</f>
        <v>#N/A</v>
      </c>
      <c r="H383" s="1" t="e">
        <f>VLOOKUP(I383,$U$23:$AL$40,MATCH(K383,$U$23:$AL$23,0),FALSE)</f>
        <v>#N/A</v>
      </c>
      <c r="I383" s="1" t="str">
        <f>MID(A383,1,1)</f>
        <v/>
      </c>
      <c r="J383" s="1" t="str">
        <f>MID(A383,2,1)</f>
        <v/>
      </c>
      <c r="K383" s="1" t="str">
        <f>MID(A383,4,1)</f>
        <v/>
      </c>
      <c r="L383" s="1" t="e">
        <f>VLOOKUP(I383,$U:$V,2,0)</f>
        <v>#N/A</v>
      </c>
      <c r="M383" s="1" t="e">
        <f>VLOOKUP(J383,$X:$Y,2,0)</f>
        <v>#N/A</v>
      </c>
      <c r="N383" s="1" t="e">
        <f>VLOOKUP(K383,$AA:$AB,2,0)</f>
        <v>#N/A</v>
      </c>
      <c r="O383" s="1">
        <f>IF(A383&lt;&gt;"",N383+M383+L383+F383+G383+H383,0)</f>
        <v>0</v>
      </c>
    </row>
    <row r="384" spans="1:15" x14ac:dyDescent="0.25">
      <c r="A384"/>
      <c r="B384"/>
      <c r="C384" s="1" t="str">
        <f>MID(A384,1,2)</f>
        <v/>
      </c>
      <c r="D384" s="1" t="str">
        <f>MID(B384,3,2)</f>
        <v/>
      </c>
      <c r="E384" s="1" t="str">
        <f>CONCATENATE(I384,K384)</f>
        <v/>
      </c>
      <c r="F384" s="1" t="e">
        <f>VLOOKUP(I384,$U$23:$AL$40,MATCH(J384,$U$23:$AL$23,0),FALSE)</f>
        <v>#N/A</v>
      </c>
      <c r="G384" s="1" t="e">
        <f>VLOOKUP(J384,$U$23:$AL$40,MATCH(K384,$U$23:$AL$23,0),FALSE)</f>
        <v>#N/A</v>
      </c>
      <c r="H384" s="1" t="e">
        <f>VLOOKUP(I384,$U$23:$AL$40,MATCH(K384,$U$23:$AL$23,0),FALSE)</f>
        <v>#N/A</v>
      </c>
      <c r="I384" s="1" t="str">
        <f>MID(A384,1,1)</f>
        <v/>
      </c>
      <c r="J384" s="1" t="str">
        <f>MID(A384,2,1)</f>
        <v/>
      </c>
      <c r="K384" s="1" t="str">
        <f>MID(A384,4,1)</f>
        <v/>
      </c>
      <c r="L384" s="1" t="e">
        <f>VLOOKUP(I384,$U:$V,2,0)</f>
        <v>#N/A</v>
      </c>
      <c r="M384" s="1" t="e">
        <f>VLOOKUP(J384,$X:$Y,2,0)</f>
        <v>#N/A</v>
      </c>
      <c r="N384" s="1" t="e">
        <f>VLOOKUP(K384,$AA:$AB,2,0)</f>
        <v>#N/A</v>
      </c>
      <c r="O384" s="1">
        <f>IF(A384&lt;&gt;"",N384+M384+L384+F384+G384+H384,0)</f>
        <v>0</v>
      </c>
    </row>
    <row r="385" spans="1:15" x14ac:dyDescent="0.25">
      <c r="A385"/>
      <c r="B385"/>
      <c r="C385" s="1" t="str">
        <f>MID(A385,1,2)</f>
        <v/>
      </c>
      <c r="D385" s="1" t="str">
        <f>MID(B385,3,2)</f>
        <v/>
      </c>
      <c r="E385" s="1" t="str">
        <f>CONCATENATE(I385,K385)</f>
        <v/>
      </c>
      <c r="F385" s="1" t="e">
        <f>VLOOKUP(I385,$U$23:$AL$40,MATCH(J385,$U$23:$AL$23,0),FALSE)</f>
        <v>#N/A</v>
      </c>
      <c r="G385" s="1" t="e">
        <f>VLOOKUP(J385,$U$23:$AL$40,MATCH(K385,$U$23:$AL$23,0),FALSE)</f>
        <v>#N/A</v>
      </c>
      <c r="H385" s="1" t="e">
        <f>VLOOKUP(I385,$U$23:$AL$40,MATCH(K385,$U$23:$AL$23,0),FALSE)</f>
        <v>#N/A</v>
      </c>
      <c r="I385" s="1" t="str">
        <f>MID(A385,1,1)</f>
        <v/>
      </c>
      <c r="J385" s="1" t="str">
        <f>MID(A385,2,1)</f>
        <v/>
      </c>
      <c r="K385" s="1" t="str">
        <f>MID(A385,4,1)</f>
        <v/>
      </c>
      <c r="L385" s="1" t="e">
        <f>VLOOKUP(I385,$U:$V,2,0)</f>
        <v>#N/A</v>
      </c>
      <c r="M385" s="1" t="e">
        <f>VLOOKUP(J385,$X:$Y,2,0)</f>
        <v>#N/A</v>
      </c>
      <c r="N385" s="1" t="e">
        <f>VLOOKUP(K385,$AA:$AB,2,0)</f>
        <v>#N/A</v>
      </c>
      <c r="O385" s="1">
        <f>IF(A385&lt;&gt;"",N385+M385+L385+F385+G385+H385,0)</f>
        <v>0</v>
      </c>
    </row>
    <row r="386" spans="1:15" x14ac:dyDescent="0.25">
      <c r="A386"/>
      <c r="B386"/>
      <c r="C386" s="1" t="str">
        <f>MID(A386,1,2)</f>
        <v/>
      </c>
      <c r="D386" s="1" t="str">
        <f>MID(B386,3,2)</f>
        <v/>
      </c>
      <c r="E386" s="1" t="str">
        <f>CONCATENATE(I386,K386)</f>
        <v/>
      </c>
      <c r="F386" s="1" t="e">
        <f>VLOOKUP(I386,$U$23:$AL$40,MATCH(J386,$U$23:$AL$23,0),FALSE)</f>
        <v>#N/A</v>
      </c>
      <c r="G386" s="1" t="e">
        <f>VLOOKUP(J386,$U$23:$AL$40,MATCH(K386,$U$23:$AL$23,0),FALSE)</f>
        <v>#N/A</v>
      </c>
      <c r="H386" s="1" t="e">
        <f>VLOOKUP(I386,$U$23:$AL$40,MATCH(K386,$U$23:$AL$23,0),FALSE)</f>
        <v>#N/A</v>
      </c>
      <c r="I386" s="1" t="str">
        <f>MID(A386,1,1)</f>
        <v/>
      </c>
      <c r="J386" s="1" t="str">
        <f>MID(A386,2,1)</f>
        <v/>
      </c>
      <c r="K386" s="1" t="str">
        <f>MID(A386,4,1)</f>
        <v/>
      </c>
      <c r="L386" s="1" t="e">
        <f>VLOOKUP(I386,$U:$V,2,0)</f>
        <v>#N/A</v>
      </c>
      <c r="M386" s="1" t="e">
        <f>VLOOKUP(J386,$X:$Y,2,0)</f>
        <v>#N/A</v>
      </c>
      <c r="N386" s="1" t="e">
        <f>VLOOKUP(K386,$AA:$AB,2,0)</f>
        <v>#N/A</v>
      </c>
      <c r="O386" s="1">
        <f>IF(A386&lt;&gt;"",N386+M386+L386+F386+G386+H386,0)</f>
        <v>0</v>
      </c>
    </row>
    <row r="387" spans="1:15" x14ac:dyDescent="0.25">
      <c r="A387"/>
      <c r="B387"/>
      <c r="C387" s="1" t="str">
        <f>MID(A387,1,2)</f>
        <v/>
      </c>
      <c r="D387" s="1" t="str">
        <f>MID(B387,3,2)</f>
        <v/>
      </c>
      <c r="E387" s="1" t="str">
        <f>CONCATENATE(I387,K387)</f>
        <v/>
      </c>
      <c r="F387" s="1" t="e">
        <f>VLOOKUP(I387,$U$23:$AL$40,MATCH(J387,$U$23:$AL$23,0),FALSE)</f>
        <v>#N/A</v>
      </c>
      <c r="G387" s="1" t="e">
        <f>VLOOKUP(J387,$U$23:$AL$40,MATCH(K387,$U$23:$AL$23,0),FALSE)</f>
        <v>#N/A</v>
      </c>
      <c r="H387" s="1" t="e">
        <f>VLOOKUP(I387,$U$23:$AL$40,MATCH(K387,$U$23:$AL$23,0),FALSE)</f>
        <v>#N/A</v>
      </c>
      <c r="I387" s="1" t="str">
        <f>MID(A387,1,1)</f>
        <v/>
      </c>
      <c r="J387" s="1" t="str">
        <f>MID(A387,2,1)</f>
        <v/>
      </c>
      <c r="K387" s="1" t="str">
        <f>MID(A387,4,1)</f>
        <v/>
      </c>
      <c r="L387" s="1" t="e">
        <f>VLOOKUP(I387,$U:$V,2,0)</f>
        <v>#N/A</v>
      </c>
      <c r="M387" s="1" t="e">
        <f>VLOOKUP(J387,$X:$Y,2,0)</f>
        <v>#N/A</v>
      </c>
      <c r="N387" s="1" t="e">
        <f>VLOOKUP(K387,$AA:$AB,2,0)</f>
        <v>#N/A</v>
      </c>
      <c r="O387" s="1">
        <f>IF(A387&lt;&gt;"",N387+M387+L387+F387+G387+H387,0)</f>
        <v>0</v>
      </c>
    </row>
    <row r="388" spans="1:15" x14ac:dyDescent="0.25">
      <c r="A388"/>
      <c r="B388"/>
      <c r="C388" s="1" t="str">
        <f>MID(A388,1,2)</f>
        <v/>
      </c>
      <c r="D388" s="1" t="str">
        <f>MID(B388,3,2)</f>
        <v/>
      </c>
      <c r="E388" s="1" t="str">
        <f>CONCATENATE(I388,K388)</f>
        <v/>
      </c>
      <c r="F388" s="1" t="e">
        <f>VLOOKUP(I388,$U$23:$AL$40,MATCH(J388,$U$23:$AL$23,0),FALSE)</f>
        <v>#N/A</v>
      </c>
      <c r="G388" s="1" t="e">
        <f>VLOOKUP(J388,$U$23:$AL$40,MATCH(K388,$U$23:$AL$23,0),FALSE)</f>
        <v>#N/A</v>
      </c>
      <c r="H388" s="1" t="e">
        <f>VLOOKUP(I388,$U$23:$AL$40,MATCH(K388,$U$23:$AL$23,0),FALSE)</f>
        <v>#N/A</v>
      </c>
      <c r="I388" s="1" t="str">
        <f>MID(A388,1,1)</f>
        <v/>
      </c>
      <c r="J388" s="1" t="str">
        <f>MID(A388,2,1)</f>
        <v/>
      </c>
      <c r="K388" s="1" t="str">
        <f>MID(A388,4,1)</f>
        <v/>
      </c>
      <c r="L388" s="1" t="e">
        <f>VLOOKUP(I388,$U:$V,2,0)</f>
        <v>#N/A</v>
      </c>
      <c r="M388" s="1" t="e">
        <f>VLOOKUP(J388,$X:$Y,2,0)</f>
        <v>#N/A</v>
      </c>
      <c r="N388" s="1" t="e">
        <f>VLOOKUP(K388,$AA:$AB,2,0)</f>
        <v>#N/A</v>
      </c>
      <c r="O388" s="1">
        <f>IF(A388&lt;&gt;"",N388+M388+L388+F388+G388+H388,0)</f>
        <v>0</v>
      </c>
    </row>
    <row r="389" spans="1:15" x14ac:dyDescent="0.25">
      <c r="A389"/>
      <c r="B389"/>
      <c r="C389" s="1" t="str">
        <f>MID(A389,1,2)</f>
        <v/>
      </c>
      <c r="D389" s="1" t="str">
        <f>MID(B389,3,2)</f>
        <v/>
      </c>
      <c r="E389" s="1" t="str">
        <f>CONCATENATE(I389,K389)</f>
        <v/>
      </c>
      <c r="F389" s="1" t="e">
        <f>VLOOKUP(I389,$U$23:$AL$40,MATCH(J389,$U$23:$AL$23,0),FALSE)</f>
        <v>#N/A</v>
      </c>
      <c r="G389" s="1" t="e">
        <f>VLOOKUP(J389,$U$23:$AL$40,MATCH(K389,$U$23:$AL$23,0),FALSE)</f>
        <v>#N/A</v>
      </c>
      <c r="H389" s="1" t="e">
        <f>VLOOKUP(I389,$U$23:$AL$40,MATCH(K389,$U$23:$AL$23,0),FALSE)</f>
        <v>#N/A</v>
      </c>
      <c r="I389" s="1" t="str">
        <f>MID(A389,1,1)</f>
        <v/>
      </c>
      <c r="J389" s="1" t="str">
        <f>MID(A389,2,1)</f>
        <v/>
      </c>
      <c r="K389" s="1" t="str">
        <f>MID(A389,4,1)</f>
        <v/>
      </c>
      <c r="L389" s="1" t="e">
        <f>VLOOKUP(I389,$U:$V,2,0)</f>
        <v>#N/A</v>
      </c>
      <c r="M389" s="1" t="e">
        <f>VLOOKUP(J389,$X:$Y,2,0)</f>
        <v>#N/A</v>
      </c>
      <c r="N389" s="1" t="e">
        <f>VLOOKUP(K389,$AA:$AB,2,0)</f>
        <v>#N/A</v>
      </c>
      <c r="O389" s="1">
        <f>IF(A389&lt;&gt;"",N389+M389+L389+F389+G389+H389,0)</f>
        <v>0</v>
      </c>
    </row>
    <row r="390" spans="1:15" x14ac:dyDescent="0.25">
      <c r="A390"/>
      <c r="B390"/>
      <c r="C390" s="1" t="str">
        <f>MID(A390,1,2)</f>
        <v/>
      </c>
      <c r="D390" s="1" t="str">
        <f>MID(B390,3,2)</f>
        <v/>
      </c>
      <c r="E390" s="1" t="str">
        <f>CONCATENATE(I390,K390)</f>
        <v/>
      </c>
      <c r="F390" s="1" t="e">
        <f>VLOOKUP(I390,$U$23:$AL$40,MATCH(J390,$U$23:$AL$23,0),FALSE)</f>
        <v>#N/A</v>
      </c>
      <c r="G390" s="1" t="e">
        <f>VLOOKUP(J390,$U$23:$AL$40,MATCH(K390,$U$23:$AL$23,0),FALSE)</f>
        <v>#N/A</v>
      </c>
      <c r="H390" s="1" t="e">
        <f>VLOOKUP(I390,$U$23:$AL$40,MATCH(K390,$U$23:$AL$23,0),FALSE)</f>
        <v>#N/A</v>
      </c>
      <c r="I390" s="1" t="str">
        <f>MID(A390,1,1)</f>
        <v/>
      </c>
      <c r="J390" s="1" t="str">
        <f>MID(A390,2,1)</f>
        <v/>
      </c>
      <c r="K390" s="1" t="str">
        <f>MID(A390,4,1)</f>
        <v/>
      </c>
      <c r="L390" s="1" t="e">
        <f>VLOOKUP(I390,$U:$V,2,0)</f>
        <v>#N/A</v>
      </c>
      <c r="M390" s="1" t="e">
        <f>VLOOKUP(J390,$X:$Y,2,0)</f>
        <v>#N/A</v>
      </c>
      <c r="N390" s="1" t="e">
        <f>VLOOKUP(K390,$AA:$AB,2,0)</f>
        <v>#N/A</v>
      </c>
      <c r="O390" s="1">
        <f>IF(A390&lt;&gt;"",N390+M390+L390+F390+G390+H390,0)</f>
        <v>0</v>
      </c>
    </row>
    <row r="391" spans="1:15" x14ac:dyDescent="0.25">
      <c r="A391"/>
      <c r="B391"/>
      <c r="C391" s="1" t="str">
        <f>MID(A391,1,2)</f>
        <v/>
      </c>
      <c r="D391" s="1" t="str">
        <f>MID(B391,3,2)</f>
        <v/>
      </c>
      <c r="E391" s="1" t="str">
        <f>CONCATENATE(I391,K391)</f>
        <v/>
      </c>
      <c r="F391" s="1" t="e">
        <f>VLOOKUP(I391,$U$23:$AL$40,MATCH(J391,$U$23:$AL$23,0),FALSE)</f>
        <v>#N/A</v>
      </c>
      <c r="G391" s="1" t="e">
        <f>VLOOKUP(J391,$U$23:$AL$40,MATCH(K391,$U$23:$AL$23,0),FALSE)</f>
        <v>#N/A</v>
      </c>
      <c r="H391" s="1" t="e">
        <f>VLOOKUP(I391,$U$23:$AL$40,MATCH(K391,$U$23:$AL$23,0),FALSE)</f>
        <v>#N/A</v>
      </c>
      <c r="I391" s="1" t="str">
        <f>MID(A391,1,1)</f>
        <v/>
      </c>
      <c r="J391" s="1" t="str">
        <f>MID(A391,2,1)</f>
        <v/>
      </c>
      <c r="K391" s="1" t="str">
        <f>MID(A391,4,1)</f>
        <v/>
      </c>
      <c r="L391" s="1" t="e">
        <f>VLOOKUP(I391,$U:$V,2,0)</f>
        <v>#N/A</v>
      </c>
      <c r="M391" s="1" t="e">
        <f>VLOOKUP(J391,$X:$Y,2,0)</f>
        <v>#N/A</v>
      </c>
      <c r="N391" s="1" t="e">
        <f>VLOOKUP(K391,$AA:$AB,2,0)</f>
        <v>#N/A</v>
      </c>
      <c r="O391" s="1">
        <f>IF(A391&lt;&gt;"",N391+M391+L391+F391+G391+H391,0)</f>
        <v>0</v>
      </c>
    </row>
    <row r="392" spans="1:15" x14ac:dyDescent="0.25">
      <c r="A392"/>
      <c r="B392"/>
      <c r="C392" s="1" t="str">
        <f>MID(A392,1,2)</f>
        <v/>
      </c>
      <c r="D392" s="1" t="str">
        <f>MID(B392,3,2)</f>
        <v/>
      </c>
      <c r="E392" s="1" t="str">
        <f>CONCATENATE(I392,K392)</f>
        <v/>
      </c>
      <c r="F392" s="1" t="e">
        <f>VLOOKUP(I392,$U$23:$AL$40,MATCH(J392,$U$23:$AL$23,0),FALSE)</f>
        <v>#N/A</v>
      </c>
      <c r="G392" s="1" t="e">
        <f>VLOOKUP(J392,$U$23:$AL$40,MATCH(K392,$U$23:$AL$23,0),FALSE)</f>
        <v>#N/A</v>
      </c>
      <c r="H392" s="1" t="e">
        <f>VLOOKUP(I392,$U$23:$AL$40,MATCH(K392,$U$23:$AL$23,0),FALSE)</f>
        <v>#N/A</v>
      </c>
      <c r="I392" s="1" t="str">
        <f>MID(A392,1,1)</f>
        <v/>
      </c>
      <c r="J392" s="1" t="str">
        <f>MID(A392,2,1)</f>
        <v/>
      </c>
      <c r="K392" s="1" t="str">
        <f>MID(A392,4,1)</f>
        <v/>
      </c>
      <c r="L392" s="1" t="e">
        <f>VLOOKUP(I392,$U:$V,2,0)</f>
        <v>#N/A</v>
      </c>
      <c r="M392" s="1" t="e">
        <f>VLOOKUP(J392,$X:$Y,2,0)</f>
        <v>#N/A</v>
      </c>
      <c r="N392" s="1" t="e">
        <f>VLOOKUP(K392,$AA:$AB,2,0)</f>
        <v>#N/A</v>
      </c>
      <c r="O392" s="1">
        <f>IF(A392&lt;&gt;"",N392+M392+L392+F392+G392+H392,0)</f>
        <v>0</v>
      </c>
    </row>
    <row r="393" spans="1:15" x14ac:dyDescent="0.25">
      <c r="A393"/>
      <c r="B393"/>
      <c r="C393" s="1" t="str">
        <f>MID(A393,1,2)</f>
        <v/>
      </c>
      <c r="D393" s="1" t="str">
        <f>MID(B393,3,2)</f>
        <v/>
      </c>
      <c r="E393" s="1" t="str">
        <f>CONCATENATE(I393,K393)</f>
        <v/>
      </c>
      <c r="F393" s="1" t="e">
        <f>VLOOKUP(I393,$U$23:$AL$40,MATCH(J393,$U$23:$AL$23,0),FALSE)</f>
        <v>#N/A</v>
      </c>
      <c r="G393" s="1" t="e">
        <f>VLOOKUP(J393,$U$23:$AL$40,MATCH(K393,$U$23:$AL$23,0),FALSE)</f>
        <v>#N/A</v>
      </c>
      <c r="H393" s="1" t="e">
        <f>VLOOKUP(I393,$U$23:$AL$40,MATCH(K393,$U$23:$AL$23,0),FALSE)</f>
        <v>#N/A</v>
      </c>
      <c r="I393" s="1" t="str">
        <f>MID(A393,1,1)</f>
        <v/>
      </c>
      <c r="J393" s="1" t="str">
        <f>MID(A393,2,1)</f>
        <v/>
      </c>
      <c r="K393" s="1" t="str">
        <f>MID(A393,4,1)</f>
        <v/>
      </c>
      <c r="L393" s="1" t="e">
        <f>VLOOKUP(I393,$U:$V,2,0)</f>
        <v>#N/A</v>
      </c>
      <c r="M393" s="1" t="e">
        <f>VLOOKUP(J393,$X:$Y,2,0)</f>
        <v>#N/A</v>
      </c>
      <c r="N393" s="1" t="e">
        <f>VLOOKUP(K393,$AA:$AB,2,0)</f>
        <v>#N/A</v>
      </c>
      <c r="O393" s="1">
        <f>IF(A393&lt;&gt;"",N393+M393+L393+F393+G393+H393,0)</f>
        <v>0</v>
      </c>
    </row>
    <row r="394" spans="1:15" x14ac:dyDescent="0.25">
      <c r="A394"/>
      <c r="B394"/>
      <c r="C394" s="1" t="str">
        <f>MID(A394,1,2)</f>
        <v/>
      </c>
      <c r="D394" s="1" t="str">
        <f>MID(B394,3,2)</f>
        <v/>
      </c>
      <c r="E394" s="1" t="str">
        <f>CONCATENATE(I394,K394)</f>
        <v/>
      </c>
      <c r="F394" s="1" t="e">
        <f>VLOOKUP(I394,$U$23:$AL$40,MATCH(J394,$U$23:$AL$23,0),FALSE)</f>
        <v>#N/A</v>
      </c>
      <c r="G394" s="1" t="e">
        <f>VLOOKUP(J394,$U$23:$AL$40,MATCH(K394,$U$23:$AL$23,0),FALSE)</f>
        <v>#N/A</v>
      </c>
      <c r="H394" s="1" t="e">
        <f>VLOOKUP(I394,$U$23:$AL$40,MATCH(K394,$U$23:$AL$23,0),FALSE)</f>
        <v>#N/A</v>
      </c>
      <c r="I394" s="1" t="str">
        <f>MID(A394,1,1)</f>
        <v/>
      </c>
      <c r="J394" s="1" t="str">
        <f>MID(A394,2,1)</f>
        <v/>
      </c>
      <c r="K394" s="1" t="str">
        <f>MID(A394,4,1)</f>
        <v/>
      </c>
      <c r="L394" s="1" t="e">
        <f>VLOOKUP(I394,$U:$V,2,0)</f>
        <v>#N/A</v>
      </c>
      <c r="M394" s="1" t="e">
        <f>VLOOKUP(J394,$X:$Y,2,0)</f>
        <v>#N/A</v>
      </c>
      <c r="N394" s="1" t="e">
        <f>VLOOKUP(K394,$AA:$AB,2,0)</f>
        <v>#N/A</v>
      </c>
      <c r="O394" s="1">
        <f>IF(A394&lt;&gt;"",N394+M394+L394+F394+G394+H394,0)</f>
        <v>0</v>
      </c>
    </row>
    <row r="395" spans="1:15" x14ac:dyDescent="0.25">
      <c r="A395"/>
      <c r="B395"/>
      <c r="C395" s="1" t="str">
        <f>MID(A395,1,2)</f>
        <v/>
      </c>
      <c r="D395" s="1" t="str">
        <f>MID(B395,3,2)</f>
        <v/>
      </c>
      <c r="E395" s="1" t="str">
        <f>CONCATENATE(I395,K395)</f>
        <v/>
      </c>
      <c r="F395" s="1" t="e">
        <f>VLOOKUP(I395,$U$23:$AL$40,MATCH(J395,$U$23:$AL$23,0),FALSE)</f>
        <v>#N/A</v>
      </c>
      <c r="G395" s="1" t="e">
        <f>VLOOKUP(J395,$U$23:$AL$40,MATCH(K395,$U$23:$AL$23,0),FALSE)</f>
        <v>#N/A</v>
      </c>
      <c r="H395" s="1" t="e">
        <f>VLOOKUP(I395,$U$23:$AL$40,MATCH(K395,$U$23:$AL$23,0),FALSE)</f>
        <v>#N/A</v>
      </c>
      <c r="I395" s="1" t="str">
        <f>MID(A395,1,1)</f>
        <v/>
      </c>
      <c r="J395" s="1" t="str">
        <f>MID(A395,2,1)</f>
        <v/>
      </c>
      <c r="K395" s="1" t="str">
        <f>MID(A395,4,1)</f>
        <v/>
      </c>
      <c r="L395" s="1" t="e">
        <f>VLOOKUP(I395,$U:$V,2,0)</f>
        <v>#N/A</v>
      </c>
      <c r="M395" s="1" t="e">
        <f>VLOOKUP(J395,$X:$Y,2,0)</f>
        <v>#N/A</v>
      </c>
      <c r="N395" s="1" t="e">
        <f>VLOOKUP(K395,$AA:$AB,2,0)</f>
        <v>#N/A</v>
      </c>
      <c r="O395" s="1">
        <f>IF(A395&lt;&gt;"",N395+M395+L395+F395+G395+H395,0)</f>
        <v>0</v>
      </c>
    </row>
    <row r="396" spans="1:15" x14ac:dyDescent="0.25">
      <c r="A396"/>
      <c r="B396"/>
      <c r="C396" s="1" t="str">
        <f>MID(A396,1,2)</f>
        <v/>
      </c>
      <c r="D396" s="1" t="str">
        <f>MID(B396,3,2)</f>
        <v/>
      </c>
      <c r="E396" s="1" t="str">
        <f>CONCATENATE(I396,K396)</f>
        <v/>
      </c>
      <c r="F396" s="1" t="e">
        <f>VLOOKUP(I396,$U$23:$AL$40,MATCH(J396,$U$23:$AL$23,0),FALSE)</f>
        <v>#N/A</v>
      </c>
      <c r="G396" s="1" t="e">
        <f>VLOOKUP(J396,$U$23:$AL$40,MATCH(K396,$U$23:$AL$23,0),FALSE)</f>
        <v>#N/A</v>
      </c>
      <c r="H396" s="1" t="e">
        <f>VLOOKUP(I396,$U$23:$AL$40,MATCH(K396,$U$23:$AL$23,0),FALSE)</f>
        <v>#N/A</v>
      </c>
      <c r="I396" s="1" t="str">
        <f>MID(A396,1,1)</f>
        <v/>
      </c>
      <c r="J396" s="1" t="str">
        <f>MID(A396,2,1)</f>
        <v/>
      </c>
      <c r="K396" s="1" t="str">
        <f>MID(A396,4,1)</f>
        <v/>
      </c>
      <c r="L396" s="1" t="e">
        <f>VLOOKUP(I396,$U:$V,2,0)</f>
        <v>#N/A</v>
      </c>
      <c r="M396" s="1" t="e">
        <f>VLOOKUP(J396,$X:$Y,2,0)</f>
        <v>#N/A</v>
      </c>
      <c r="N396" s="1" t="e">
        <f>VLOOKUP(K396,$AA:$AB,2,0)</f>
        <v>#N/A</v>
      </c>
      <c r="O396" s="1">
        <f>IF(A396&lt;&gt;"",N396+M396+L396+F396+G396+H396,0)</f>
        <v>0</v>
      </c>
    </row>
    <row r="397" spans="1:15" x14ac:dyDescent="0.25">
      <c r="A397"/>
      <c r="B397"/>
      <c r="C397" s="1" t="str">
        <f>MID(A397,1,2)</f>
        <v/>
      </c>
      <c r="D397" s="1" t="str">
        <f>MID(B397,3,2)</f>
        <v/>
      </c>
      <c r="E397" s="1" t="str">
        <f>CONCATENATE(I397,K397)</f>
        <v/>
      </c>
      <c r="F397" s="1" t="e">
        <f>VLOOKUP(I397,$U$23:$AL$40,MATCH(J397,$U$23:$AL$23,0),FALSE)</f>
        <v>#N/A</v>
      </c>
      <c r="G397" s="1" t="e">
        <f>VLOOKUP(J397,$U$23:$AL$40,MATCH(K397,$U$23:$AL$23,0),FALSE)</f>
        <v>#N/A</v>
      </c>
      <c r="H397" s="1" t="e">
        <f>VLOOKUP(I397,$U$23:$AL$40,MATCH(K397,$U$23:$AL$23,0),FALSE)</f>
        <v>#N/A</v>
      </c>
      <c r="I397" s="1" t="str">
        <f>MID(A397,1,1)</f>
        <v/>
      </c>
      <c r="J397" s="1" t="str">
        <f>MID(A397,2,1)</f>
        <v/>
      </c>
      <c r="K397" s="1" t="str">
        <f>MID(A397,4,1)</f>
        <v/>
      </c>
      <c r="L397" s="1" t="e">
        <f>VLOOKUP(I397,$U:$V,2,0)</f>
        <v>#N/A</v>
      </c>
      <c r="M397" s="1" t="e">
        <f>VLOOKUP(J397,$X:$Y,2,0)</f>
        <v>#N/A</v>
      </c>
      <c r="N397" s="1" t="e">
        <f>VLOOKUP(K397,$AA:$AB,2,0)</f>
        <v>#N/A</v>
      </c>
      <c r="O397" s="1">
        <f>IF(A397&lt;&gt;"",N397+M397+L397+F397+G397+H397,0)</f>
        <v>0</v>
      </c>
    </row>
    <row r="398" spans="1:15" x14ac:dyDescent="0.25">
      <c r="A398"/>
      <c r="B398"/>
      <c r="C398" s="1" t="str">
        <f>MID(A398,1,2)</f>
        <v/>
      </c>
      <c r="D398" s="1" t="str">
        <f>MID(B398,3,2)</f>
        <v/>
      </c>
      <c r="E398" s="1" t="str">
        <f>CONCATENATE(I398,K398)</f>
        <v/>
      </c>
      <c r="F398" s="1" t="e">
        <f>VLOOKUP(I398,$U$23:$AL$40,MATCH(J398,$U$23:$AL$23,0),FALSE)</f>
        <v>#N/A</v>
      </c>
      <c r="G398" s="1" t="e">
        <f>VLOOKUP(J398,$U$23:$AL$40,MATCH(K398,$U$23:$AL$23,0),FALSE)</f>
        <v>#N/A</v>
      </c>
      <c r="H398" s="1" t="e">
        <f>VLOOKUP(I398,$U$23:$AL$40,MATCH(K398,$U$23:$AL$23,0),FALSE)</f>
        <v>#N/A</v>
      </c>
      <c r="I398" s="1" t="str">
        <f>MID(A398,1,1)</f>
        <v/>
      </c>
      <c r="J398" s="1" t="str">
        <f>MID(A398,2,1)</f>
        <v/>
      </c>
      <c r="K398" s="1" t="str">
        <f>MID(A398,4,1)</f>
        <v/>
      </c>
      <c r="L398" s="1" t="e">
        <f>VLOOKUP(I398,$U:$V,2,0)</f>
        <v>#N/A</v>
      </c>
      <c r="M398" s="1" t="e">
        <f>VLOOKUP(J398,$X:$Y,2,0)</f>
        <v>#N/A</v>
      </c>
      <c r="N398" s="1" t="e">
        <f>VLOOKUP(K398,$AA:$AB,2,0)</f>
        <v>#N/A</v>
      </c>
      <c r="O398" s="1">
        <f>IF(A398&lt;&gt;"",N398+M398+L398+F398+G398+H398,0)</f>
        <v>0</v>
      </c>
    </row>
    <row r="399" spans="1:15" x14ac:dyDescent="0.25">
      <c r="A399"/>
      <c r="B399"/>
      <c r="C399" s="1" t="str">
        <f>MID(A399,1,2)</f>
        <v/>
      </c>
      <c r="D399" s="1" t="str">
        <f>MID(B399,3,2)</f>
        <v/>
      </c>
      <c r="E399" s="1" t="str">
        <f>CONCATENATE(I399,K399)</f>
        <v/>
      </c>
      <c r="F399" s="1" t="e">
        <f>VLOOKUP(I399,$U$23:$AL$40,MATCH(J399,$U$23:$AL$23,0),FALSE)</f>
        <v>#N/A</v>
      </c>
      <c r="G399" s="1" t="e">
        <f>VLOOKUP(J399,$U$23:$AL$40,MATCH(K399,$U$23:$AL$23,0),FALSE)</f>
        <v>#N/A</v>
      </c>
      <c r="H399" s="1" t="e">
        <f>VLOOKUP(I399,$U$23:$AL$40,MATCH(K399,$U$23:$AL$23,0),FALSE)</f>
        <v>#N/A</v>
      </c>
      <c r="I399" s="1" t="str">
        <f>MID(A399,1,1)</f>
        <v/>
      </c>
      <c r="J399" s="1" t="str">
        <f>MID(A399,2,1)</f>
        <v/>
      </c>
      <c r="K399" s="1" t="str">
        <f>MID(A399,4,1)</f>
        <v/>
      </c>
      <c r="L399" s="1" t="e">
        <f>VLOOKUP(I399,$U:$V,2,0)</f>
        <v>#N/A</v>
      </c>
      <c r="M399" s="1" t="e">
        <f>VLOOKUP(J399,$X:$Y,2,0)</f>
        <v>#N/A</v>
      </c>
      <c r="N399" s="1" t="e">
        <f>VLOOKUP(K399,$AA:$AB,2,0)</f>
        <v>#N/A</v>
      </c>
      <c r="O399" s="1">
        <f>IF(A399&lt;&gt;"",N399+M399+L399+F399+G399+H399,0)</f>
        <v>0</v>
      </c>
    </row>
    <row r="400" spans="1:15" x14ac:dyDescent="0.25">
      <c r="A400"/>
      <c r="B400"/>
      <c r="C400" s="1" t="str">
        <f>MID(A400,1,2)</f>
        <v/>
      </c>
      <c r="D400" s="1" t="str">
        <f>MID(B400,3,2)</f>
        <v/>
      </c>
      <c r="E400" s="1" t="str">
        <f>CONCATENATE(I400,K400)</f>
        <v/>
      </c>
      <c r="F400" s="1" t="e">
        <f>VLOOKUP(I400,$U$23:$AL$40,MATCH(J400,$U$23:$AL$23,0),FALSE)</f>
        <v>#N/A</v>
      </c>
      <c r="G400" s="1" t="e">
        <f>VLOOKUP(J400,$U$23:$AL$40,MATCH(K400,$U$23:$AL$23,0),FALSE)</f>
        <v>#N/A</v>
      </c>
      <c r="H400" s="1" t="e">
        <f>VLOOKUP(I400,$U$23:$AL$40,MATCH(K400,$U$23:$AL$23,0),FALSE)</f>
        <v>#N/A</v>
      </c>
      <c r="I400" s="1" t="str">
        <f>MID(A400,1,1)</f>
        <v/>
      </c>
      <c r="J400" s="1" t="str">
        <f>MID(A400,2,1)</f>
        <v/>
      </c>
      <c r="K400" s="1" t="str">
        <f>MID(A400,4,1)</f>
        <v/>
      </c>
      <c r="L400" s="1" t="e">
        <f>VLOOKUP(I400,$U:$V,2,0)</f>
        <v>#N/A</v>
      </c>
      <c r="M400" s="1" t="e">
        <f>VLOOKUP(J400,$X:$Y,2,0)</f>
        <v>#N/A</v>
      </c>
      <c r="N400" s="1" t="e">
        <f>VLOOKUP(K400,$AA:$AB,2,0)</f>
        <v>#N/A</v>
      </c>
      <c r="O400" s="1">
        <f>IF(A400&lt;&gt;"",N400+M400+L400+F400+G400+H400,0)</f>
        <v>0</v>
      </c>
    </row>
    <row r="401" spans="1:15" x14ac:dyDescent="0.25">
      <c r="A401"/>
      <c r="B401"/>
      <c r="C401" s="1" t="str">
        <f>MID(A401,1,2)</f>
        <v/>
      </c>
      <c r="D401" s="1" t="str">
        <f>MID(B401,3,2)</f>
        <v/>
      </c>
      <c r="E401" s="1" t="str">
        <f>CONCATENATE(I401,K401)</f>
        <v/>
      </c>
      <c r="F401" s="1" t="e">
        <f>VLOOKUP(I401,$U$23:$AL$40,MATCH(J401,$U$23:$AL$23,0),FALSE)</f>
        <v>#N/A</v>
      </c>
      <c r="G401" s="1" t="e">
        <f>VLOOKUP(J401,$U$23:$AL$40,MATCH(K401,$U$23:$AL$23,0),FALSE)</f>
        <v>#N/A</v>
      </c>
      <c r="H401" s="1" t="e">
        <f>VLOOKUP(I401,$U$23:$AL$40,MATCH(K401,$U$23:$AL$23,0),FALSE)</f>
        <v>#N/A</v>
      </c>
      <c r="I401" s="1" t="str">
        <f>MID(A401,1,1)</f>
        <v/>
      </c>
      <c r="J401" s="1" t="str">
        <f>MID(A401,2,1)</f>
        <v/>
      </c>
      <c r="K401" s="1" t="str">
        <f>MID(A401,4,1)</f>
        <v/>
      </c>
      <c r="L401" s="1" t="e">
        <f>VLOOKUP(I401,$U:$V,2,0)</f>
        <v>#N/A</v>
      </c>
      <c r="M401" s="1" t="e">
        <f>VLOOKUP(J401,$X:$Y,2,0)</f>
        <v>#N/A</v>
      </c>
      <c r="N401" s="1" t="e">
        <f>VLOOKUP(K401,$AA:$AB,2,0)</f>
        <v>#N/A</v>
      </c>
      <c r="O401" s="1">
        <f>IF(A401&lt;&gt;"",N401+M401+L401+F401+G401+H401,0)</f>
        <v>0</v>
      </c>
    </row>
    <row r="402" spans="1:15" x14ac:dyDescent="0.25">
      <c r="A402"/>
      <c r="B402"/>
      <c r="C402" s="1" t="str">
        <f>MID(A402,1,2)</f>
        <v/>
      </c>
      <c r="D402" s="1" t="str">
        <f>MID(B402,3,2)</f>
        <v/>
      </c>
      <c r="E402" s="1" t="str">
        <f>CONCATENATE(I402,K402)</f>
        <v/>
      </c>
      <c r="F402" s="1" t="e">
        <f>VLOOKUP(I402,$U$23:$AL$40,MATCH(J402,$U$23:$AL$23,0),FALSE)</f>
        <v>#N/A</v>
      </c>
      <c r="G402" s="1" t="e">
        <f>VLOOKUP(J402,$U$23:$AL$40,MATCH(K402,$U$23:$AL$23,0),FALSE)</f>
        <v>#N/A</v>
      </c>
      <c r="H402" s="1" t="e">
        <f>VLOOKUP(I402,$U$23:$AL$40,MATCH(K402,$U$23:$AL$23,0),FALSE)</f>
        <v>#N/A</v>
      </c>
      <c r="I402" s="1" t="str">
        <f>MID(A402,1,1)</f>
        <v/>
      </c>
      <c r="J402" s="1" t="str">
        <f>MID(A402,2,1)</f>
        <v/>
      </c>
      <c r="K402" s="1" t="str">
        <f>MID(A402,4,1)</f>
        <v/>
      </c>
      <c r="L402" s="1" t="e">
        <f>VLOOKUP(I402,$U:$V,2,0)</f>
        <v>#N/A</v>
      </c>
      <c r="M402" s="1" t="e">
        <f>VLOOKUP(J402,$X:$Y,2,0)</f>
        <v>#N/A</v>
      </c>
      <c r="N402" s="1" t="e">
        <f>VLOOKUP(K402,$AA:$AB,2,0)</f>
        <v>#N/A</v>
      </c>
      <c r="O402" s="1">
        <f>IF(A402&lt;&gt;"",N402+M402+L402+F402+G402+H402,0)</f>
        <v>0</v>
      </c>
    </row>
    <row r="403" spans="1:15" x14ac:dyDescent="0.25">
      <c r="A403"/>
      <c r="B403"/>
      <c r="C403" s="1" t="str">
        <f>MID(A403,1,2)</f>
        <v/>
      </c>
      <c r="D403" s="1" t="str">
        <f>MID(B403,3,2)</f>
        <v/>
      </c>
      <c r="E403" s="1" t="str">
        <f>CONCATENATE(I403,K403)</f>
        <v/>
      </c>
      <c r="F403" s="1" t="e">
        <f>VLOOKUP(I403,$U$23:$AL$40,MATCH(J403,$U$23:$AL$23,0),FALSE)</f>
        <v>#N/A</v>
      </c>
      <c r="G403" s="1" t="e">
        <f>VLOOKUP(J403,$U$23:$AL$40,MATCH(K403,$U$23:$AL$23,0),FALSE)</f>
        <v>#N/A</v>
      </c>
      <c r="H403" s="1" t="e">
        <f>VLOOKUP(I403,$U$23:$AL$40,MATCH(K403,$U$23:$AL$23,0),FALSE)</f>
        <v>#N/A</v>
      </c>
      <c r="I403" s="1" t="str">
        <f>MID(A403,1,1)</f>
        <v/>
      </c>
      <c r="J403" s="1" t="str">
        <f>MID(A403,2,1)</f>
        <v/>
      </c>
      <c r="K403" s="1" t="str">
        <f>MID(A403,4,1)</f>
        <v/>
      </c>
      <c r="L403" s="1" t="e">
        <f>VLOOKUP(I403,$U:$V,2,0)</f>
        <v>#N/A</v>
      </c>
      <c r="M403" s="1" t="e">
        <f>VLOOKUP(J403,$X:$Y,2,0)</f>
        <v>#N/A</v>
      </c>
      <c r="N403" s="1" t="e">
        <f>VLOOKUP(K403,$AA:$AB,2,0)</f>
        <v>#N/A</v>
      </c>
      <c r="O403" s="1">
        <f>IF(A403&lt;&gt;"",N403+M403+L403+F403+G403+H403,0)</f>
        <v>0</v>
      </c>
    </row>
    <row r="404" spans="1:15" x14ac:dyDescent="0.25">
      <c r="A404"/>
      <c r="B404"/>
      <c r="C404" s="1" t="str">
        <f>MID(A404,1,2)</f>
        <v/>
      </c>
      <c r="D404" s="1" t="str">
        <f>MID(B404,3,2)</f>
        <v/>
      </c>
      <c r="E404" s="1" t="str">
        <f>CONCATENATE(I404,K404)</f>
        <v/>
      </c>
      <c r="F404" s="1" t="e">
        <f>VLOOKUP(I404,$U$23:$AL$40,MATCH(J404,$U$23:$AL$23,0),FALSE)</f>
        <v>#N/A</v>
      </c>
      <c r="G404" s="1" t="e">
        <f>VLOOKUP(J404,$U$23:$AL$40,MATCH(K404,$U$23:$AL$23,0),FALSE)</f>
        <v>#N/A</v>
      </c>
      <c r="H404" s="1" t="e">
        <f>VLOOKUP(I404,$U$23:$AL$40,MATCH(K404,$U$23:$AL$23,0),FALSE)</f>
        <v>#N/A</v>
      </c>
      <c r="I404" s="1" t="str">
        <f>MID(A404,1,1)</f>
        <v/>
      </c>
      <c r="J404" s="1" t="str">
        <f>MID(A404,2,1)</f>
        <v/>
      </c>
      <c r="K404" s="1" t="str">
        <f>MID(A404,4,1)</f>
        <v/>
      </c>
      <c r="L404" s="1" t="e">
        <f>VLOOKUP(I404,$U:$V,2,0)</f>
        <v>#N/A</v>
      </c>
      <c r="M404" s="1" t="e">
        <f>VLOOKUP(J404,$X:$Y,2,0)</f>
        <v>#N/A</v>
      </c>
      <c r="N404" s="1" t="e">
        <f>VLOOKUP(K404,$AA:$AB,2,0)</f>
        <v>#N/A</v>
      </c>
      <c r="O404" s="1">
        <f>IF(A404&lt;&gt;"",N404+M404+L404+F404+G404+H404,0)</f>
        <v>0</v>
      </c>
    </row>
    <row r="405" spans="1:15" x14ac:dyDescent="0.25">
      <c r="A405"/>
      <c r="B405"/>
      <c r="C405" s="1" t="str">
        <f>MID(A405,1,2)</f>
        <v/>
      </c>
      <c r="D405" s="1" t="str">
        <f>MID(B405,3,2)</f>
        <v/>
      </c>
      <c r="E405" s="1" t="str">
        <f>CONCATENATE(I405,K405)</f>
        <v/>
      </c>
      <c r="F405" s="1" t="e">
        <f>VLOOKUP(I405,$U$23:$AL$40,MATCH(J405,$U$23:$AL$23,0),FALSE)</f>
        <v>#N/A</v>
      </c>
      <c r="G405" s="1" t="e">
        <f>VLOOKUP(J405,$U$23:$AL$40,MATCH(K405,$U$23:$AL$23,0),FALSE)</f>
        <v>#N/A</v>
      </c>
      <c r="H405" s="1" t="e">
        <f>VLOOKUP(I405,$U$23:$AL$40,MATCH(K405,$U$23:$AL$23,0),FALSE)</f>
        <v>#N/A</v>
      </c>
      <c r="I405" s="1" t="str">
        <f>MID(A405,1,1)</f>
        <v/>
      </c>
      <c r="J405" s="1" t="str">
        <f>MID(A405,2,1)</f>
        <v/>
      </c>
      <c r="K405" s="1" t="str">
        <f>MID(A405,4,1)</f>
        <v/>
      </c>
      <c r="L405" s="1" t="e">
        <f>VLOOKUP(I405,$U:$V,2,0)</f>
        <v>#N/A</v>
      </c>
      <c r="M405" s="1" t="e">
        <f>VLOOKUP(J405,$X:$Y,2,0)</f>
        <v>#N/A</v>
      </c>
      <c r="N405" s="1" t="e">
        <f>VLOOKUP(K405,$AA:$AB,2,0)</f>
        <v>#N/A</v>
      </c>
      <c r="O405" s="1">
        <f>IF(A405&lt;&gt;"",N405+M405+L405+F405+G405+H405,0)</f>
        <v>0</v>
      </c>
    </row>
    <row r="406" spans="1:15" x14ac:dyDescent="0.25">
      <c r="A406"/>
      <c r="B406"/>
      <c r="C406" s="1" t="str">
        <f>MID(A406,1,2)</f>
        <v/>
      </c>
      <c r="D406" s="1" t="str">
        <f>MID(B406,3,2)</f>
        <v/>
      </c>
      <c r="E406" s="1" t="str">
        <f>CONCATENATE(I406,K406)</f>
        <v/>
      </c>
      <c r="F406" s="1" t="e">
        <f>VLOOKUP(I406,$U$23:$AL$40,MATCH(J406,$U$23:$AL$23,0),FALSE)</f>
        <v>#N/A</v>
      </c>
      <c r="G406" s="1" t="e">
        <f>VLOOKUP(J406,$U$23:$AL$40,MATCH(K406,$U$23:$AL$23,0),FALSE)</f>
        <v>#N/A</v>
      </c>
      <c r="H406" s="1" t="e">
        <f>VLOOKUP(I406,$U$23:$AL$40,MATCH(K406,$U$23:$AL$23,0),FALSE)</f>
        <v>#N/A</v>
      </c>
      <c r="I406" s="1" t="str">
        <f>MID(A406,1,1)</f>
        <v/>
      </c>
      <c r="J406" s="1" t="str">
        <f>MID(A406,2,1)</f>
        <v/>
      </c>
      <c r="K406" s="1" t="str">
        <f>MID(A406,4,1)</f>
        <v/>
      </c>
      <c r="L406" s="1" t="e">
        <f>VLOOKUP(I406,$U:$V,2,0)</f>
        <v>#N/A</v>
      </c>
      <c r="M406" s="1" t="e">
        <f>VLOOKUP(J406,$X:$Y,2,0)</f>
        <v>#N/A</v>
      </c>
      <c r="N406" s="1" t="e">
        <f>VLOOKUP(K406,$AA:$AB,2,0)</f>
        <v>#N/A</v>
      </c>
      <c r="O406" s="1">
        <f>IF(A406&lt;&gt;"",N406+M406+L406+F406+G406+H406,0)</f>
        <v>0</v>
      </c>
    </row>
    <row r="407" spans="1:15" x14ac:dyDescent="0.25">
      <c r="A407"/>
      <c r="B407"/>
      <c r="C407" s="1" t="str">
        <f>MID(A407,1,2)</f>
        <v/>
      </c>
      <c r="D407" s="1" t="str">
        <f>MID(B407,3,2)</f>
        <v/>
      </c>
      <c r="E407" s="1" t="str">
        <f>CONCATENATE(I407,K407)</f>
        <v/>
      </c>
      <c r="F407" s="1" t="e">
        <f>VLOOKUP(I407,$U$23:$AL$40,MATCH(J407,$U$23:$AL$23,0),FALSE)</f>
        <v>#N/A</v>
      </c>
      <c r="G407" s="1" t="e">
        <f>VLOOKUP(J407,$U$23:$AL$40,MATCH(K407,$U$23:$AL$23,0),FALSE)</f>
        <v>#N/A</v>
      </c>
      <c r="H407" s="1" t="e">
        <f>VLOOKUP(I407,$U$23:$AL$40,MATCH(K407,$U$23:$AL$23,0),FALSE)</f>
        <v>#N/A</v>
      </c>
      <c r="I407" s="1" t="str">
        <f>MID(A407,1,1)</f>
        <v/>
      </c>
      <c r="J407" s="1" t="str">
        <f>MID(A407,2,1)</f>
        <v/>
      </c>
      <c r="K407" s="1" t="str">
        <f>MID(A407,4,1)</f>
        <v/>
      </c>
      <c r="L407" s="1" t="e">
        <f>VLOOKUP(I407,$U:$V,2,0)</f>
        <v>#N/A</v>
      </c>
      <c r="M407" s="1" t="e">
        <f>VLOOKUP(J407,$X:$Y,2,0)</f>
        <v>#N/A</v>
      </c>
      <c r="N407" s="1" t="e">
        <f>VLOOKUP(K407,$AA:$AB,2,0)</f>
        <v>#N/A</v>
      </c>
      <c r="O407" s="1">
        <f>IF(A407&lt;&gt;"",N407+M407+L407+F407+G407+H407,0)</f>
        <v>0</v>
      </c>
    </row>
    <row r="408" spans="1:15" x14ac:dyDescent="0.25">
      <c r="A408"/>
      <c r="B408"/>
      <c r="C408" s="1" t="str">
        <f>MID(A408,1,2)</f>
        <v/>
      </c>
      <c r="D408" s="1" t="str">
        <f>MID(B408,3,2)</f>
        <v/>
      </c>
      <c r="E408" s="1" t="str">
        <f>CONCATENATE(I408,K408)</f>
        <v/>
      </c>
      <c r="F408" s="1" t="e">
        <f>VLOOKUP(I408,$U$23:$AL$40,MATCH(J408,$U$23:$AL$23,0),FALSE)</f>
        <v>#N/A</v>
      </c>
      <c r="G408" s="1" t="e">
        <f>VLOOKUP(J408,$U$23:$AL$40,MATCH(K408,$U$23:$AL$23,0),FALSE)</f>
        <v>#N/A</v>
      </c>
      <c r="H408" s="1" t="e">
        <f>VLOOKUP(I408,$U$23:$AL$40,MATCH(K408,$U$23:$AL$23,0),FALSE)</f>
        <v>#N/A</v>
      </c>
      <c r="I408" s="1" t="str">
        <f>MID(A408,1,1)</f>
        <v/>
      </c>
      <c r="J408" s="1" t="str">
        <f>MID(A408,2,1)</f>
        <v/>
      </c>
      <c r="K408" s="1" t="str">
        <f>MID(A408,4,1)</f>
        <v/>
      </c>
      <c r="L408" s="1" t="e">
        <f>VLOOKUP(I408,$U:$V,2,0)</f>
        <v>#N/A</v>
      </c>
      <c r="M408" s="1" t="e">
        <f>VLOOKUP(J408,$X:$Y,2,0)</f>
        <v>#N/A</v>
      </c>
      <c r="N408" s="1" t="e">
        <f>VLOOKUP(K408,$AA:$AB,2,0)</f>
        <v>#N/A</v>
      </c>
      <c r="O408" s="1">
        <f>IF(A408&lt;&gt;"",N408+M408+L408+F408+G408+H408,0)</f>
        <v>0</v>
      </c>
    </row>
    <row r="409" spans="1:15" x14ac:dyDescent="0.25">
      <c r="A409"/>
      <c r="B409"/>
      <c r="C409" s="1" t="str">
        <f>MID(A409,1,2)</f>
        <v/>
      </c>
      <c r="D409" s="1" t="str">
        <f>MID(B409,3,2)</f>
        <v/>
      </c>
      <c r="E409" s="1" t="str">
        <f>CONCATENATE(I409,K409)</f>
        <v/>
      </c>
      <c r="F409" s="1" t="e">
        <f>VLOOKUP(I409,$U$23:$AL$40,MATCH(J409,$U$23:$AL$23,0),FALSE)</f>
        <v>#N/A</v>
      </c>
      <c r="G409" s="1" t="e">
        <f>VLOOKUP(J409,$U$23:$AL$40,MATCH(K409,$U$23:$AL$23,0),FALSE)</f>
        <v>#N/A</v>
      </c>
      <c r="H409" s="1" t="e">
        <f>VLOOKUP(I409,$U$23:$AL$40,MATCH(K409,$U$23:$AL$23,0),FALSE)</f>
        <v>#N/A</v>
      </c>
      <c r="I409" s="1" t="str">
        <f>MID(A409,1,1)</f>
        <v/>
      </c>
      <c r="J409" s="1" t="str">
        <f>MID(A409,2,1)</f>
        <v/>
      </c>
      <c r="K409" s="1" t="str">
        <f>MID(A409,4,1)</f>
        <v/>
      </c>
      <c r="L409" s="1" t="e">
        <f>VLOOKUP(I409,$U:$V,2,0)</f>
        <v>#N/A</v>
      </c>
      <c r="M409" s="1" t="e">
        <f>VLOOKUP(J409,$X:$Y,2,0)</f>
        <v>#N/A</v>
      </c>
      <c r="N409" s="1" t="e">
        <f>VLOOKUP(K409,$AA:$AB,2,0)</f>
        <v>#N/A</v>
      </c>
      <c r="O409" s="1">
        <f>IF(A409&lt;&gt;"",N409+M409+L409+F409+G409+H409,0)</f>
        <v>0</v>
      </c>
    </row>
    <row r="410" spans="1:15" x14ac:dyDescent="0.25">
      <c r="A410"/>
      <c r="B410"/>
      <c r="C410" s="1" t="str">
        <f>MID(A410,1,2)</f>
        <v/>
      </c>
      <c r="D410" s="1" t="str">
        <f>MID(B410,3,2)</f>
        <v/>
      </c>
      <c r="E410" s="1" t="str">
        <f>CONCATENATE(I410,K410)</f>
        <v/>
      </c>
      <c r="F410" s="1" t="e">
        <f>VLOOKUP(I410,$U$23:$AL$40,MATCH(J410,$U$23:$AL$23,0),FALSE)</f>
        <v>#N/A</v>
      </c>
      <c r="G410" s="1" t="e">
        <f>VLOOKUP(J410,$U$23:$AL$40,MATCH(K410,$U$23:$AL$23,0),FALSE)</f>
        <v>#N/A</v>
      </c>
      <c r="H410" s="1" t="e">
        <f>VLOOKUP(I410,$U$23:$AL$40,MATCH(K410,$U$23:$AL$23,0),FALSE)</f>
        <v>#N/A</v>
      </c>
      <c r="I410" s="1" t="str">
        <f>MID(A410,1,1)</f>
        <v/>
      </c>
      <c r="J410" s="1" t="str">
        <f>MID(A410,2,1)</f>
        <v/>
      </c>
      <c r="K410" s="1" t="str">
        <f>MID(A410,4,1)</f>
        <v/>
      </c>
      <c r="L410" s="1" t="e">
        <f>VLOOKUP(I410,$U:$V,2,0)</f>
        <v>#N/A</v>
      </c>
      <c r="M410" s="1" t="e">
        <f>VLOOKUP(J410,$X:$Y,2,0)</f>
        <v>#N/A</v>
      </c>
      <c r="N410" s="1" t="e">
        <f>VLOOKUP(K410,$AA:$AB,2,0)</f>
        <v>#N/A</v>
      </c>
      <c r="O410" s="1">
        <f>IF(A410&lt;&gt;"",N410+M410+L410+F410+G410+H410,0)</f>
        <v>0</v>
      </c>
    </row>
    <row r="411" spans="1:15" x14ac:dyDescent="0.25">
      <c r="A411"/>
      <c r="B411"/>
      <c r="C411" s="1" t="str">
        <f>MID(A411,1,2)</f>
        <v/>
      </c>
      <c r="D411" s="1" t="str">
        <f>MID(B411,3,2)</f>
        <v/>
      </c>
      <c r="E411" s="1" t="str">
        <f>CONCATENATE(I411,K411)</f>
        <v/>
      </c>
      <c r="F411" s="1" t="e">
        <f>VLOOKUP(I411,$U$23:$AL$40,MATCH(J411,$U$23:$AL$23,0),FALSE)</f>
        <v>#N/A</v>
      </c>
      <c r="G411" s="1" t="e">
        <f>VLOOKUP(J411,$U$23:$AL$40,MATCH(K411,$U$23:$AL$23,0),FALSE)</f>
        <v>#N/A</v>
      </c>
      <c r="H411" s="1" t="e">
        <f>VLOOKUP(I411,$U$23:$AL$40,MATCH(K411,$U$23:$AL$23,0),FALSE)</f>
        <v>#N/A</v>
      </c>
      <c r="I411" s="1" t="str">
        <f>MID(A411,1,1)</f>
        <v/>
      </c>
      <c r="J411" s="1" t="str">
        <f>MID(A411,2,1)</f>
        <v/>
      </c>
      <c r="K411" s="1" t="str">
        <f>MID(A411,4,1)</f>
        <v/>
      </c>
      <c r="L411" s="1" t="e">
        <f>VLOOKUP(I411,$U:$V,2,0)</f>
        <v>#N/A</v>
      </c>
      <c r="M411" s="1" t="e">
        <f>VLOOKUP(J411,$X:$Y,2,0)</f>
        <v>#N/A</v>
      </c>
      <c r="N411" s="1" t="e">
        <f>VLOOKUP(K411,$AA:$AB,2,0)</f>
        <v>#N/A</v>
      </c>
      <c r="O411" s="1">
        <f>IF(A411&lt;&gt;"",N411+M411+L411+F411+G411+H411,0)</f>
        <v>0</v>
      </c>
    </row>
    <row r="412" spans="1:15" x14ac:dyDescent="0.25">
      <c r="A412"/>
      <c r="B412"/>
      <c r="C412" s="1" t="str">
        <f>MID(A412,1,2)</f>
        <v/>
      </c>
      <c r="D412" s="1" t="str">
        <f>MID(B412,3,2)</f>
        <v/>
      </c>
      <c r="E412" s="1" t="str">
        <f>CONCATENATE(I412,K412)</f>
        <v/>
      </c>
      <c r="F412" s="1" t="e">
        <f>VLOOKUP(I412,$U$23:$AL$40,MATCH(J412,$U$23:$AL$23,0),FALSE)</f>
        <v>#N/A</v>
      </c>
      <c r="G412" s="1" t="e">
        <f>VLOOKUP(J412,$U$23:$AL$40,MATCH(K412,$U$23:$AL$23,0),FALSE)</f>
        <v>#N/A</v>
      </c>
      <c r="H412" s="1" t="e">
        <f>VLOOKUP(I412,$U$23:$AL$40,MATCH(K412,$U$23:$AL$23,0),FALSE)</f>
        <v>#N/A</v>
      </c>
      <c r="I412" s="1" t="str">
        <f>MID(A412,1,1)</f>
        <v/>
      </c>
      <c r="J412" s="1" t="str">
        <f>MID(A412,2,1)</f>
        <v/>
      </c>
      <c r="K412" s="1" t="str">
        <f>MID(A412,4,1)</f>
        <v/>
      </c>
      <c r="L412" s="1" t="e">
        <f>VLOOKUP(I412,$U:$V,2,0)</f>
        <v>#N/A</v>
      </c>
      <c r="M412" s="1" t="e">
        <f>VLOOKUP(J412,$X:$Y,2,0)</f>
        <v>#N/A</v>
      </c>
      <c r="N412" s="1" t="e">
        <f>VLOOKUP(K412,$AA:$AB,2,0)</f>
        <v>#N/A</v>
      </c>
      <c r="O412" s="1">
        <f>IF(A412&lt;&gt;"",N412+M412+L412+F412+G412+H412,0)</f>
        <v>0</v>
      </c>
    </row>
    <row r="413" spans="1:15" x14ac:dyDescent="0.25">
      <c r="A413"/>
      <c r="B413"/>
      <c r="C413" s="1" t="str">
        <f>MID(A413,1,2)</f>
        <v/>
      </c>
      <c r="D413" s="1" t="str">
        <f>MID(B413,3,2)</f>
        <v/>
      </c>
      <c r="E413" s="1" t="str">
        <f>CONCATENATE(I413,K413)</f>
        <v/>
      </c>
      <c r="F413" s="1" t="e">
        <f>VLOOKUP(I413,$U$23:$AL$40,MATCH(J413,$U$23:$AL$23,0),FALSE)</f>
        <v>#N/A</v>
      </c>
      <c r="G413" s="1" t="e">
        <f>VLOOKUP(J413,$U$23:$AL$40,MATCH(K413,$U$23:$AL$23,0),FALSE)</f>
        <v>#N/A</v>
      </c>
      <c r="H413" s="1" t="e">
        <f>VLOOKUP(I413,$U$23:$AL$40,MATCH(K413,$U$23:$AL$23,0),FALSE)</f>
        <v>#N/A</v>
      </c>
      <c r="I413" s="1" t="str">
        <f>MID(A413,1,1)</f>
        <v/>
      </c>
      <c r="J413" s="1" t="str">
        <f>MID(A413,2,1)</f>
        <v/>
      </c>
      <c r="K413" s="1" t="str">
        <f>MID(A413,4,1)</f>
        <v/>
      </c>
      <c r="L413" s="1" t="e">
        <f>VLOOKUP(I413,$U:$V,2,0)</f>
        <v>#N/A</v>
      </c>
      <c r="M413" s="1" t="e">
        <f>VLOOKUP(J413,$X:$Y,2,0)</f>
        <v>#N/A</v>
      </c>
      <c r="N413" s="1" t="e">
        <f>VLOOKUP(K413,$AA:$AB,2,0)</f>
        <v>#N/A</v>
      </c>
      <c r="O413" s="1">
        <f>IF(A413&lt;&gt;"",N413+M413+L413+F413+G413+H413,0)</f>
        <v>0</v>
      </c>
    </row>
    <row r="414" spans="1:15" x14ac:dyDescent="0.25">
      <c r="A414"/>
      <c r="B414"/>
      <c r="C414" s="1" t="str">
        <f>MID(A414,1,2)</f>
        <v/>
      </c>
      <c r="D414" s="1" t="str">
        <f>MID(B414,3,2)</f>
        <v/>
      </c>
      <c r="E414" s="1" t="str">
        <f>CONCATENATE(I414,K414)</f>
        <v/>
      </c>
      <c r="F414" s="1" t="e">
        <f>VLOOKUP(I414,$U$23:$AL$40,MATCH(J414,$U$23:$AL$23,0),FALSE)</f>
        <v>#N/A</v>
      </c>
      <c r="G414" s="1" t="e">
        <f>VLOOKUP(J414,$U$23:$AL$40,MATCH(K414,$U$23:$AL$23,0),FALSE)</f>
        <v>#N/A</v>
      </c>
      <c r="H414" s="1" t="e">
        <f>VLOOKUP(I414,$U$23:$AL$40,MATCH(K414,$U$23:$AL$23,0),FALSE)</f>
        <v>#N/A</v>
      </c>
      <c r="I414" s="1" t="str">
        <f>MID(A414,1,1)</f>
        <v/>
      </c>
      <c r="J414" s="1" t="str">
        <f>MID(A414,2,1)</f>
        <v/>
      </c>
      <c r="K414" s="1" t="str">
        <f>MID(A414,4,1)</f>
        <v/>
      </c>
      <c r="L414" s="1" t="e">
        <f>VLOOKUP(I414,$U:$V,2,0)</f>
        <v>#N/A</v>
      </c>
      <c r="M414" s="1" t="e">
        <f>VLOOKUP(J414,$X:$Y,2,0)</f>
        <v>#N/A</v>
      </c>
      <c r="N414" s="1" t="e">
        <f>VLOOKUP(K414,$AA:$AB,2,0)</f>
        <v>#N/A</v>
      </c>
      <c r="O414" s="1">
        <f>IF(A414&lt;&gt;"",N414+M414+L414+F414+G414+H414,0)</f>
        <v>0</v>
      </c>
    </row>
    <row r="415" spans="1:15" x14ac:dyDescent="0.25">
      <c r="A415"/>
      <c r="B415"/>
      <c r="C415" s="1" t="str">
        <f>MID(A415,1,2)</f>
        <v/>
      </c>
      <c r="D415" s="1" t="str">
        <f>MID(B415,3,2)</f>
        <v/>
      </c>
      <c r="E415" s="1" t="str">
        <f>CONCATENATE(I415,K415)</f>
        <v/>
      </c>
      <c r="F415" s="1" t="e">
        <f>VLOOKUP(I415,$U$23:$AL$40,MATCH(J415,$U$23:$AL$23,0),FALSE)</f>
        <v>#N/A</v>
      </c>
      <c r="G415" s="1" t="e">
        <f>VLOOKUP(J415,$U$23:$AL$40,MATCH(K415,$U$23:$AL$23,0),FALSE)</f>
        <v>#N/A</v>
      </c>
      <c r="H415" s="1" t="e">
        <f>VLOOKUP(I415,$U$23:$AL$40,MATCH(K415,$U$23:$AL$23,0),FALSE)</f>
        <v>#N/A</v>
      </c>
      <c r="I415" s="1" t="str">
        <f>MID(A415,1,1)</f>
        <v/>
      </c>
      <c r="J415" s="1" t="str">
        <f>MID(A415,2,1)</f>
        <v/>
      </c>
      <c r="K415" s="1" t="str">
        <f>MID(A415,4,1)</f>
        <v/>
      </c>
      <c r="L415" s="1" t="e">
        <f>VLOOKUP(I415,$U:$V,2,0)</f>
        <v>#N/A</v>
      </c>
      <c r="M415" s="1" t="e">
        <f>VLOOKUP(J415,$X:$Y,2,0)</f>
        <v>#N/A</v>
      </c>
      <c r="N415" s="1" t="e">
        <f>VLOOKUP(K415,$AA:$AB,2,0)</f>
        <v>#N/A</v>
      </c>
      <c r="O415" s="1">
        <f>IF(A415&lt;&gt;"",N415+M415+L415+F415+G415+H415,0)</f>
        <v>0</v>
      </c>
    </row>
    <row r="416" spans="1:15" x14ac:dyDescent="0.25">
      <c r="A416"/>
      <c r="B416"/>
      <c r="C416" s="1" t="str">
        <f>MID(A416,1,2)</f>
        <v/>
      </c>
      <c r="D416" s="1" t="str">
        <f>MID(B416,3,2)</f>
        <v/>
      </c>
      <c r="E416" s="1" t="str">
        <f>CONCATENATE(I416,K416)</f>
        <v/>
      </c>
      <c r="F416" s="1" t="e">
        <f>VLOOKUP(I416,$U$23:$AL$40,MATCH(J416,$U$23:$AL$23,0),FALSE)</f>
        <v>#N/A</v>
      </c>
      <c r="G416" s="1" t="e">
        <f>VLOOKUP(J416,$U$23:$AL$40,MATCH(K416,$U$23:$AL$23,0),FALSE)</f>
        <v>#N/A</v>
      </c>
      <c r="H416" s="1" t="e">
        <f>VLOOKUP(I416,$U$23:$AL$40,MATCH(K416,$U$23:$AL$23,0),FALSE)</f>
        <v>#N/A</v>
      </c>
      <c r="I416" s="1" t="str">
        <f>MID(A416,1,1)</f>
        <v/>
      </c>
      <c r="J416" s="1" t="str">
        <f>MID(A416,2,1)</f>
        <v/>
      </c>
      <c r="K416" s="1" t="str">
        <f>MID(A416,4,1)</f>
        <v/>
      </c>
      <c r="L416" s="1" t="e">
        <f>VLOOKUP(I416,$U:$V,2,0)</f>
        <v>#N/A</v>
      </c>
      <c r="M416" s="1" t="e">
        <f>VLOOKUP(J416,$X:$Y,2,0)</f>
        <v>#N/A</v>
      </c>
      <c r="N416" s="1" t="e">
        <f>VLOOKUP(K416,$AA:$AB,2,0)</f>
        <v>#N/A</v>
      </c>
      <c r="O416" s="1">
        <f>IF(A416&lt;&gt;"",N416+M416+L416+F416+G416+H416,0)</f>
        <v>0</v>
      </c>
    </row>
    <row r="417" spans="1:15" x14ac:dyDescent="0.25">
      <c r="A417"/>
      <c r="B417"/>
      <c r="C417" s="1" t="str">
        <f>MID(A417,1,2)</f>
        <v/>
      </c>
      <c r="D417" s="1" t="str">
        <f>MID(B417,3,2)</f>
        <v/>
      </c>
      <c r="E417" s="1" t="str">
        <f>CONCATENATE(I417,K417)</f>
        <v/>
      </c>
      <c r="F417" s="1" t="e">
        <f>VLOOKUP(I417,$U$23:$AL$40,MATCH(J417,$U$23:$AL$23,0),FALSE)</f>
        <v>#N/A</v>
      </c>
      <c r="G417" s="1" t="e">
        <f>VLOOKUP(J417,$U$23:$AL$40,MATCH(K417,$U$23:$AL$23,0),FALSE)</f>
        <v>#N/A</v>
      </c>
      <c r="H417" s="1" t="e">
        <f>VLOOKUP(I417,$U$23:$AL$40,MATCH(K417,$U$23:$AL$23,0),FALSE)</f>
        <v>#N/A</v>
      </c>
      <c r="I417" s="1" t="str">
        <f>MID(A417,1,1)</f>
        <v/>
      </c>
      <c r="J417" s="1" t="str">
        <f>MID(A417,2,1)</f>
        <v/>
      </c>
      <c r="K417" s="1" t="str">
        <f>MID(A417,4,1)</f>
        <v/>
      </c>
      <c r="L417" s="1" t="e">
        <f>VLOOKUP(I417,$U:$V,2,0)</f>
        <v>#N/A</v>
      </c>
      <c r="M417" s="1" t="e">
        <f>VLOOKUP(J417,$X:$Y,2,0)</f>
        <v>#N/A</v>
      </c>
      <c r="N417" s="1" t="e">
        <f>VLOOKUP(K417,$AA:$AB,2,0)</f>
        <v>#N/A</v>
      </c>
      <c r="O417" s="1">
        <f>IF(A417&lt;&gt;"",N417+M417+L417+F417+G417+H417,0)</f>
        <v>0</v>
      </c>
    </row>
    <row r="418" spans="1:15" x14ac:dyDescent="0.25">
      <c r="A418"/>
      <c r="B418"/>
      <c r="C418" s="1" t="str">
        <f>MID(A418,1,2)</f>
        <v/>
      </c>
      <c r="D418" s="1" t="str">
        <f>MID(B418,3,2)</f>
        <v/>
      </c>
      <c r="E418" s="1" t="str">
        <f>CONCATENATE(I418,K418)</f>
        <v/>
      </c>
      <c r="F418" s="1" t="e">
        <f>VLOOKUP(I418,$U$23:$AL$40,MATCH(J418,$U$23:$AL$23,0),FALSE)</f>
        <v>#N/A</v>
      </c>
      <c r="G418" s="1" t="e">
        <f>VLOOKUP(J418,$U$23:$AL$40,MATCH(K418,$U$23:$AL$23,0),FALSE)</f>
        <v>#N/A</v>
      </c>
      <c r="H418" s="1" t="e">
        <f>VLOOKUP(I418,$U$23:$AL$40,MATCH(K418,$U$23:$AL$23,0),FALSE)</f>
        <v>#N/A</v>
      </c>
      <c r="I418" s="1" t="str">
        <f>MID(A418,1,1)</f>
        <v/>
      </c>
      <c r="J418" s="1" t="str">
        <f>MID(A418,2,1)</f>
        <v/>
      </c>
      <c r="K418" s="1" t="str">
        <f>MID(A418,4,1)</f>
        <v/>
      </c>
      <c r="L418" s="1" t="e">
        <f>VLOOKUP(I418,$U:$V,2,0)</f>
        <v>#N/A</v>
      </c>
      <c r="M418" s="1" t="e">
        <f>VLOOKUP(J418,$X:$Y,2,0)</f>
        <v>#N/A</v>
      </c>
      <c r="N418" s="1" t="e">
        <f>VLOOKUP(K418,$AA:$AB,2,0)</f>
        <v>#N/A</v>
      </c>
      <c r="O418" s="1">
        <f>IF(A418&lt;&gt;"",N418+M418+L418+F418+G418+H418,0)</f>
        <v>0</v>
      </c>
    </row>
    <row r="419" spans="1:15" x14ac:dyDescent="0.25">
      <c r="A419"/>
      <c r="B419"/>
      <c r="C419" s="1" t="str">
        <f>MID(A419,1,2)</f>
        <v/>
      </c>
      <c r="D419" s="1" t="str">
        <f>MID(B419,3,2)</f>
        <v/>
      </c>
      <c r="E419" s="1" t="str">
        <f>CONCATENATE(I419,K419)</f>
        <v/>
      </c>
      <c r="F419" s="1" t="e">
        <f>VLOOKUP(I419,$U$23:$AL$40,MATCH(J419,$U$23:$AL$23,0),FALSE)</f>
        <v>#N/A</v>
      </c>
      <c r="G419" s="1" t="e">
        <f>VLOOKUP(J419,$U$23:$AL$40,MATCH(K419,$U$23:$AL$23,0),FALSE)</f>
        <v>#N/A</v>
      </c>
      <c r="H419" s="1" t="e">
        <f>VLOOKUP(I419,$U$23:$AL$40,MATCH(K419,$U$23:$AL$23,0),FALSE)</f>
        <v>#N/A</v>
      </c>
      <c r="I419" s="1" t="str">
        <f>MID(A419,1,1)</f>
        <v/>
      </c>
      <c r="J419" s="1" t="str">
        <f>MID(A419,2,1)</f>
        <v/>
      </c>
      <c r="K419" s="1" t="str">
        <f>MID(A419,4,1)</f>
        <v/>
      </c>
      <c r="L419" s="1" t="e">
        <f>VLOOKUP(I419,$U:$V,2,0)</f>
        <v>#N/A</v>
      </c>
      <c r="M419" s="1" t="e">
        <f>VLOOKUP(J419,$X:$Y,2,0)</f>
        <v>#N/A</v>
      </c>
      <c r="N419" s="1" t="e">
        <f>VLOOKUP(K419,$AA:$AB,2,0)</f>
        <v>#N/A</v>
      </c>
      <c r="O419" s="1">
        <f>IF(A419&lt;&gt;"",N419+M419+L419+F419+G419+H419,0)</f>
        <v>0</v>
      </c>
    </row>
    <row r="420" spans="1:15" x14ac:dyDescent="0.25">
      <c r="A420"/>
      <c r="B420"/>
      <c r="C420" s="1" t="str">
        <f>MID(A420,1,2)</f>
        <v/>
      </c>
      <c r="D420" s="1" t="str">
        <f>MID(B420,3,2)</f>
        <v/>
      </c>
      <c r="E420" s="1" t="str">
        <f>CONCATENATE(I420,K420)</f>
        <v/>
      </c>
      <c r="F420" s="1" t="e">
        <f>VLOOKUP(I420,$U$23:$AL$40,MATCH(J420,$U$23:$AL$23,0),FALSE)</f>
        <v>#N/A</v>
      </c>
      <c r="G420" s="1" t="e">
        <f>VLOOKUP(J420,$U$23:$AL$40,MATCH(K420,$U$23:$AL$23,0),FALSE)</f>
        <v>#N/A</v>
      </c>
      <c r="H420" s="1" t="e">
        <f>VLOOKUP(I420,$U$23:$AL$40,MATCH(K420,$U$23:$AL$23,0),FALSE)</f>
        <v>#N/A</v>
      </c>
      <c r="I420" s="1" t="str">
        <f>MID(A420,1,1)</f>
        <v/>
      </c>
      <c r="J420" s="1" t="str">
        <f>MID(A420,2,1)</f>
        <v/>
      </c>
      <c r="K420" s="1" t="str">
        <f>MID(A420,4,1)</f>
        <v/>
      </c>
      <c r="L420" s="1" t="e">
        <f>VLOOKUP(I420,$U:$V,2,0)</f>
        <v>#N/A</v>
      </c>
      <c r="M420" s="1" t="e">
        <f>VLOOKUP(J420,$X:$Y,2,0)</f>
        <v>#N/A</v>
      </c>
      <c r="N420" s="1" t="e">
        <f>VLOOKUP(K420,$AA:$AB,2,0)</f>
        <v>#N/A</v>
      </c>
      <c r="O420" s="1">
        <f>IF(A420&lt;&gt;"",N420+M420+L420+F420+G420+H420,0)</f>
        <v>0</v>
      </c>
    </row>
    <row r="421" spans="1:15" x14ac:dyDescent="0.25">
      <c r="A421"/>
      <c r="B421"/>
      <c r="C421" s="1" t="str">
        <f>MID(A421,1,2)</f>
        <v/>
      </c>
      <c r="D421" s="1" t="str">
        <f>MID(B421,3,2)</f>
        <v/>
      </c>
      <c r="E421" s="1" t="str">
        <f>CONCATENATE(I421,K421)</f>
        <v/>
      </c>
      <c r="F421" s="1" t="e">
        <f>VLOOKUP(I421,$U$23:$AL$40,MATCH(J421,$U$23:$AL$23,0),FALSE)</f>
        <v>#N/A</v>
      </c>
      <c r="G421" s="1" t="e">
        <f>VLOOKUP(J421,$U$23:$AL$40,MATCH(K421,$U$23:$AL$23,0),FALSE)</f>
        <v>#N/A</v>
      </c>
      <c r="H421" s="1" t="e">
        <f>VLOOKUP(I421,$U$23:$AL$40,MATCH(K421,$U$23:$AL$23,0),FALSE)</f>
        <v>#N/A</v>
      </c>
      <c r="I421" s="1" t="str">
        <f>MID(A421,1,1)</f>
        <v/>
      </c>
      <c r="J421" s="1" t="str">
        <f>MID(A421,2,1)</f>
        <v/>
      </c>
      <c r="K421" s="1" t="str">
        <f>MID(A421,4,1)</f>
        <v/>
      </c>
      <c r="L421" s="1" t="e">
        <f>VLOOKUP(I421,$U:$V,2,0)</f>
        <v>#N/A</v>
      </c>
      <c r="M421" s="1" t="e">
        <f>VLOOKUP(J421,$X:$Y,2,0)</f>
        <v>#N/A</v>
      </c>
      <c r="N421" s="1" t="e">
        <f>VLOOKUP(K421,$AA:$AB,2,0)</f>
        <v>#N/A</v>
      </c>
      <c r="O421" s="1">
        <f>IF(A421&lt;&gt;"",N421+M421+L421+F421+G421+H421,0)</f>
        <v>0</v>
      </c>
    </row>
    <row r="422" spans="1:15" x14ac:dyDescent="0.25">
      <c r="A422"/>
      <c r="B422"/>
      <c r="C422" s="1" t="str">
        <f>MID(A422,1,2)</f>
        <v/>
      </c>
      <c r="D422" s="1" t="str">
        <f>MID(B422,3,2)</f>
        <v/>
      </c>
      <c r="E422" s="1" t="str">
        <f>CONCATENATE(I422,K422)</f>
        <v/>
      </c>
      <c r="F422" s="1" t="e">
        <f>VLOOKUP(I422,$U$23:$AL$40,MATCH(J422,$U$23:$AL$23,0),FALSE)</f>
        <v>#N/A</v>
      </c>
      <c r="G422" s="1" t="e">
        <f>VLOOKUP(J422,$U$23:$AL$40,MATCH(K422,$U$23:$AL$23,0),FALSE)</f>
        <v>#N/A</v>
      </c>
      <c r="H422" s="1" t="e">
        <f>VLOOKUP(I422,$U$23:$AL$40,MATCH(K422,$U$23:$AL$23,0),FALSE)</f>
        <v>#N/A</v>
      </c>
      <c r="I422" s="1" t="str">
        <f>MID(A422,1,1)</f>
        <v/>
      </c>
      <c r="J422" s="1" t="str">
        <f>MID(A422,2,1)</f>
        <v/>
      </c>
      <c r="K422" s="1" t="str">
        <f>MID(A422,4,1)</f>
        <v/>
      </c>
      <c r="L422" s="1" t="e">
        <f>VLOOKUP(I422,$U:$V,2,0)</f>
        <v>#N/A</v>
      </c>
      <c r="M422" s="1" t="e">
        <f>VLOOKUP(J422,$X:$Y,2,0)</f>
        <v>#N/A</v>
      </c>
      <c r="N422" s="1" t="e">
        <f>VLOOKUP(K422,$AA:$AB,2,0)</f>
        <v>#N/A</v>
      </c>
      <c r="O422" s="1">
        <f>IF(A422&lt;&gt;"",N422+M422+L422+F422+G422+H422,0)</f>
        <v>0</v>
      </c>
    </row>
    <row r="423" spans="1:15" x14ac:dyDescent="0.25">
      <c r="A423"/>
      <c r="B423"/>
      <c r="C423" s="1" t="str">
        <f>MID(A423,1,2)</f>
        <v/>
      </c>
      <c r="D423" s="1" t="str">
        <f>MID(B423,3,2)</f>
        <v/>
      </c>
      <c r="E423" s="1" t="str">
        <f>CONCATENATE(I423,K423)</f>
        <v/>
      </c>
      <c r="F423" s="1" t="e">
        <f>VLOOKUP(I423,$U$23:$AL$40,MATCH(J423,$U$23:$AL$23,0),FALSE)</f>
        <v>#N/A</v>
      </c>
      <c r="G423" s="1" t="e">
        <f>VLOOKUP(J423,$U$23:$AL$40,MATCH(K423,$U$23:$AL$23,0),FALSE)</f>
        <v>#N/A</v>
      </c>
      <c r="H423" s="1" t="e">
        <f>VLOOKUP(I423,$U$23:$AL$40,MATCH(K423,$U$23:$AL$23,0),FALSE)</f>
        <v>#N/A</v>
      </c>
      <c r="I423" s="1" t="str">
        <f>MID(A423,1,1)</f>
        <v/>
      </c>
      <c r="J423" s="1" t="str">
        <f>MID(A423,2,1)</f>
        <v/>
      </c>
      <c r="K423" s="1" t="str">
        <f>MID(A423,4,1)</f>
        <v/>
      </c>
      <c r="L423" s="1" t="e">
        <f>VLOOKUP(I423,$U:$V,2,0)</f>
        <v>#N/A</v>
      </c>
      <c r="M423" s="1" t="e">
        <f>VLOOKUP(J423,$X:$Y,2,0)</f>
        <v>#N/A</v>
      </c>
      <c r="N423" s="1" t="e">
        <f>VLOOKUP(K423,$AA:$AB,2,0)</f>
        <v>#N/A</v>
      </c>
      <c r="O423" s="1">
        <f>IF(A423&lt;&gt;"",N423+M423+L423+F423+G423+H423,0)</f>
        <v>0</v>
      </c>
    </row>
    <row r="424" spans="1:15" x14ac:dyDescent="0.25">
      <c r="A424"/>
      <c r="B424"/>
      <c r="C424" s="1" t="str">
        <f>MID(A424,1,2)</f>
        <v/>
      </c>
      <c r="D424" s="1" t="str">
        <f>MID(B424,3,2)</f>
        <v/>
      </c>
      <c r="E424" s="1" t="str">
        <f>CONCATENATE(I424,K424)</f>
        <v/>
      </c>
      <c r="F424" s="1" t="e">
        <f>VLOOKUP(I424,$U$23:$AL$40,MATCH(J424,$U$23:$AL$23,0),FALSE)</f>
        <v>#N/A</v>
      </c>
      <c r="G424" s="1" t="e">
        <f>VLOOKUP(J424,$U$23:$AL$40,MATCH(K424,$U$23:$AL$23,0),FALSE)</f>
        <v>#N/A</v>
      </c>
      <c r="H424" s="1" t="e">
        <f>VLOOKUP(I424,$U$23:$AL$40,MATCH(K424,$U$23:$AL$23,0),FALSE)</f>
        <v>#N/A</v>
      </c>
      <c r="I424" s="1" t="str">
        <f>MID(A424,1,1)</f>
        <v/>
      </c>
      <c r="J424" s="1" t="str">
        <f>MID(A424,2,1)</f>
        <v/>
      </c>
      <c r="K424" s="1" t="str">
        <f>MID(A424,4,1)</f>
        <v/>
      </c>
      <c r="L424" s="1" t="e">
        <f>VLOOKUP(I424,$U:$V,2,0)</f>
        <v>#N/A</v>
      </c>
      <c r="M424" s="1" t="e">
        <f>VLOOKUP(J424,$X:$Y,2,0)</f>
        <v>#N/A</v>
      </c>
      <c r="N424" s="1" t="e">
        <f>VLOOKUP(K424,$AA:$AB,2,0)</f>
        <v>#N/A</v>
      </c>
      <c r="O424" s="1">
        <f>IF(A424&lt;&gt;"",N424+M424+L424+F424+G424+H424,0)</f>
        <v>0</v>
      </c>
    </row>
    <row r="425" spans="1:15" x14ac:dyDescent="0.25">
      <c r="A425"/>
      <c r="B425"/>
      <c r="C425" s="1" t="str">
        <f>MID(A425,1,2)</f>
        <v/>
      </c>
      <c r="D425" s="1" t="str">
        <f>MID(B425,3,2)</f>
        <v/>
      </c>
      <c r="E425" s="1" t="str">
        <f>CONCATENATE(I425,K425)</f>
        <v/>
      </c>
      <c r="F425" s="1" t="e">
        <f>VLOOKUP(I425,$U$23:$AL$40,MATCH(J425,$U$23:$AL$23,0),FALSE)</f>
        <v>#N/A</v>
      </c>
      <c r="G425" s="1" t="e">
        <f>VLOOKUP(J425,$U$23:$AL$40,MATCH(K425,$U$23:$AL$23,0),FALSE)</f>
        <v>#N/A</v>
      </c>
      <c r="H425" s="1" t="e">
        <f>VLOOKUP(I425,$U$23:$AL$40,MATCH(K425,$U$23:$AL$23,0),FALSE)</f>
        <v>#N/A</v>
      </c>
      <c r="I425" s="1" t="str">
        <f>MID(A425,1,1)</f>
        <v/>
      </c>
      <c r="J425" s="1" t="str">
        <f>MID(A425,2,1)</f>
        <v/>
      </c>
      <c r="K425" s="1" t="str">
        <f>MID(A425,4,1)</f>
        <v/>
      </c>
      <c r="L425" s="1" t="e">
        <f>VLOOKUP(I425,$U:$V,2,0)</f>
        <v>#N/A</v>
      </c>
      <c r="M425" s="1" t="e">
        <f>VLOOKUP(J425,$X:$Y,2,0)</f>
        <v>#N/A</v>
      </c>
      <c r="N425" s="1" t="e">
        <f>VLOOKUP(K425,$AA:$AB,2,0)</f>
        <v>#N/A</v>
      </c>
      <c r="O425" s="1">
        <f>IF(A425&lt;&gt;"",N425+M425+L425+F425+G425+H425,0)</f>
        <v>0</v>
      </c>
    </row>
    <row r="426" spans="1:15" x14ac:dyDescent="0.25">
      <c r="A426"/>
      <c r="B426"/>
      <c r="C426" s="1" t="str">
        <f>MID(A426,1,2)</f>
        <v/>
      </c>
      <c r="D426" s="1" t="str">
        <f>MID(B426,3,2)</f>
        <v/>
      </c>
      <c r="E426" s="1" t="str">
        <f>CONCATENATE(I426,K426)</f>
        <v/>
      </c>
      <c r="F426" s="1" t="e">
        <f>VLOOKUP(I426,$U$23:$AL$40,MATCH(J426,$U$23:$AL$23,0),FALSE)</f>
        <v>#N/A</v>
      </c>
      <c r="G426" s="1" t="e">
        <f>VLOOKUP(J426,$U$23:$AL$40,MATCH(K426,$U$23:$AL$23,0),FALSE)</f>
        <v>#N/A</v>
      </c>
      <c r="H426" s="1" t="e">
        <f>VLOOKUP(I426,$U$23:$AL$40,MATCH(K426,$U$23:$AL$23,0),FALSE)</f>
        <v>#N/A</v>
      </c>
      <c r="I426" s="1" t="str">
        <f>MID(A426,1,1)</f>
        <v/>
      </c>
      <c r="J426" s="1" t="str">
        <f>MID(A426,2,1)</f>
        <v/>
      </c>
      <c r="K426" s="1" t="str">
        <f>MID(A426,4,1)</f>
        <v/>
      </c>
      <c r="L426" s="1" t="e">
        <f>VLOOKUP(I426,$U:$V,2,0)</f>
        <v>#N/A</v>
      </c>
      <c r="M426" s="1" t="e">
        <f>VLOOKUP(J426,$X:$Y,2,0)</f>
        <v>#N/A</v>
      </c>
      <c r="N426" s="1" t="e">
        <f>VLOOKUP(K426,$AA:$AB,2,0)</f>
        <v>#N/A</v>
      </c>
      <c r="O426" s="1">
        <f>IF(A426&lt;&gt;"",N426+M426+L426+F426+G426+H426,0)</f>
        <v>0</v>
      </c>
    </row>
    <row r="427" spans="1:15" x14ac:dyDescent="0.25">
      <c r="A427"/>
      <c r="B427"/>
      <c r="C427" s="1" t="str">
        <f>MID(A427,1,2)</f>
        <v/>
      </c>
      <c r="D427" s="1" t="str">
        <f>MID(B427,3,2)</f>
        <v/>
      </c>
      <c r="E427" s="1" t="str">
        <f>CONCATENATE(I427,K427)</f>
        <v/>
      </c>
      <c r="F427" s="1" t="e">
        <f>VLOOKUP(I427,$U$23:$AL$40,MATCH(J427,$U$23:$AL$23,0),FALSE)</f>
        <v>#N/A</v>
      </c>
      <c r="G427" s="1" t="e">
        <f>VLOOKUP(J427,$U$23:$AL$40,MATCH(K427,$U$23:$AL$23,0),FALSE)</f>
        <v>#N/A</v>
      </c>
      <c r="H427" s="1" t="e">
        <f>VLOOKUP(I427,$U$23:$AL$40,MATCH(K427,$U$23:$AL$23,0),FALSE)</f>
        <v>#N/A</v>
      </c>
      <c r="I427" s="1" t="str">
        <f>MID(A427,1,1)</f>
        <v/>
      </c>
      <c r="J427" s="1" t="str">
        <f>MID(A427,2,1)</f>
        <v/>
      </c>
      <c r="K427" s="1" t="str">
        <f>MID(A427,4,1)</f>
        <v/>
      </c>
      <c r="L427" s="1" t="e">
        <f>VLOOKUP(I427,$U:$V,2,0)</f>
        <v>#N/A</v>
      </c>
      <c r="M427" s="1" t="e">
        <f>VLOOKUP(J427,$X:$Y,2,0)</f>
        <v>#N/A</v>
      </c>
      <c r="N427" s="1" t="e">
        <f>VLOOKUP(K427,$AA:$AB,2,0)</f>
        <v>#N/A</v>
      </c>
      <c r="O427" s="1">
        <f>IF(A427&lt;&gt;"",N427+M427+L427+F427+G427+H427,0)</f>
        <v>0</v>
      </c>
    </row>
    <row r="428" spans="1:15" x14ac:dyDescent="0.25">
      <c r="A428"/>
      <c r="B428"/>
      <c r="C428" s="1" t="str">
        <f>MID(A428,1,2)</f>
        <v/>
      </c>
      <c r="D428" s="1" t="str">
        <f>MID(B428,3,2)</f>
        <v/>
      </c>
      <c r="E428" s="1" t="str">
        <f>CONCATENATE(I428,K428)</f>
        <v/>
      </c>
      <c r="F428" s="1" t="e">
        <f>VLOOKUP(I428,$U$23:$AL$40,MATCH(J428,$U$23:$AL$23,0),FALSE)</f>
        <v>#N/A</v>
      </c>
      <c r="G428" s="1" t="e">
        <f>VLOOKUP(J428,$U$23:$AL$40,MATCH(K428,$U$23:$AL$23,0),FALSE)</f>
        <v>#N/A</v>
      </c>
      <c r="H428" s="1" t="e">
        <f>VLOOKUP(I428,$U$23:$AL$40,MATCH(K428,$U$23:$AL$23,0),FALSE)</f>
        <v>#N/A</v>
      </c>
      <c r="I428" s="1" t="str">
        <f>MID(A428,1,1)</f>
        <v/>
      </c>
      <c r="J428" s="1" t="str">
        <f>MID(A428,2,1)</f>
        <v/>
      </c>
      <c r="K428" s="1" t="str">
        <f>MID(A428,4,1)</f>
        <v/>
      </c>
      <c r="L428" s="1" t="e">
        <f>VLOOKUP(I428,$U:$V,2,0)</f>
        <v>#N/A</v>
      </c>
      <c r="M428" s="1" t="e">
        <f>VLOOKUP(J428,$X:$Y,2,0)</f>
        <v>#N/A</v>
      </c>
      <c r="N428" s="1" t="e">
        <f>VLOOKUP(K428,$AA:$AB,2,0)</f>
        <v>#N/A</v>
      </c>
      <c r="O428" s="1">
        <f>IF(A428&lt;&gt;"",N428+M428+L428+F428+G428+H428,0)</f>
        <v>0</v>
      </c>
    </row>
    <row r="429" spans="1:15" x14ac:dyDescent="0.25">
      <c r="A429"/>
      <c r="B429"/>
      <c r="C429" s="1" t="str">
        <f>MID(A429,1,2)</f>
        <v/>
      </c>
      <c r="D429" s="1" t="str">
        <f>MID(B429,3,2)</f>
        <v/>
      </c>
      <c r="E429" s="1" t="str">
        <f>CONCATENATE(I429,K429)</f>
        <v/>
      </c>
      <c r="F429" s="1" t="e">
        <f>VLOOKUP(I429,$U$23:$AL$40,MATCH(J429,$U$23:$AL$23,0),FALSE)</f>
        <v>#N/A</v>
      </c>
      <c r="G429" s="1" t="e">
        <f>VLOOKUP(J429,$U$23:$AL$40,MATCH(K429,$U$23:$AL$23,0),FALSE)</f>
        <v>#N/A</v>
      </c>
      <c r="H429" s="1" t="e">
        <f>VLOOKUP(I429,$U$23:$AL$40,MATCH(K429,$U$23:$AL$23,0),FALSE)</f>
        <v>#N/A</v>
      </c>
      <c r="I429" s="1" t="str">
        <f>MID(A429,1,1)</f>
        <v/>
      </c>
      <c r="J429" s="1" t="str">
        <f>MID(A429,2,1)</f>
        <v/>
      </c>
      <c r="K429" s="1" t="str">
        <f>MID(A429,4,1)</f>
        <v/>
      </c>
      <c r="L429" s="1" t="e">
        <f>VLOOKUP(I429,$U:$V,2,0)</f>
        <v>#N/A</v>
      </c>
      <c r="M429" s="1" t="e">
        <f>VLOOKUP(J429,$X:$Y,2,0)</f>
        <v>#N/A</v>
      </c>
      <c r="N429" s="1" t="e">
        <f>VLOOKUP(K429,$AA:$AB,2,0)</f>
        <v>#N/A</v>
      </c>
      <c r="O429" s="1">
        <f>IF(A429&lt;&gt;"",N429+M429+L429+F429+G429+H429,0)</f>
        <v>0</v>
      </c>
    </row>
    <row r="430" spans="1:15" x14ac:dyDescent="0.25">
      <c r="A430"/>
      <c r="B430"/>
      <c r="C430" s="1" t="str">
        <f>MID(A430,1,2)</f>
        <v/>
      </c>
      <c r="D430" s="1" t="str">
        <f>MID(B430,3,2)</f>
        <v/>
      </c>
      <c r="E430" s="1" t="str">
        <f>CONCATENATE(I430,K430)</f>
        <v/>
      </c>
      <c r="F430" s="1" t="e">
        <f>VLOOKUP(I430,$U$23:$AL$40,MATCH(J430,$U$23:$AL$23,0),FALSE)</f>
        <v>#N/A</v>
      </c>
      <c r="G430" s="1" t="e">
        <f>VLOOKUP(J430,$U$23:$AL$40,MATCH(K430,$U$23:$AL$23,0),FALSE)</f>
        <v>#N/A</v>
      </c>
      <c r="H430" s="1" t="e">
        <f>VLOOKUP(I430,$U$23:$AL$40,MATCH(K430,$U$23:$AL$23,0),FALSE)</f>
        <v>#N/A</v>
      </c>
      <c r="I430" s="1" t="str">
        <f>MID(A430,1,1)</f>
        <v/>
      </c>
      <c r="J430" s="1" t="str">
        <f>MID(A430,2,1)</f>
        <v/>
      </c>
      <c r="K430" s="1" t="str">
        <f>MID(A430,4,1)</f>
        <v/>
      </c>
      <c r="L430" s="1" t="e">
        <f>VLOOKUP(I430,$U:$V,2,0)</f>
        <v>#N/A</v>
      </c>
      <c r="M430" s="1" t="e">
        <f>VLOOKUP(J430,$X:$Y,2,0)</f>
        <v>#N/A</v>
      </c>
      <c r="N430" s="1" t="e">
        <f>VLOOKUP(K430,$AA:$AB,2,0)</f>
        <v>#N/A</v>
      </c>
      <c r="O430" s="1">
        <f>IF(A430&lt;&gt;"",N430+M430+L430+F430+G430+H430,0)</f>
        <v>0</v>
      </c>
    </row>
    <row r="431" spans="1:15" x14ac:dyDescent="0.25">
      <c r="A431"/>
      <c r="B431"/>
      <c r="C431" s="1" t="str">
        <f>MID(A431,1,2)</f>
        <v/>
      </c>
      <c r="D431" s="1" t="str">
        <f>MID(B431,3,2)</f>
        <v/>
      </c>
      <c r="E431" s="1" t="str">
        <f>CONCATENATE(I431,K431)</f>
        <v/>
      </c>
      <c r="F431" s="1" t="e">
        <f>VLOOKUP(I431,$U$23:$AL$40,MATCH(J431,$U$23:$AL$23,0),FALSE)</f>
        <v>#N/A</v>
      </c>
      <c r="G431" s="1" t="e">
        <f>VLOOKUP(J431,$U$23:$AL$40,MATCH(K431,$U$23:$AL$23,0),FALSE)</f>
        <v>#N/A</v>
      </c>
      <c r="H431" s="1" t="e">
        <f>VLOOKUP(I431,$U$23:$AL$40,MATCH(K431,$U$23:$AL$23,0),FALSE)</f>
        <v>#N/A</v>
      </c>
      <c r="I431" s="1" t="str">
        <f>MID(A431,1,1)</f>
        <v/>
      </c>
      <c r="J431" s="1" t="str">
        <f>MID(A431,2,1)</f>
        <v/>
      </c>
      <c r="K431" s="1" t="str">
        <f>MID(A431,4,1)</f>
        <v/>
      </c>
      <c r="L431" s="1" t="e">
        <f>VLOOKUP(I431,$U:$V,2,0)</f>
        <v>#N/A</v>
      </c>
      <c r="M431" s="1" t="e">
        <f>VLOOKUP(J431,$X:$Y,2,0)</f>
        <v>#N/A</v>
      </c>
      <c r="N431" s="1" t="e">
        <f>VLOOKUP(K431,$AA:$AB,2,0)</f>
        <v>#N/A</v>
      </c>
      <c r="O431" s="1">
        <f>IF(A431&lt;&gt;"",N431+M431+L431+F431+G431+H431,0)</f>
        <v>0</v>
      </c>
    </row>
    <row r="432" spans="1:15" x14ac:dyDescent="0.25">
      <c r="A432"/>
      <c r="B432"/>
      <c r="C432" s="1" t="str">
        <f>MID(A432,1,2)</f>
        <v/>
      </c>
      <c r="D432" s="1" t="str">
        <f>MID(B432,3,2)</f>
        <v/>
      </c>
      <c r="E432" s="1" t="str">
        <f>CONCATENATE(I432,K432)</f>
        <v/>
      </c>
      <c r="F432" s="1" t="e">
        <f>VLOOKUP(I432,$U$23:$AL$40,MATCH(J432,$U$23:$AL$23,0),FALSE)</f>
        <v>#N/A</v>
      </c>
      <c r="G432" s="1" t="e">
        <f>VLOOKUP(J432,$U$23:$AL$40,MATCH(K432,$U$23:$AL$23,0),FALSE)</f>
        <v>#N/A</v>
      </c>
      <c r="H432" s="1" t="e">
        <f>VLOOKUP(I432,$U$23:$AL$40,MATCH(K432,$U$23:$AL$23,0),FALSE)</f>
        <v>#N/A</v>
      </c>
      <c r="I432" s="1" t="str">
        <f>MID(A432,1,1)</f>
        <v/>
      </c>
      <c r="J432" s="1" t="str">
        <f>MID(A432,2,1)</f>
        <v/>
      </c>
      <c r="K432" s="1" t="str">
        <f>MID(A432,4,1)</f>
        <v/>
      </c>
      <c r="L432" s="1" t="e">
        <f>VLOOKUP(I432,$U:$V,2,0)</f>
        <v>#N/A</v>
      </c>
      <c r="M432" s="1" t="e">
        <f>VLOOKUP(J432,$X:$Y,2,0)</f>
        <v>#N/A</v>
      </c>
      <c r="N432" s="1" t="e">
        <f>VLOOKUP(K432,$AA:$AB,2,0)</f>
        <v>#N/A</v>
      </c>
      <c r="O432" s="1">
        <f>IF(A432&lt;&gt;"",N432+M432+L432+F432+G432+H432,0)</f>
        <v>0</v>
      </c>
    </row>
    <row r="433" spans="1:15" x14ac:dyDescent="0.25">
      <c r="A433"/>
      <c r="B433"/>
      <c r="C433" s="1" t="str">
        <f>MID(A433,1,2)</f>
        <v/>
      </c>
      <c r="D433" s="1" t="str">
        <f>MID(B433,3,2)</f>
        <v/>
      </c>
      <c r="E433" s="1" t="str">
        <f>CONCATENATE(I433,K433)</f>
        <v/>
      </c>
      <c r="F433" s="1" t="e">
        <f>VLOOKUP(I433,$U$23:$AL$40,MATCH(J433,$U$23:$AL$23,0),FALSE)</f>
        <v>#N/A</v>
      </c>
      <c r="G433" s="1" t="e">
        <f>VLOOKUP(J433,$U$23:$AL$40,MATCH(K433,$U$23:$AL$23,0),FALSE)</f>
        <v>#N/A</v>
      </c>
      <c r="H433" s="1" t="e">
        <f>VLOOKUP(I433,$U$23:$AL$40,MATCH(K433,$U$23:$AL$23,0),FALSE)</f>
        <v>#N/A</v>
      </c>
      <c r="I433" s="1" t="str">
        <f>MID(A433,1,1)</f>
        <v/>
      </c>
      <c r="J433" s="1" t="str">
        <f>MID(A433,2,1)</f>
        <v/>
      </c>
      <c r="K433" s="1" t="str">
        <f>MID(A433,4,1)</f>
        <v/>
      </c>
      <c r="L433" s="1" t="e">
        <f>VLOOKUP(I433,$U:$V,2,0)</f>
        <v>#N/A</v>
      </c>
      <c r="M433" s="1" t="e">
        <f>VLOOKUP(J433,$X:$Y,2,0)</f>
        <v>#N/A</v>
      </c>
      <c r="N433" s="1" t="e">
        <f>VLOOKUP(K433,$AA:$AB,2,0)</f>
        <v>#N/A</v>
      </c>
      <c r="O433" s="1">
        <f>IF(A433&lt;&gt;"",N433+M433+L433+F433+G433+H433,0)</f>
        <v>0</v>
      </c>
    </row>
    <row r="434" spans="1:15" x14ac:dyDescent="0.25">
      <c r="A434"/>
      <c r="B434"/>
      <c r="C434" s="1" t="str">
        <f>MID(A434,1,2)</f>
        <v/>
      </c>
      <c r="D434" s="1" t="str">
        <f>MID(B434,3,2)</f>
        <v/>
      </c>
      <c r="E434" s="1" t="str">
        <f>CONCATENATE(I434,K434)</f>
        <v/>
      </c>
      <c r="F434" s="1" t="e">
        <f>VLOOKUP(I434,$U$23:$AL$40,MATCH(J434,$U$23:$AL$23,0),FALSE)</f>
        <v>#N/A</v>
      </c>
      <c r="G434" s="1" t="e">
        <f>VLOOKUP(J434,$U$23:$AL$40,MATCH(K434,$U$23:$AL$23,0),FALSE)</f>
        <v>#N/A</v>
      </c>
      <c r="H434" s="1" t="e">
        <f>VLOOKUP(I434,$U$23:$AL$40,MATCH(K434,$U$23:$AL$23,0),FALSE)</f>
        <v>#N/A</v>
      </c>
      <c r="I434" s="1" t="str">
        <f>MID(A434,1,1)</f>
        <v/>
      </c>
      <c r="J434" s="1" t="str">
        <f>MID(A434,2,1)</f>
        <v/>
      </c>
      <c r="K434" s="1" t="str">
        <f>MID(A434,4,1)</f>
        <v/>
      </c>
      <c r="L434" s="1" t="e">
        <f>VLOOKUP(I434,$U:$V,2,0)</f>
        <v>#N/A</v>
      </c>
      <c r="M434" s="1" t="e">
        <f>VLOOKUP(J434,$X:$Y,2,0)</f>
        <v>#N/A</v>
      </c>
      <c r="N434" s="1" t="e">
        <f>VLOOKUP(K434,$AA:$AB,2,0)</f>
        <v>#N/A</v>
      </c>
      <c r="O434" s="1">
        <f>IF(A434&lt;&gt;"",N434+M434+L434+F434+G434+H434,0)</f>
        <v>0</v>
      </c>
    </row>
    <row r="435" spans="1:15" x14ac:dyDescent="0.25">
      <c r="A435"/>
      <c r="B435"/>
      <c r="C435" s="1" t="str">
        <f>MID(A435,1,2)</f>
        <v/>
      </c>
      <c r="D435" s="1" t="str">
        <f>MID(B435,3,2)</f>
        <v/>
      </c>
      <c r="E435" s="1" t="str">
        <f>CONCATENATE(I435,K435)</f>
        <v/>
      </c>
      <c r="F435" s="1" t="e">
        <f>VLOOKUP(I435,$U$23:$AL$40,MATCH(J435,$U$23:$AL$23,0),FALSE)</f>
        <v>#N/A</v>
      </c>
      <c r="G435" s="1" t="e">
        <f>VLOOKUP(J435,$U$23:$AL$40,MATCH(K435,$U$23:$AL$23,0),FALSE)</f>
        <v>#N/A</v>
      </c>
      <c r="H435" s="1" t="e">
        <f>VLOOKUP(I435,$U$23:$AL$40,MATCH(K435,$U$23:$AL$23,0),FALSE)</f>
        <v>#N/A</v>
      </c>
      <c r="I435" s="1" t="str">
        <f>MID(A435,1,1)</f>
        <v/>
      </c>
      <c r="J435" s="1" t="str">
        <f>MID(A435,2,1)</f>
        <v/>
      </c>
      <c r="K435" s="1" t="str">
        <f>MID(A435,4,1)</f>
        <v/>
      </c>
      <c r="L435" s="1" t="e">
        <f>VLOOKUP(I435,$U:$V,2,0)</f>
        <v>#N/A</v>
      </c>
      <c r="M435" s="1" t="e">
        <f>VLOOKUP(J435,$X:$Y,2,0)</f>
        <v>#N/A</v>
      </c>
      <c r="N435" s="1" t="e">
        <f>VLOOKUP(K435,$AA:$AB,2,0)</f>
        <v>#N/A</v>
      </c>
      <c r="O435" s="1">
        <f>IF(A435&lt;&gt;"",N435+M435+L435+F435+G435+H435,0)</f>
        <v>0</v>
      </c>
    </row>
    <row r="436" spans="1:15" x14ac:dyDescent="0.25">
      <c r="A436"/>
      <c r="B436"/>
      <c r="C436" s="1" t="str">
        <f>MID(A436,1,2)</f>
        <v/>
      </c>
      <c r="D436" s="1" t="str">
        <f>MID(B436,3,2)</f>
        <v/>
      </c>
      <c r="E436" s="1" t="str">
        <f>CONCATENATE(I436,K436)</f>
        <v/>
      </c>
      <c r="F436" s="1" t="e">
        <f>VLOOKUP(I436,$U$23:$AL$40,MATCH(J436,$U$23:$AL$23,0),FALSE)</f>
        <v>#N/A</v>
      </c>
      <c r="G436" s="1" t="e">
        <f>VLOOKUP(J436,$U$23:$AL$40,MATCH(K436,$U$23:$AL$23,0),FALSE)</f>
        <v>#N/A</v>
      </c>
      <c r="H436" s="1" t="e">
        <f>VLOOKUP(I436,$U$23:$AL$40,MATCH(K436,$U$23:$AL$23,0),FALSE)</f>
        <v>#N/A</v>
      </c>
      <c r="I436" s="1" t="str">
        <f>MID(A436,1,1)</f>
        <v/>
      </c>
      <c r="J436" s="1" t="str">
        <f>MID(A436,2,1)</f>
        <v/>
      </c>
      <c r="K436" s="1" t="str">
        <f>MID(A436,4,1)</f>
        <v/>
      </c>
      <c r="L436" s="1" t="e">
        <f>VLOOKUP(I436,$U:$V,2,0)</f>
        <v>#N/A</v>
      </c>
      <c r="M436" s="1" t="e">
        <f>VLOOKUP(J436,$X:$Y,2,0)</f>
        <v>#N/A</v>
      </c>
      <c r="N436" s="1" t="e">
        <f>VLOOKUP(K436,$AA:$AB,2,0)</f>
        <v>#N/A</v>
      </c>
      <c r="O436" s="1">
        <f>IF(A436&lt;&gt;"",N436+M436+L436+F436+G436+H436,0)</f>
        <v>0</v>
      </c>
    </row>
    <row r="437" spans="1:15" x14ac:dyDescent="0.25">
      <c r="A437"/>
      <c r="B437"/>
      <c r="C437" s="1" t="str">
        <f>MID(A437,1,2)</f>
        <v/>
      </c>
      <c r="D437" s="1" t="str">
        <f>MID(B437,3,2)</f>
        <v/>
      </c>
      <c r="E437" s="1" t="str">
        <f>CONCATENATE(I437,K437)</f>
        <v/>
      </c>
      <c r="F437" s="1" t="e">
        <f>VLOOKUP(I437,$U$23:$AL$40,MATCH(J437,$U$23:$AL$23,0),FALSE)</f>
        <v>#N/A</v>
      </c>
      <c r="G437" s="1" t="e">
        <f>VLOOKUP(J437,$U$23:$AL$40,MATCH(K437,$U$23:$AL$23,0),FALSE)</f>
        <v>#N/A</v>
      </c>
      <c r="H437" s="1" t="e">
        <f>VLOOKUP(I437,$U$23:$AL$40,MATCH(K437,$U$23:$AL$23,0),FALSE)</f>
        <v>#N/A</v>
      </c>
      <c r="I437" s="1" t="str">
        <f>MID(A437,1,1)</f>
        <v/>
      </c>
      <c r="J437" s="1" t="str">
        <f>MID(A437,2,1)</f>
        <v/>
      </c>
      <c r="K437" s="1" t="str">
        <f>MID(A437,4,1)</f>
        <v/>
      </c>
      <c r="L437" s="1" t="e">
        <f>VLOOKUP(I437,$U:$V,2,0)</f>
        <v>#N/A</v>
      </c>
      <c r="M437" s="1" t="e">
        <f>VLOOKUP(J437,$X:$Y,2,0)</f>
        <v>#N/A</v>
      </c>
      <c r="N437" s="1" t="e">
        <f>VLOOKUP(K437,$AA:$AB,2,0)</f>
        <v>#N/A</v>
      </c>
      <c r="O437" s="1">
        <f>IF(A437&lt;&gt;"",N437+M437+L437+F437+G437+H437,0)</f>
        <v>0</v>
      </c>
    </row>
    <row r="438" spans="1:15" x14ac:dyDescent="0.25">
      <c r="A438"/>
      <c r="B438"/>
      <c r="C438" s="1" t="str">
        <f>MID(A438,1,2)</f>
        <v/>
      </c>
      <c r="D438" s="1" t="str">
        <f>MID(B438,3,2)</f>
        <v/>
      </c>
      <c r="E438" s="1" t="str">
        <f>CONCATENATE(I438,K438)</f>
        <v/>
      </c>
      <c r="F438" s="1" t="e">
        <f>VLOOKUP(I438,$U$23:$AL$40,MATCH(J438,$U$23:$AL$23,0),FALSE)</f>
        <v>#N/A</v>
      </c>
      <c r="G438" s="1" t="e">
        <f>VLOOKUP(J438,$U$23:$AL$40,MATCH(K438,$U$23:$AL$23,0),FALSE)</f>
        <v>#N/A</v>
      </c>
      <c r="H438" s="1" t="e">
        <f>VLOOKUP(I438,$U$23:$AL$40,MATCH(K438,$U$23:$AL$23,0),FALSE)</f>
        <v>#N/A</v>
      </c>
      <c r="I438" s="1" t="str">
        <f>MID(A438,1,1)</f>
        <v/>
      </c>
      <c r="J438" s="1" t="str">
        <f>MID(A438,2,1)</f>
        <v/>
      </c>
      <c r="K438" s="1" t="str">
        <f>MID(A438,4,1)</f>
        <v/>
      </c>
      <c r="L438" s="1" t="e">
        <f>VLOOKUP(I438,$U:$V,2,0)</f>
        <v>#N/A</v>
      </c>
      <c r="M438" s="1" t="e">
        <f>VLOOKUP(J438,$X:$Y,2,0)</f>
        <v>#N/A</v>
      </c>
      <c r="N438" s="1" t="e">
        <f>VLOOKUP(K438,$AA:$AB,2,0)</f>
        <v>#N/A</v>
      </c>
      <c r="O438" s="1">
        <f>IF(A438&lt;&gt;"",N438+M438+L438+F438+G438+H438,0)</f>
        <v>0</v>
      </c>
    </row>
    <row r="439" spans="1:15" x14ac:dyDescent="0.25">
      <c r="A439"/>
      <c r="B439"/>
      <c r="C439" s="1" t="str">
        <f>MID(A439,1,2)</f>
        <v/>
      </c>
      <c r="D439" s="1" t="str">
        <f>MID(B439,3,2)</f>
        <v/>
      </c>
      <c r="E439" s="1" t="str">
        <f>CONCATENATE(I439,K439)</f>
        <v/>
      </c>
      <c r="F439" s="1" t="e">
        <f>VLOOKUP(I439,$U$23:$AL$40,MATCH(J439,$U$23:$AL$23,0),FALSE)</f>
        <v>#N/A</v>
      </c>
      <c r="G439" s="1" t="e">
        <f>VLOOKUP(J439,$U$23:$AL$40,MATCH(K439,$U$23:$AL$23,0),FALSE)</f>
        <v>#N/A</v>
      </c>
      <c r="H439" s="1" t="e">
        <f>VLOOKUP(I439,$U$23:$AL$40,MATCH(K439,$U$23:$AL$23,0),FALSE)</f>
        <v>#N/A</v>
      </c>
      <c r="I439" s="1" t="str">
        <f>MID(A439,1,1)</f>
        <v/>
      </c>
      <c r="J439" s="1" t="str">
        <f>MID(A439,2,1)</f>
        <v/>
      </c>
      <c r="K439" s="1" t="str">
        <f>MID(A439,4,1)</f>
        <v/>
      </c>
      <c r="L439" s="1" t="e">
        <f>VLOOKUP(I439,$U:$V,2,0)</f>
        <v>#N/A</v>
      </c>
      <c r="M439" s="1" t="e">
        <f>VLOOKUP(J439,$X:$Y,2,0)</f>
        <v>#N/A</v>
      </c>
      <c r="N439" s="1" t="e">
        <f>VLOOKUP(K439,$AA:$AB,2,0)</f>
        <v>#N/A</v>
      </c>
      <c r="O439" s="1">
        <f>IF(A439&lt;&gt;"",N439+M439+L439+F439+G439+H439,0)</f>
        <v>0</v>
      </c>
    </row>
    <row r="440" spans="1:15" x14ac:dyDescent="0.25">
      <c r="A440"/>
      <c r="B440"/>
      <c r="C440" s="1" t="str">
        <f>MID(A440,1,2)</f>
        <v/>
      </c>
      <c r="D440" s="1" t="str">
        <f>MID(B440,3,2)</f>
        <v/>
      </c>
      <c r="E440" s="1" t="str">
        <f>CONCATENATE(I440,K440)</f>
        <v/>
      </c>
      <c r="F440" s="1" t="e">
        <f>VLOOKUP(I440,$U$23:$AL$40,MATCH(J440,$U$23:$AL$23,0),FALSE)</f>
        <v>#N/A</v>
      </c>
      <c r="G440" s="1" t="e">
        <f>VLOOKUP(J440,$U$23:$AL$40,MATCH(K440,$U$23:$AL$23,0),FALSE)</f>
        <v>#N/A</v>
      </c>
      <c r="H440" s="1" t="e">
        <f>VLOOKUP(I440,$U$23:$AL$40,MATCH(K440,$U$23:$AL$23,0),FALSE)</f>
        <v>#N/A</v>
      </c>
      <c r="I440" s="1" t="str">
        <f>MID(A440,1,1)</f>
        <v/>
      </c>
      <c r="J440" s="1" t="str">
        <f>MID(A440,2,1)</f>
        <v/>
      </c>
      <c r="K440" s="1" t="str">
        <f>MID(A440,4,1)</f>
        <v/>
      </c>
      <c r="L440" s="1" t="e">
        <f>VLOOKUP(I440,$U:$V,2,0)</f>
        <v>#N/A</v>
      </c>
      <c r="M440" s="1" t="e">
        <f>VLOOKUP(J440,$X:$Y,2,0)</f>
        <v>#N/A</v>
      </c>
      <c r="N440" s="1" t="e">
        <f>VLOOKUP(K440,$AA:$AB,2,0)</f>
        <v>#N/A</v>
      </c>
      <c r="O440" s="1">
        <f>IF(A440&lt;&gt;"",N440+M440+L440+F440+G440+H440,0)</f>
        <v>0</v>
      </c>
    </row>
    <row r="441" spans="1:15" x14ac:dyDescent="0.25">
      <c r="A441"/>
      <c r="B441"/>
      <c r="C441" s="1" t="str">
        <f>MID(A441,1,2)</f>
        <v/>
      </c>
      <c r="D441" s="1" t="str">
        <f>MID(B441,3,2)</f>
        <v/>
      </c>
      <c r="E441" s="1" t="str">
        <f>CONCATENATE(I441,K441)</f>
        <v/>
      </c>
      <c r="F441" s="1" t="e">
        <f>VLOOKUP(I441,$U$23:$AL$40,MATCH(J441,$U$23:$AL$23,0),FALSE)</f>
        <v>#N/A</v>
      </c>
      <c r="G441" s="1" t="e">
        <f>VLOOKUP(J441,$U$23:$AL$40,MATCH(K441,$U$23:$AL$23,0),FALSE)</f>
        <v>#N/A</v>
      </c>
      <c r="H441" s="1" t="e">
        <f>VLOOKUP(I441,$U$23:$AL$40,MATCH(K441,$U$23:$AL$23,0),FALSE)</f>
        <v>#N/A</v>
      </c>
      <c r="I441" s="1" t="str">
        <f>MID(A441,1,1)</f>
        <v/>
      </c>
      <c r="J441" s="1" t="str">
        <f>MID(A441,2,1)</f>
        <v/>
      </c>
      <c r="K441" s="1" t="str">
        <f>MID(A441,4,1)</f>
        <v/>
      </c>
      <c r="L441" s="1" t="e">
        <f>VLOOKUP(I441,$U:$V,2,0)</f>
        <v>#N/A</v>
      </c>
      <c r="M441" s="1" t="e">
        <f>VLOOKUP(J441,$X:$Y,2,0)</f>
        <v>#N/A</v>
      </c>
      <c r="N441" s="1" t="e">
        <f>VLOOKUP(K441,$AA:$AB,2,0)</f>
        <v>#N/A</v>
      </c>
      <c r="O441" s="1">
        <f>IF(A441&lt;&gt;"",N441+M441+L441+F441+G441+H441,0)</f>
        <v>0</v>
      </c>
    </row>
    <row r="442" spans="1:15" x14ac:dyDescent="0.25">
      <c r="A442"/>
      <c r="B442"/>
      <c r="C442" s="1" t="str">
        <f>MID(A442,1,2)</f>
        <v/>
      </c>
      <c r="D442" s="1" t="str">
        <f>MID(B442,3,2)</f>
        <v/>
      </c>
      <c r="E442" s="1" t="str">
        <f>CONCATENATE(I442,K442)</f>
        <v/>
      </c>
      <c r="F442" s="1" t="e">
        <f>VLOOKUP(I442,$U$23:$AL$40,MATCH(J442,$U$23:$AL$23,0),FALSE)</f>
        <v>#N/A</v>
      </c>
      <c r="G442" s="1" t="e">
        <f>VLOOKUP(J442,$U$23:$AL$40,MATCH(K442,$U$23:$AL$23,0),FALSE)</f>
        <v>#N/A</v>
      </c>
      <c r="H442" s="1" t="e">
        <f>VLOOKUP(I442,$U$23:$AL$40,MATCH(K442,$U$23:$AL$23,0),FALSE)</f>
        <v>#N/A</v>
      </c>
      <c r="I442" s="1" t="str">
        <f>MID(A442,1,1)</f>
        <v/>
      </c>
      <c r="J442" s="1" t="str">
        <f>MID(A442,2,1)</f>
        <v/>
      </c>
      <c r="K442" s="1" t="str">
        <f>MID(A442,4,1)</f>
        <v/>
      </c>
      <c r="L442" s="1" t="e">
        <f>VLOOKUP(I442,$U:$V,2,0)</f>
        <v>#N/A</v>
      </c>
      <c r="M442" s="1" t="e">
        <f>VLOOKUP(J442,$X:$Y,2,0)</f>
        <v>#N/A</v>
      </c>
      <c r="N442" s="1" t="e">
        <f>VLOOKUP(K442,$AA:$AB,2,0)</f>
        <v>#N/A</v>
      </c>
      <c r="O442" s="1">
        <f>IF(A442&lt;&gt;"",N442+M442+L442+F442+G442+H442,0)</f>
        <v>0</v>
      </c>
    </row>
    <row r="443" spans="1:15" x14ac:dyDescent="0.25">
      <c r="A443"/>
      <c r="B443"/>
      <c r="C443" s="1" t="str">
        <f>MID(A443,1,2)</f>
        <v/>
      </c>
      <c r="D443" s="1" t="str">
        <f>MID(B443,3,2)</f>
        <v/>
      </c>
      <c r="E443" s="1" t="str">
        <f>CONCATENATE(I443,K443)</f>
        <v/>
      </c>
      <c r="F443" s="1" t="e">
        <f>VLOOKUP(I443,$U$23:$AL$40,MATCH(J443,$U$23:$AL$23,0),FALSE)</f>
        <v>#N/A</v>
      </c>
      <c r="G443" s="1" t="e">
        <f>VLOOKUP(J443,$U$23:$AL$40,MATCH(K443,$U$23:$AL$23,0),FALSE)</f>
        <v>#N/A</v>
      </c>
      <c r="H443" s="1" t="e">
        <f>VLOOKUP(I443,$U$23:$AL$40,MATCH(K443,$U$23:$AL$23,0),FALSE)</f>
        <v>#N/A</v>
      </c>
      <c r="I443" s="1" t="str">
        <f>MID(A443,1,1)</f>
        <v/>
      </c>
      <c r="J443" s="1" t="str">
        <f>MID(A443,2,1)</f>
        <v/>
      </c>
      <c r="K443" s="1" t="str">
        <f>MID(A443,4,1)</f>
        <v/>
      </c>
      <c r="L443" s="1" t="e">
        <f>VLOOKUP(I443,$U:$V,2,0)</f>
        <v>#N/A</v>
      </c>
      <c r="M443" s="1" t="e">
        <f>VLOOKUP(J443,$X:$Y,2,0)</f>
        <v>#N/A</v>
      </c>
      <c r="N443" s="1" t="e">
        <f>VLOOKUP(K443,$AA:$AB,2,0)</f>
        <v>#N/A</v>
      </c>
      <c r="O443" s="1">
        <f>IF(A443&lt;&gt;"",N443+M443+L443+F443+G443+H443,0)</f>
        <v>0</v>
      </c>
    </row>
    <row r="444" spans="1:15" x14ac:dyDescent="0.25">
      <c r="A444"/>
      <c r="B444"/>
      <c r="C444" s="1" t="str">
        <f>MID(A444,1,2)</f>
        <v/>
      </c>
      <c r="D444" s="1" t="str">
        <f>MID(B444,3,2)</f>
        <v/>
      </c>
      <c r="E444" s="1" t="str">
        <f>CONCATENATE(I444,K444)</f>
        <v/>
      </c>
      <c r="F444" s="1" t="e">
        <f>VLOOKUP(I444,$U$23:$AL$40,MATCH(J444,$U$23:$AL$23,0),FALSE)</f>
        <v>#N/A</v>
      </c>
      <c r="G444" s="1" t="e">
        <f>VLOOKUP(J444,$U$23:$AL$40,MATCH(K444,$U$23:$AL$23,0),FALSE)</f>
        <v>#N/A</v>
      </c>
      <c r="H444" s="1" t="e">
        <f>VLOOKUP(I444,$U$23:$AL$40,MATCH(K444,$U$23:$AL$23,0),FALSE)</f>
        <v>#N/A</v>
      </c>
      <c r="I444" s="1" t="str">
        <f>MID(A444,1,1)</f>
        <v/>
      </c>
      <c r="J444" s="1" t="str">
        <f>MID(A444,2,1)</f>
        <v/>
      </c>
      <c r="K444" s="1" t="str">
        <f>MID(A444,4,1)</f>
        <v/>
      </c>
      <c r="L444" s="1" t="e">
        <f>VLOOKUP(I444,$U:$V,2,0)</f>
        <v>#N/A</v>
      </c>
      <c r="M444" s="1" t="e">
        <f>VLOOKUP(J444,$X:$Y,2,0)</f>
        <v>#N/A</v>
      </c>
      <c r="N444" s="1" t="e">
        <f>VLOOKUP(K444,$AA:$AB,2,0)</f>
        <v>#N/A</v>
      </c>
      <c r="O444" s="1">
        <f>IF(A444&lt;&gt;"",N444+M444+L444+F444+G444+H444,0)</f>
        <v>0</v>
      </c>
    </row>
    <row r="445" spans="1:15" x14ac:dyDescent="0.25">
      <c r="A445"/>
      <c r="B445"/>
      <c r="C445" s="1" t="str">
        <f>MID(A445,1,2)</f>
        <v/>
      </c>
      <c r="D445" s="1" t="str">
        <f>MID(B445,3,2)</f>
        <v/>
      </c>
      <c r="E445" s="1" t="str">
        <f>CONCATENATE(I445,K445)</f>
        <v/>
      </c>
      <c r="F445" s="1" t="e">
        <f>VLOOKUP(I445,$U$23:$AL$40,MATCH(J445,$U$23:$AL$23,0),FALSE)</f>
        <v>#N/A</v>
      </c>
      <c r="G445" s="1" t="e">
        <f>VLOOKUP(J445,$U$23:$AL$40,MATCH(K445,$U$23:$AL$23,0),FALSE)</f>
        <v>#N/A</v>
      </c>
      <c r="H445" s="1" t="e">
        <f>VLOOKUP(I445,$U$23:$AL$40,MATCH(K445,$U$23:$AL$23,0),FALSE)</f>
        <v>#N/A</v>
      </c>
      <c r="I445" s="1" t="str">
        <f>MID(A445,1,1)</f>
        <v/>
      </c>
      <c r="J445" s="1" t="str">
        <f>MID(A445,2,1)</f>
        <v/>
      </c>
      <c r="K445" s="1" t="str">
        <f>MID(A445,4,1)</f>
        <v/>
      </c>
      <c r="L445" s="1" t="e">
        <f>VLOOKUP(I445,$U:$V,2,0)</f>
        <v>#N/A</v>
      </c>
      <c r="M445" s="1" t="e">
        <f>VLOOKUP(J445,$X:$Y,2,0)</f>
        <v>#N/A</v>
      </c>
      <c r="N445" s="1" t="e">
        <f>VLOOKUP(K445,$AA:$AB,2,0)</f>
        <v>#N/A</v>
      </c>
      <c r="O445" s="1">
        <f>IF(A445&lt;&gt;"",N445+M445+L445+F445+G445+H445,0)</f>
        <v>0</v>
      </c>
    </row>
    <row r="446" spans="1:15" x14ac:dyDescent="0.25">
      <c r="A446"/>
      <c r="B446"/>
      <c r="C446" s="1" t="str">
        <f>MID(A446,1,2)</f>
        <v/>
      </c>
      <c r="D446" s="1" t="str">
        <f>MID(B446,3,2)</f>
        <v/>
      </c>
      <c r="E446" s="1" t="str">
        <f>CONCATENATE(I446,K446)</f>
        <v/>
      </c>
      <c r="F446" s="1" t="e">
        <f>VLOOKUP(I446,$U$23:$AL$40,MATCH(J446,$U$23:$AL$23,0),FALSE)</f>
        <v>#N/A</v>
      </c>
      <c r="G446" s="1" t="e">
        <f>VLOOKUP(J446,$U$23:$AL$40,MATCH(K446,$U$23:$AL$23,0),FALSE)</f>
        <v>#N/A</v>
      </c>
      <c r="H446" s="1" t="e">
        <f>VLOOKUP(I446,$U$23:$AL$40,MATCH(K446,$U$23:$AL$23,0),FALSE)</f>
        <v>#N/A</v>
      </c>
      <c r="I446" s="1" t="str">
        <f>MID(A446,1,1)</f>
        <v/>
      </c>
      <c r="J446" s="1" t="str">
        <f>MID(A446,2,1)</f>
        <v/>
      </c>
      <c r="K446" s="1" t="str">
        <f>MID(A446,4,1)</f>
        <v/>
      </c>
      <c r="L446" s="1" t="e">
        <f>VLOOKUP(I446,$U:$V,2,0)</f>
        <v>#N/A</v>
      </c>
      <c r="M446" s="1" t="e">
        <f>VLOOKUP(J446,$X:$Y,2,0)</f>
        <v>#N/A</v>
      </c>
      <c r="N446" s="1" t="e">
        <f>VLOOKUP(K446,$AA:$AB,2,0)</f>
        <v>#N/A</v>
      </c>
      <c r="O446" s="1">
        <f>IF(A446&lt;&gt;"",N446+M446+L446+F446+G446+H446,0)</f>
        <v>0</v>
      </c>
    </row>
    <row r="447" spans="1:15" x14ac:dyDescent="0.25">
      <c r="A447"/>
      <c r="B447"/>
      <c r="C447" s="1" t="str">
        <f>MID(A447,1,2)</f>
        <v/>
      </c>
      <c r="D447" s="1" t="str">
        <f>MID(B447,3,2)</f>
        <v/>
      </c>
      <c r="E447" s="1" t="str">
        <f>CONCATENATE(I447,K447)</f>
        <v/>
      </c>
      <c r="F447" s="1" t="e">
        <f>VLOOKUP(I447,$U$23:$AL$40,MATCH(J447,$U$23:$AL$23,0),FALSE)</f>
        <v>#N/A</v>
      </c>
      <c r="G447" s="1" t="e">
        <f>VLOOKUP(J447,$U$23:$AL$40,MATCH(K447,$U$23:$AL$23,0),FALSE)</f>
        <v>#N/A</v>
      </c>
      <c r="H447" s="1" t="e">
        <f>VLOOKUP(I447,$U$23:$AL$40,MATCH(K447,$U$23:$AL$23,0),FALSE)</f>
        <v>#N/A</v>
      </c>
      <c r="I447" s="1" t="str">
        <f>MID(A447,1,1)</f>
        <v/>
      </c>
      <c r="J447" s="1" t="str">
        <f>MID(A447,2,1)</f>
        <v/>
      </c>
      <c r="K447" s="1" t="str">
        <f>MID(A447,4,1)</f>
        <v/>
      </c>
      <c r="L447" s="1" t="e">
        <f>VLOOKUP(I447,$U:$V,2,0)</f>
        <v>#N/A</v>
      </c>
      <c r="M447" s="1" t="e">
        <f>VLOOKUP(J447,$X:$Y,2,0)</f>
        <v>#N/A</v>
      </c>
      <c r="N447" s="1" t="e">
        <f>VLOOKUP(K447,$AA:$AB,2,0)</f>
        <v>#N/A</v>
      </c>
      <c r="O447" s="1">
        <f>IF(A447&lt;&gt;"",N447+M447+L447+F447+G447+H447,0)</f>
        <v>0</v>
      </c>
    </row>
    <row r="448" spans="1:15" x14ac:dyDescent="0.25">
      <c r="A448"/>
      <c r="B448"/>
      <c r="C448" s="1" t="str">
        <f>MID(A448,1,2)</f>
        <v/>
      </c>
      <c r="D448" s="1" t="str">
        <f>MID(B448,3,2)</f>
        <v/>
      </c>
      <c r="E448" s="1" t="str">
        <f>CONCATENATE(I448,K448)</f>
        <v/>
      </c>
      <c r="F448" s="1" t="e">
        <f>VLOOKUP(I448,$U$23:$AL$40,MATCH(J448,$U$23:$AL$23,0),FALSE)</f>
        <v>#N/A</v>
      </c>
      <c r="G448" s="1" t="e">
        <f>VLOOKUP(J448,$U$23:$AL$40,MATCH(K448,$U$23:$AL$23,0),FALSE)</f>
        <v>#N/A</v>
      </c>
      <c r="H448" s="1" t="e">
        <f>VLOOKUP(I448,$U$23:$AL$40,MATCH(K448,$U$23:$AL$23,0),FALSE)</f>
        <v>#N/A</v>
      </c>
      <c r="I448" s="1" t="str">
        <f>MID(A448,1,1)</f>
        <v/>
      </c>
      <c r="J448" s="1" t="str">
        <f>MID(A448,2,1)</f>
        <v/>
      </c>
      <c r="K448" s="1" t="str">
        <f>MID(A448,4,1)</f>
        <v/>
      </c>
      <c r="L448" s="1" t="e">
        <f>VLOOKUP(I448,$U:$V,2,0)</f>
        <v>#N/A</v>
      </c>
      <c r="M448" s="1" t="e">
        <f>VLOOKUP(J448,$X:$Y,2,0)</f>
        <v>#N/A</v>
      </c>
      <c r="N448" s="1" t="e">
        <f>VLOOKUP(K448,$AA:$AB,2,0)</f>
        <v>#N/A</v>
      </c>
      <c r="O448" s="1">
        <f>IF(A448&lt;&gt;"",N448+M448+L448+F448+G448+H448,0)</f>
        <v>0</v>
      </c>
    </row>
    <row r="449" spans="1:15" x14ac:dyDescent="0.25">
      <c r="A449"/>
      <c r="B449"/>
      <c r="C449" s="1" t="str">
        <f>MID(A449,1,2)</f>
        <v/>
      </c>
      <c r="D449" s="1" t="str">
        <f>MID(B449,3,2)</f>
        <v/>
      </c>
      <c r="E449" s="1" t="str">
        <f>CONCATENATE(I449,K449)</f>
        <v/>
      </c>
      <c r="F449" s="1" t="e">
        <f>VLOOKUP(I449,$U$23:$AL$40,MATCH(J449,$U$23:$AL$23,0),FALSE)</f>
        <v>#N/A</v>
      </c>
      <c r="G449" s="1" t="e">
        <f>VLOOKUP(J449,$U$23:$AL$40,MATCH(K449,$U$23:$AL$23,0),FALSE)</f>
        <v>#N/A</v>
      </c>
      <c r="H449" s="1" t="e">
        <f>VLOOKUP(I449,$U$23:$AL$40,MATCH(K449,$U$23:$AL$23,0),FALSE)</f>
        <v>#N/A</v>
      </c>
      <c r="I449" s="1" t="str">
        <f>MID(A449,1,1)</f>
        <v/>
      </c>
      <c r="J449" s="1" t="str">
        <f>MID(A449,2,1)</f>
        <v/>
      </c>
      <c r="K449" s="1" t="str">
        <f>MID(A449,4,1)</f>
        <v/>
      </c>
      <c r="L449" s="1" t="e">
        <f>VLOOKUP(I449,$U:$V,2,0)</f>
        <v>#N/A</v>
      </c>
      <c r="M449" s="1" t="e">
        <f>VLOOKUP(J449,$X:$Y,2,0)</f>
        <v>#N/A</v>
      </c>
      <c r="N449" s="1" t="e">
        <f>VLOOKUP(K449,$AA:$AB,2,0)</f>
        <v>#N/A</v>
      </c>
      <c r="O449" s="1">
        <f>IF(A449&lt;&gt;"",N449+M449+L449+F449+G449+H449,0)</f>
        <v>0</v>
      </c>
    </row>
    <row r="450" spans="1:15" x14ac:dyDescent="0.25">
      <c r="A450"/>
      <c r="B450"/>
      <c r="C450" s="1" t="str">
        <f>MID(A450,1,2)</f>
        <v/>
      </c>
      <c r="D450" s="1" t="str">
        <f>MID(B450,3,2)</f>
        <v/>
      </c>
      <c r="E450" s="1" t="str">
        <f>CONCATENATE(I450,K450)</f>
        <v/>
      </c>
      <c r="F450" s="1" t="e">
        <f>VLOOKUP(I450,$U$23:$AL$40,MATCH(J450,$U$23:$AL$23,0),FALSE)</f>
        <v>#N/A</v>
      </c>
      <c r="G450" s="1" t="e">
        <f>VLOOKUP(J450,$U$23:$AL$40,MATCH(K450,$U$23:$AL$23,0),FALSE)</f>
        <v>#N/A</v>
      </c>
      <c r="H450" s="1" t="e">
        <f>VLOOKUP(I450,$U$23:$AL$40,MATCH(K450,$U$23:$AL$23,0),FALSE)</f>
        <v>#N/A</v>
      </c>
      <c r="I450" s="1" t="str">
        <f>MID(A450,1,1)</f>
        <v/>
      </c>
      <c r="J450" s="1" t="str">
        <f>MID(A450,2,1)</f>
        <v/>
      </c>
      <c r="K450" s="1" t="str">
        <f>MID(A450,4,1)</f>
        <v/>
      </c>
      <c r="L450" s="1" t="e">
        <f>VLOOKUP(I450,$U:$V,2,0)</f>
        <v>#N/A</v>
      </c>
      <c r="M450" s="1" t="e">
        <f>VLOOKUP(J450,$X:$Y,2,0)</f>
        <v>#N/A</v>
      </c>
      <c r="N450" s="1" t="e">
        <f>VLOOKUP(K450,$AA:$AB,2,0)</f>
        <v>#N/A</v>
      </c>
      <c r="O450" s="1">
        <f>IF(A450&lt;&gt;"",N450+M450+L450+F450+G450+H450,0)</f>
        <v>0</v>
      </c>
    </row>
    <row r="451" spans="1:15" x14ac:dyDescent="0.25">
      <c r="A451"/>
      <c r="B451"/>
      <c r="C451" s="1" t="str">
        <f>MID(A451,1,2)</f>
        <v/>
      </c>
      <c r="D451" s="1" t="str">
        <f>MID(B451,3,2)</f>
        <v/>
      </c>
      <c r="E451" s="1" t="str">
        <f>CONCATENATE(I451,K451)</f>
        <v/>
      </c>
      <c r="F451" s="1" t="e">
        <f>VLOOKUP(I451,$U$23:$AL$40,MATCH(J451,$U$23:$AL$23,0),FALSE)</f>
        <v>#N/A</v>
      </c>
      <c r="G451" s="1" t="e">
        <f>VLOOKUP(J451,$U$23:$AL$40,MATCH(K451,$U$23:$AL$23,0),FALSE)</f>
        <v>#N/A</v>
      </c>
      <c r="H451" s="1" t="e">
        <f>VLOOKUP(I451,$U$23:$AL$40,MATCH(K451,$U$23:$AL$23,0),FALSE)</f>
        <v>#N/A</v>
      </c>
      <c r="I451" s="1" t="str">
        <f>MID(A451,1,1)</f>
        <v/>
      </c>
      <c r="J451" s="1" t="str">
        <f>MID(A451,2,1)</f>
        <v/>
      </c>
      <c r="K451" s="1" t="str">
        <f>MID(A451,4,1)</f>
        <v/>
      </c>
      <c r="L451" s="1" t="e">
        <f>VLOOKUP(I451,$U:$V,2,0)</f>
        <v>#N/A</v>
      </c>
      <c r="M451" s="1" t="e">
        <f>VLOOKUP(J451,$X:$Y,2,0)</f>
        <v>#N/A</v>
      </c>
      <c r="N451" s="1" t="e">
        <f>VLOOKUP(K451,$AA:$AB,2,0)</f>
        <v>#N/A</v>
      </c>
      <c r="O451" s="1">
        <f>IF(A451&lt;&gt;"",N451+M451+L451+F451+G451+H451,0)</f>
        <v>0</v>
      </c>
    </row>
    <row r="452" spans="1:15" x14ac:dyDescent="0.25">
      <c r="A452"/>
      <c r="B452"/>
      <c r="C452" s="1" t="str">
        <f>MID(A452,1,2)</f>
        <v/>
      </c>
      <c r="D452" s="1" t="str">
        <f>MID(B452,3,2)</f>
        <v/>
      </c>
      <c r="E452" s="1" t="str">
        <f>CONCATENATE(I452,K452)</f>
        <v/>
      </c>
      <c r="F452" s="1" t="e">
        <f>VLOOKUP(I452,$U$23:$AL$40,MATCH(J452,$U$23:$AL$23,0),FALSE)</f>
        <v>#N/A</v>
      </c>
      <c r="G452" s="1" t="e">
        <f>VLOOKUP(J452,$U$23:$AL$40,MATCH(K452,$U$23:$AL$23,0),FALSE)</f>
        <v>#N/A</v>
      </c>
      <c r="H452" s="1" t="e">
        <f>VLOOKUP(I452,$U$23:$AL$40,MATCH(K452,$U$23:$AL$23,0),FALSE)</f>
        <v>#N/A</v>
      </c>
      <c r="I452" s="1" t="str">
        <f>MID(A452,1,1)</f>
        <v/>
      </c>
      <c r="J452" s="1" t="str">
        <f>MID(A452,2,1)</f>
        <v/>
      </c>
      <c r="K452" s="1" t="str">
        <f>MID(A452,4,1)</f>
        <v/>
      </c>
      <c r="L452" s="1" t="e">
        <f>VLOOKUP(I452,$U:$V,2,0)</f>
        <v>#N/A</v>
      </c>
      <c r="M452" s="1" t="e">
        <f>VLOOKUP(J452,$X:$Y,2,0)</f>
        <v>#N/A</v>
      </c>
      <c r="N452" s="1" t="e">
        <f>VLOOKUP(K452,$AA:$AB,2,0)</f>
        <v>#N/A</v>
      </c>
      <c r="O452" s="1">
        <f>IF(A452&lt;&gt;"",N452+M452+L452+F452+G452+H452,0)</f>
        <v>0</v>
      </c>
    </row>
    <row r="453" spans="1:15" x14ac:dyDescent="0.25">
      <c r="A453"/>
      <c r="B453"/>
      <c r="C453" s="1" t="str">
        <f>MID(A453,1,2)</f>
        <v/>
      </c>
      <c r="D453" s="1" t="str">
        <f>MID(B453,3,2)</f>
        <v/>
      </c>
      <c r="E453" s="1" t="str">
        <f>CONCATENATE(I453,K453)</f>
        <v/>
      </c>
      <c r="F453" s="1" t="e">
        <f>VLOOKUP(I453,$U$23:$AL$40,MATCH(J453,$U$23:$AL$23,0),FALSE)</f>
        <v>#N/A</v>
      </c>
      <c r="G453" s="1" t="e">
        <f>VLOOKUP(J453,$U$23:$AL$40,MATCH(K453,$U$23:$AL$23,0),FALSE)</f>
        <v>#N/A</v>
      </c>
      <c r="H453" s="1" t="e">
        <f>VLOOKUP(I453,$U$23:$AL$40,MATCH(K453,$U$23:$AL$23,0),FALSE)</f>
        <v>#N/A</v>
      </c>
      <c r="I453" s="1" t="str">
        <f>MID(A453,1,1)</f>
        <v/>
      </c>
      <c r="J453" s="1" t="str">
        <f>MID(A453,2,1)</f>
        <v/>
      </c>
      <c r="K453" s="1" t="str">
        <f>MID(A453,4,1)</f>
        <v/>
      </c>
      <c r="L453" s="1" t="e">
        <f>VLOOKUP(I453,$U:$V,2,0)</f>
        <v>#N/A</v>
      </c>
      <c r="M453" s="1" t="e">
        <f>VLOOKUP(J453,$X:$Y,2,0)</f>
        <v>#N/A</v>
      </c>
      <c r="N453" s="1" t="e">
        <f>VLOOKUP(K453,$AA:$AB,2,0)</f>
        <v>#N/A</v>
      </c>
      <c r="O453" s="1">
        <f>IF(A453&lt;&gt;"",N453+M453+L453+F453+G453+H453,0)</f>
        <v>0</v>
      </c>
    </row>
    <row r="454" spans="1:15" x14ac:dyDescent="0.25">
      <c r="A454"/>
      <c r="B454"/>
      <c r="C454" s="1" t="str">
        <f>MID(A454,1,2)</f>
        <v/>
      </c>
      <c r="D454" s="1" t="str">
        <f>MID(B454,3,2)</f>
        <v/>
      </c>
      <c r="E454" s="1" t="str">
        <f>CONCATENATE(I454,K454)</f>
        <v/>
      </c>
      <c r="F454" s="1" t="e">
        <f>VLOOKUP(I454,$U$23:$AL$40,MATCH(J454,$U$23:$AL$23,0),FALSE)</f>
        <v>#N/A</v>
      </c>
      <c r="G454" s="1" t="e">
        <f>VLOOKUP(J454,$U$23:$AL$40,MATCH(K454,$U$23:$AL$23,0),FALSE)</f>
        <v>#N/A</v>
      </c>
      <c r="H454" s="1" t="e">
        <f>VLOOKUP(I454,$U$23:$AL$40,MATCH(K454,$U$23:$AL$23,0),FALSE)</f>
        <v>#N/A</v>
      </c>
      <c r="I454" s="1" t="str">
        <f>MID(A454,1,1)</f>
        <v/>
      </c>
      <c r="J454" s="1" t="str">
        <f>MID(A454,2,1)</f>
        <v/>
      </c>
      <c r="K454" s="1" t="str">
        <f>MID(A454,4,1)</f>
        <v/>
      </c>
      <c r="L454" s="1" t="e">
        <f>VLOOKUP(I454,$U:$V,2,0)</f>
        <v>#N/A</v>
      </c>
      <c r="M454" s="1" t="e">
        <f>VLOOKUP(J454,$X:$Y,2,0)</f>
        <v>#N/A</v>
      </c>
      <c r="N454" s="1" t="e">
        <f>VLOOKUP(K454,$AA:$AB,2,0)</f>
        <v>#N/A</v>
      </c>
      <c r="O454" s="1">
        <f>IF(A454&lt;&gt;"",N454+M454+L454+F454+G454+H454,0)</f>
        <v>0</v>
      </c>
    </row>
    <row r="455" spans="1:15" x14ac:dyDescent="0.25">
      <c r="A455"/>
      <c r="B455"/>
      <c r="C455" s="1" t="str">
        <f>MID(A455,1,2)</f>
        <v/>
      </c>
      <c r="D455" s="1" t="str">
        <f>MID(B455,3,2)</f>
        <v/>
      </c>
      <c r="E455" s="1" t="str">
        <f>CONCATENATE(I455,K455)</f>
        <v/>
      </c>
      <c r="F455" s="1" t="e">
        <f>VLOOKUP(I455,$U$23:$AL$40,MATCH(J455,$U$23:$AL$23,0),FALSE)</f>
        <v>#N/A</v>
      </c>
      <c r="G455" s="1" t="e">
        <f>VLOOKUP(J455,$U$23:$AL$40,MATCH(K455,$U$23:$AL$23,0),FALSE)</f>
        <v>#N/A</v>
      </c>
      <c r="H455" s="1" t="e">
        <f>VLOOKUP(I455,$U$23:$AL$40,MATCH(K455,$U$23:$AL$23,0),FALSE)</f>
        <v>#N/A</v>
      </c>
      <c r="I455" s="1" t="str">
        <f>MID(A455,1,1)</f>
        <v/>
      </c>
      <c r="J455" s="1" t="str">
        <f>MID(A455,2,1)</f>
        <v/>
      </c>
      <c r="K455" s="1" t="str">
        <f>MID(A455,4,1)</f>
        <v/>
      </c>
      <c r="L455" s="1" t="e">
        <f>VLOOKUP(I455,$U:$V,2,0)</f>
        <v>#N/A</v>
      </c>
      <c r="M455" s="1" t="e">
        <f>VLOOKUP(J455,$X:$Y,2,0)</f>
        <v>#N/A</v>
      </c>
      <c r="N455" s="1" t="e">
        <f>VLOOKUP(K455,$AA:$AB,2,0)</f>
        <v>#N/A</v>
      </c>
      <c r="O455" s="1">
        <f>IF(A455&lt;&gt;"",N455+M455+L455+F455+G455+H455,0)</f>
        <v>0</v>
      </c>
    </row>
    <row r="456" spans="1:15" x14ac:dyDescent="0.25">
      <c r="A456"/>
      <c r="B456"/>
      <c r="C456" s="1" t="str">
        <f>MID(A456,1,2)</f>
        <v/>
      </c>
      <c r="D456" s="1" t="str">
        <f>MID(B456,3,2)</f>
        <v/>
      </c>
      <c r="E456" s="1" t="str">
        <f>CONCATENATE(I456,K456)</f>
        <v/>
      </c>
      <c r="F456" s="1" t="e">
        <f>VLOOKUP(I456,$U$23:$AL$40,MATCH(J456,$U$23:$AL$23,0),FALSE)</f>
        <v>#N/A</v>
      </c>
      <c r="G456" s="1" t="e">
        <f>VLOOKUP(J456,$U$23:$AL$40,MATCH(K456,$U$23:$AL$23,0),FALSE)</f>
        <v>#N/A</v>
      </c>
      <c r="H456" s="1" t="e">
        <f>VLOOKUP(I456,$U$23:$AL$40,MATCH(K456,$U$23:$AL$23,0),FALSE)</f>
        <v>#N/A</v>
      </c>
      <c r="I456" s="1" t="str">
        <f>MID(A456,1,1)</f>
        <v/>
      </c>
      <c r="J456" s="1" t="str">
        <f>MID(A456,2,1)</f>
        <v/>
      </c>
      <c r="K456" s="1" t="str">
        <f>MID(A456,4,1)</f>
        <v/>
      </c>
      <c r="L456" s="1" t="e">
        <f>VLOOKUP(I456,$U:$V,2,0)</f>
        <v>#N/A</v>
      </c>
      <c r="M456" s="1" t="e">
        <f>VLOOKUP(J456,$X:$Y,2,0)</f>
        <v>#N/A</v>
      </c>
      <c r="N456" s="1" t="e">
        <f>VLOOKUP(K456,$AA:$AB,2,0)</f>
        <v>#N/A</v>
      </c>
      <c r="O456" s="1">
        <f>IF(A456&lt;&gt;"",N456+M456+L456+F456+G456+H456,0)</f>
        <v>0</v>
      </c>
    </row>
    <row r="457" spans="1:15" x14ac:dyDescent="0.25">
      <c r="A457"/>
      <c r="B457"/>
      <c r="C457" s="1" t="str">
        <f>MID(A457,1,2)</f>
        <v/>
      </c>
      <c r="D457" s="1" t="str">
        <f>MID(B457,3,2)</f>
        <v/>
      </c>
      <c r="E457" s="1" t="str">
        <f>CONCATENATE(I457,K457)</f>
        <v/>
      </c>
      <c r="F457" s="1" t="e">
        <f>VLOOKUP(I457,$U$23:$AL$40,MATCH(J457,$U$23:$AL$23,0),FALSE)</f>
        <v>#N/A</v>
      </c>
      <c r="G457" s="1" t="e">
        <f>VLOOKUP(J457,$U$23:$AL$40,MATCH(K457,$U$23:$AL$23,0),FALSE)</f>
        <v>#N/A</v>
      </c>
      <c r="H457" s="1" t="e">
        <f>VLOOKUP(I457,$U$23:$AL$40,MATCH(K457,$U$23:$AL$23,0),FALSE)</f>
        <v>#N/A</v>
      </c>
      <c r="I457" s="1" t="str">
        <f>MID(A457,1,1)</f>
        <v/>
      </c>
      <c r="J457" s="1" t="str">
        <f>MID(A457,2,1)</f>
        <v/>
      </c>
      <c r="K457" s="1" t="str">
        <f>MID(A457,4,1)</f>
        <v/>
      </c>
      <c r="L457" s="1" t="e">
        <f>VLOOKUP(I457,$U:$V,2,0)</f>
        <v>#N/A</v>
      </c>
      <c r="M457" s="1" t="e">
        <f>VLOOKUP(J457,$X:$Y,2,0)</f>
        <v>#N/A</v>
      </c>
      <c r="N457" s="1" t="e">
        <f>VLOOKUP(K457,$AA:$AB,2,0)</f>
        <v>#N/A</v>
      </c>
      <c r="O457" s="1">
        <f>IF(A457&lt;&gt;"",N457+M457+L457+F457+G457+H457,0)</f>
        <v>0</v>
      </c>
    </row>
    <row r="458" spans="1:15" x14ac:dyDescent="0.25">
      <c r="A458"/>
      <c r="B458"/>
      <c r="C458" s="1" t="str">
        <f>MID(A458,1,2)</f>
        <v/>
      </c>
      <c r="D458" s="1" t="str">
        <f>MID(B458,3,2)</f>
        <v/>
      </c>
      <c r="E458" s="1" t="str">
        <f>CONCATENATE(I458,K458)</f>
        <v/>
      </c>
      <c r="F458" s="1" t="e">
        <f>VLOOKUP(I458,$U$23:$AL$40,MATCH(J458,$U$23:$AL$23,0),FALSE)</f>
        <v>#N/A</v>
      </c>
      <c r="G458" s="1" t="e">
        <f>VLOOKUP(J458,$U$23:$AL$40,MATCH(K458,$U$23:$AL$23,0),FALSE)</f>
        <v>#N/A</v>
      </c>
      <c r="H458" s="1" t="e">
        <f>VLOOKUP(I458,$U$23:$AL$40,MATCH(K458,$U$23:$AL$23,0),FALSE)</f>
        <v>#N/A</v>
      </c>
      <c r="I458" s="1" t="str">
        <f>MID(A458,1,1)</f>
        <v/>
      </c>
      <c r="J458" s="1" t="str">
        <f>MID(A458,2,1)</f>
        <v/>
      </c>
      <c r="K458" s="1" t="str">
        <f>MID(A458,4,1)</f>
        <v/>
      </c>
      <c r="L458" s="1" t="e">
        <f>VLOOKUP(I458,$U:$V,2,0)</f>
        <v>#N/A</v>
      </c>
      <c r="M458" s="1" t="e">
        <f>VLOOKUP(J458,$X:$Y,2,0)</f>
        <v>#N/A</v>
      </c>
      <c r="N458" s="1" t="e">
        <f>VLOOKUP(K458,$AA:$AB,2,0)</f>
        <v>#N/A</v>
      </c>
      <c r="O458" s="1">
        <f>IF(A458&lt;&gt;"",N458+M458+L458+F458+G458+H458,0)</f>
        <v>0</v>
      </c>
    </row>
    <row r="459" spans="1:15" x14ac:dyDescent="0.25">
      <c r="A459"/>
      <c r="B459"/>
      <c r="C459" s="1" t="str">
        <f>MID(A459,1,2)</f>
        <v/>
      </c>
      <c r="D459" s="1" t="str">
        <f>MID(B459,3,2)</f>
        <v/>
      </c>
      <c r="E459" s="1" t="str">
        <f>CONCATENATE(I459,K459)</f>
        <v/>
      </c>
      <c r="F459" s="1" t="e">
        <f>VLOOKUP(I459,$U$23:$AL$40,MATCH(J459,$U$23:$AL$23,0),FALSE)</f>
        <v>#N/A</v>
      </c>
      <c r="G459" s="1" t="e">
        <f>VLOOKUP(J459,$U$23:$AL$40,MATCH(K459,$U$23:$AL$23,0),FALSE)</f>
        <v>#N/A</v>
      </c>
      <c r="H459" s="1" t="e">
        <f>VLOOKUP(I459,$U$23:$AL$40,MATCH(K459,$U$23:$AL$23,0),FALSE)</f>
        <v>#N/A</v>
      </c>
      <c r="I459" s="1" t="str">
        <f>MID(A459,1,1)</f>
        <v/>
      </c>
      <c r="J459" s="1" t="str">
        <f>MID(A459,2,1)</f>
        <v/>
      </c>
      <c r="K459" s="1" t="str">
        <f>MID(A459,4,1)</f>
        <v/>
      </c>
      <c r="L459" s="1" t="e">
        <f>VLOOKUP(I459,$U:$V,2,0)</f>
        <v>#N/A</v>
      </c>
      <c r="M459" s="1" t="e">
        <f>VLOOKUP(J459,$X:$Y,2,0)</f>
        <v>#N/A</v>
      </c>
      <c r="N459" s="1" t="e">
        <f>VLOOKUP(K459,$AA:$AB,2,0)</f>
        <v>#N/A</v>
      </c>
      <c r="O459" s="1">
        <f>IF(A459&lt;&gt;"",N459+M459+L459+F459+G459+H459,0)</f>
        <v>0</v>
      </c>
    </row>
    <row r="460" spans="1:15" x14ac:dyDescent="0.25">
      <c r="A460"/>
      <c r="B460"/>
      <c r="C460" s="1" t="str">
        <f>MID(A460,1,2)</f>
        <v/>
      </c>
      <c r="D460" s="1" t="str">
        <f>MID(B460,3,2)</f>
        <v/>
      </c>
      <c r="E460" s="1" t="str">
        <f>CONCATENATE(I460,K460)</f>
        <v/>
      </c>
      <c r="F460" s="1" t="e">
        <f>VLOOKUP(I460,$U$23:$AL$40,MATCH(J460,$U$23:$AL$23,0),FALSE)</f>
        <v>#N/A</v>
      </c>
      <c r="G460" s="1" t="e">
        <f>VLOOKUP(J460,$U$23:$AL$40,MATCH(K460,$U$23:$AL$23,0),FALSE)</f>
        <v>#N/A</v>
      </c>
      <c r="H460" s="1" t="e">
        <f>VLOOKUP(I460,$U$23:$AL$40,MATCH(K460,$U$23:$AL$23,0),FALSE)</f>
        <v>#N/A</v>
      </c>
      <c r="I460" s="1" t="str">
        <f>MID(A460,1,1)</f>
        <v/>
      </c>
      <c r="J460" s="1" t="str">
        <f>MID(A460,2,1)</f>
        <v/>
      </c>
      <c r="K460" s="1" t="str">
        <f>MID(A460,4,1)</f>
        <v/>
      </c>
      <c r="L460" s="1" t="e">
        <f>VLOOKUP(I460,$U:$V,2,0)</f>
        <v>#N/A</v>
      </c>
      <c r="M460" s="1" t="e">
        <f>VLOOKUP(J460,$X:$Y,2,0)</f>
        <v>#N/A</v>
      </c>
      <c r="N460" s="1" t="e">
        <f>VLOOKUP(K460,$AA:$AB,2,0)</f>
        <v>#N/A</v>
      </c>
      <c r="O460" s="1">
        <f>IF(A460&lt;&gt;"",N460+M460+L460+F460+G460+H460,0)</f>
        <v>0</v>
      </c>
    </row>
    <row r="461" spans="1:15" x14ac:dyDescent="0.25">
      <c r="A461"/>
      <c r="B461"/>
      <c r="C461" s="1" t="str">
        <f>MID(A461,1,2)</f>
        <v/>
      </c>
      <c r="D461" s="1" t="str">
        <f>MID(B461,3,2)</f>
        <v/>
      </c>
      <c r="E461" s="1" t="str">
        <f>CONCATENATE(I461,K461)</f>
        <v/>
      </c>
      <c r="F461" s="1" t="e">
        <f>VLOOKUP(I461,$U$23:$AL$40,MATCH(J461,$U$23:$AL$23,0),FALSE)</f>
        <v>#N/A</v>
      </c>
      <c r="G461" s="1" t="e">
        <f>VLOOKUP(J461,$U$23:$AL$40,MATCH(K461,$U$23:$AL$23,0),FALSE)</f>
        <v>#N/A</v>
      </c>
      <c r="H461" s="1" t="e">
        <f>VLOOKUP(I461,$U$23:$AL$40,MATCH(K461,$U$23:$AL$23,0),FALSE)</f>
        <v>#N/A</v>
      </c>
      <c r="I461" s="1" t="str">
        <f>MID(A461,1,1)</f>
        <v/>
      </c>
      <c r="J461" s="1" t="str">
        <f>MID(A461,2,1)</f>
        <v/>
      </c>
      <c r="K461" s="1" t="str">
        <f>MID(A461,4,1)</f>
        <v/>
      </c>
      <c r="L461" s="1" t="e">
        <f>VLOOKUP(I461,$U:$V,2,0)</f>
        <v>#N/A</v>
      </c>
      <c r="M461" s="1" t="e">
        <f>VLOOKUP(J461,$X:$Y,2,0)</f>
        <v>#N/A</v>
      </c>
      <c r="N461" s="1" t="e">
        <f>VLOOKUP(K461,$AA:$AB,2,0)</f>
        <v>#N/A</v>
      </c>
      <c r="O461" s="1">
        <f>IF(A461&lt;&gt;"",N461+M461+L461+F461+G461+H461,0)</f>
        <v>0</v>
      </c>
    </row>
    <row r="462" spans="1:15" x14ac:dyDescent="0.25">
      <c r="A462"/>
      <c r="B462"/>
      <c r="C462" s="1" t="str">
        <f>MID(A462,1,2)</f>
        <v/>
      </c>
      <c r="D462" s="1" t="str">
        <f>MID(B462,3,2)</f>
        <v/>
      </c>
      <c r="E462" s="1" t="str">
        <f>CONCATENATE(I462,K462)</f>
        <v/>
      </c>
      <c r="F462" s="1" t="e">
        <f>VLOOKUP(I462,$U$23:$AL$40,MATCH(J462,$U$23:$AL$23,0),FALSE)</f>
        <v>#N/A</v>
      </c>
      <c r="G462" s="1" t="e">
        <f>VLOOKUP(J462,$U$23:$AL$40,MATCH(K462,$U$23:$AL$23,0),FALSE)</f>
        <v>#N/A</v>
      </c>
      <c r="H462" s="1" t="e">
        <f>VLOOKUP(I462,$U$23:$AL$40,MATCH(K462,$U$23:$AL$23,0),FALSE)</f>
        <v>#N/A</v>
      </c>
      <c r="I462" s="1" t="str">
        <f>MID(A462,1,1)</f>
        <v/>
      </c>
      <c r="J462" s="1" t="str">
        <f>MID(A462,2,1)</f>
        <v/>
      </c>
      <c r="K462" s="1" t="str">
        <f>MID(A462,4,1)</f>
        <v/>
      </c>
      <c r="L462" s="1" t="e">
        <f>VLOOKUP(I462,$U:$V,2,0)</f>
        <v>#N/A</v>
      </c>
      <c r="M462" s="1" t="e">
        <f>VLOOKUP(J462,$X:$Y,2,0)</f>
        <v>#N/A</v>
      </c>
      <c r="N462" s="1" t="e">
        <f>VLOOKUP(K462,$AA:$AB,2,0)</f>
        <v>#N/A</v>
      </c>
      <c r="O462" s="1">
        <f>IF(A462&lt;&gt;"",N462+M462+L462+F462+G462+H462,0)</f>
        <v>0</v>
      </c>
    </row>
    <row r="463" spans="1:15" x14ac:dyDescent="0.25">
      <c r="A463"/>
      <c r="B463"/>
      <c r="C463" s="1" t="str">
        <f>MID(A463,1,2)</f>
        <v/>
      </c>
      <c r="D463" s="1" t="str">
        <f>MID(B463,3,2)</f>
        <v/>
      </c>
      <c r="E463" s="1" t="str">
        <f>CONCATENATE(I463,K463)</f>
        <v/>
      </c>
      <c r="F463" s="1" t="e">
        <f>VLOOKUP(I463,$U$23:$AL$40,MATCH(J463,$U$23:$AL$23,0),FALSE)</f>
        <v>#N/A</v>
      </c>
      <c r="G463" s="1" t="e">
        <f>VLOOKUP(J463,$U$23:$AL$40,MATCH(K463,$U$23:$AL$23,0),FALSE)</f>
        <v>#N/A</v>
      </c>
      <c r="H463" s="1" t="e">
        <f>VLOOKUP(I463,$U$23:$AL$40,MATCH(K463,$U$23:$AL$23,0),FALSE)</f>
        <v>#N/A</v>
      </c>
      <c r="I463" s="1" t="str">
        <f>MID(A463,1,1)</f>
        <v/>
      </c>
      <c r="J463" s="1" t="str">
        <f>MID(A463,2,1)</f>
        <v/>
      </c>
      <c r="K463" s="1" t="str">
        <f>MID(A463,4,1)</f>
        <v/>
      </c>
      <c r="L463" s="1" t="e">
        <f>VLOOKUP(I463,$U:$V,2,0)</f>
        <v>#N/A</v>
      </c>
      <c r="M463" s="1" t="e">
        <f>VLOOKUP(J463,$X:$Y,2,0)</f>
        <v>#N/A</v>
      </c>
      <c r="N463" s="1" t="e">
        <f>VLOOKUP(K463,$AA:$AB,2,0)</f>
        <v>#N/A</v>
      </c>
      <c r="O463" s="1">
        <f>IF(A463&lt;&gt;"",N463+M463+L463+F463+G463+H463,0)</f>
        <v>0</v>
      </c>
    </row>
    <row r="464" spans="1:15" x14ac:dyDescent="0.25">
      <c r="A464"/>
      <c r="B464"/>
      <c r="C464" s="1" t="str">
        <f>MID(A464,1,2)</f>
        <v/>
      </c>
      <c r="D464" s="1" t="str">
        <f>MID(B464,3,2)</f>
        <v/>
      </c>
      <c r="E464" s="1" t="str">
        <f>CONCATENATE(I464,K464)</f>
        <v/>
      </c>
      <c r="F464" s="1" t="e">
        <f>VLOOKUP(I464,$U$23:$AL$40,MATCH(J464,$U$23:$AL$23,0),FALSE)</f>
        <v>#N/A</v>
      </c>
      <c r="G464" s="1" t="e">
        <f>VLOOKUP(J464,$U$23:$AL$40,MATCH(K464,$U$23:$AL$23,0),FALSE)</f>
        <v>#N/A</v>
      </c>
      <c r="H464" s="1" t="e">
        <f>VLOOKUP(I464,$U$23:$AL$40,MATCH(K464,$U$23:$AL$23,0),FALSE)</f>
        <v>#N/A</v>
      </c>
      <c r="I464" s="1" t="str">
        <f>MID(A464,1,1)</f>
        <v/>
      </c>
      <c r="J464" s="1" t="str">
        <f>MID(A464,2,1)</f>
        <v/>
      </c>
      <c r="K464" s="1" t="str">
        <f>MID(A464,4,1)</f>
        <v/>
      </c>
      <c r="L464" s="1" t="e">
        <f>VLOOKUP(I464,$U:$V,2,0)</f>
        <v>#N/A</v>
      </c>
      <c r="M464" s="1" t="e">
        <f>VLOOKUP(J464,$X:$Y,2,0)</f>
        <v>#N/A</v>
      </c>
      <c r="N464" s="1" t="e">
        <f>VLOOKUP(K464,$AA:$AB,2,0)</f>
        <v>#N/A</v>
      </c>
      <c r="O464" s="1">
        <f>IF(A464&lt;&gt;"",N464+M464+L464+F464+G464+H464,0)</f>
        <v>0</v>
      </c>
    </row>
    <row r="465" spans="1:15" x14ac:dyDescent="0.25">
      <c r="A465"/>
      <c r="B465"/>
      <c r="C465" s="1" t="str">
        <f>MID(A465,1,2)</f>
        <v/>
      </c>
      <c r="D465" s="1" t="str">
        <f>MID(B465,3,2)</f>
        <v/>
      </c>
      <c r="E465" s="1" t="str">
        <f>CONCATENATE(I465,K465)</f>
        <v/>
      </c>
      <c r="F465" s="1" t="e">
        <f>VLOOKUP(I465,$U$23:$AL$40,MATCH(J465,$U$23:$AL$23,0),FALSE)</f>
        <v>#N/A</v>
      </c>
      <c r="G465" s="1" t="e">
        <f>VLOOKUP(J465,$U$23:$AL$40,MATCH(K465,$U$23:$AL$23,0),FALSE)</f>
        <v>#N/A</v>
      </c>
      <c r="H465" s="1" t="e">
        <f>VLOOKUP(I465,$U$23:$AL$40,MATCH(K465,$U$23:$AL$23,0),FALSE)</f>
        <v>#N/A</v>
      </c>
      <c r="I465" s="1" t="str">
        <f>MID(A465,1,1)</f>
        <v/>
      </c>
      <c r="J465" s="1" t="str">
        <f>MID(A465,2,1)</f>
        <v/>
      </c>
      <c r="K465" s="1" t="str">
        <f>MID(A465,4,1)</f>
        <v/>
      </c>
      <c r="L465" s="1" t="e">
        <f>VLOOKUP(I465,$U:$V,2,0)</f>
        <v>#N/A</v>
      </c>
      <c r="M465" s="1" t="e">
        <f>VLOOKUP(J465,$X:$Y,2,0)</f>
        <v>#N/A</v>
      </c>
      <c r="N465" s="1" t="e">
        <f>VLOOKUP(K465,$AA:$AB,2,0)</f>
        <v>#N/A</v>
      </c>
      <c r="O465" s="1">
        <f>IF(A465&lt;&gt;"",N465+M465+L465+F465+G465+H465,0)</f>
        <v>0</v>
      </c>
    </row>
    <row r="466" spans="1:15" x14ac:dyDescent="0.25">
      <c r="A466"/>
      <c r="B466"/>
      <c r="C466" s="1" t="str">
        <f>MID(A466,1,2)</f>
        <v/>
      </c>
      <c r="D466" s="1" t="str">
        <f>MID(B466,3,2)</f>
        <v/>
      </c>
      <c r="E466" s="1" t="str">
        <f>CONCATENATE(I466,K466)</f>
        <v/>
      </c>
      <c r="F466" s="1" t="e">
        <f>VLOOKUP(I466,$U$23:$AL$40,MATCH(J466,$U$23:$AL$23,0),FALSE)</f>
        <v>#N/A</v>
      </c>
      <c r="G466" s="1" t="e">
        <f>VLOOKUP(J466,$U$23:$AL$40,MATCH(K466,$U$23:$AL$23,0),FALSE)</f>
        <v>#N/A</v>
      </c>
      <c r="H466" s="1" t="e">
        <f>VLOOKUP(I466,$U$23:$AL$40,MATCH(K466,$U$23:$AL$23,0),FALSE)</f>
        <v>#N/A</v>
      </c>
      <c r="I466" s="1" t="str">
        <f>MID(A466,1,1)</f>
        <v/>
      </c>
      <c r="J466" s="1" t="str">
        <f>MID(A466,2,1)</f>
        <v/>
      </c>
      <c r="K466" s="1" t="str">
        <f>MID(A466,4,1)</f>
        <v/>
      </c>
      <c r="L466" s="1" t="e">
        <f>VLOOKUP(I466,$U:$V,2,0)</f>
        <v>#N/A</v>
      </c>
      <c r="M466" s="1" t="e">
        <f>VLOOKUP(J466,$X:$Y,2,0)</f>
        <v>#N/A</v>
      </c>
      <c r="N466" s="1" t="e">
        <f>VLOOKUP(K466,$AA:$AB,2,0)</f>
        <v>#N/A</v>
      </c>
      <c r="O466" s="1">
        <f>IF(A466&lt;&gt;"",N466+M466+L466+F466+G466+H466,0)</f>
        <v>0</v>
      </c>
    </row>
    <row r="467" spans="1:15" x14ac:dyDescent="0.25">
      <c r="A467"/>
      <c r="B467"/>
      <c r="C467" s="1" t="str">
        <f>MID(A467,1,2)</f>
        <v/>
      </c>
      <c r="D467" s="1" t="str">
        <f>MID(B467,3,2)</f>
        <v/>
      </c>
      <c r="E467" s="1" t="str">
        <f>CONCATENATE(I467,K467)</f>
        <v/>
      </c>
      <c r="F467" s="1" t="e">
        <f>VLOOKUP(I467,$U$23:$AL$40,MATCH(J467,$U$23:$AL$23,0),FALSE)</f>
        <v>#N/A</v>
      </c>
      <c r="G467" s="1" t="e">
        <f>VLOOKUP(J467,$U$23:$AL$40,MATCH(K467,$U$23:$AL$23,0),FALSE)</f>
        <v>#N/A</v>
      </c>
      <c r="H467" s="1" t="e">
        <f>VLOOKUP(I467,$U$23:$AL$40,MATCH(K467,$U$23:$AL$23,0),FALSE)</f>
        <v>#N/A</v>
      </c>
      <c r="I467" s="1" t="str">
        <f>MID(A467,1,1)</f>
        <v/>
      </c>
      <c r="J467" s="1" t="str">
        <f>MID(A467,2,1)</f>
        <v/>
      </c>
      <c r="K467" s="1" t="str">
        <f>MID(A467,4,1)</f>
        <v/>
      </c>
      <c r="L467" s="1" t="e">
        <f>VLOOKUP(I467,$U:$V,2,0)</f>
        <v>#N/A</v>
      </c>
      <c r="M467" s="1" t="e">
        <f>VLOOKUP(J467,$X:$Y,2,0)</f>
        <v>#N/A</v>
      </c>
      <c r="N467" s="1" t="e">
        <f>VLOOKUP(K467,$AA:$AB,2,0)</f>
        <v>#N/A</v>
      </c>
      <c r="O467" s="1">
        <f>IF(A467&lt;&gt;"",N467+M467+L467+F467+G467+H467,0)</f>
        <v>0</v>
      </c>
    </row>
    <row r="468" spans="1:15" x14ac:dyDescent="0.25">
      <c r="A468"/>
      <c r="B468"/>
      <c r="C468" s="1" t="str">
        <f>MID(A468,1,2)</f>
        <v/>
      </c>
      <c r="D468" s="1" t="str">
        <f>MID(B468,3,2)</f>
        <v/>
      </c>
      <c r="E468" s="1" t="str">
        <f>CONCATENATE(I468,K468)</f>
        <v/>
      </c>
      <c r="F468" s="1" t="e">
        <f>VLOOKUP(I468,$U$23:$AL$40,MATCH(J468,$U$23:$AL$23,0),FALSE)</f>
        <v>#N/A</v>
      </c>
      <c r="G468" s="1" t="e">
        <f>VLOOKUP(J468,$U$23:$AL$40,MATCH(K468,$U$23:$AL$23,0),FALSE)</f>
        <v>#N/A</v>
      </c>
      <c r="H468" s="1" t="e">
        <f>VLOOKUP(I468,$U$23:$AL$40,MATCH(K468,$U$23:$AL$23,0),FALSE)</f>
        <v>#N/A</v>
      </c>
      <c r="I468" s="1" t="str">
        <f>MID(A468,1,1)</f>
        <v/>
      </c>
      <c r="J468" s="1" t="str">
        <f>MID(A468,2,1)</f>
        <v/>
      </c>
      <c r="K468" s="1" t="str">
        <f>MID(A468,4,1)</f>
        <v/>
      </c>
      <c r="L468" s="1" t="e">
        <f>VLOOKUP(I468,$U:$V,2,0)</f>
        <v>#N/A</v>
      </c>
      <c r="M468" s="1" t="e">
        <f>VLOOKUP(J468,$X:$Y,2,0)</f>
        <v>#N/A</v>
      </c>
      <c r="N468" s="1" t="e">
        <f>VLOOKUP(K468,$AA:$AB,2,0)</f>
        <v>#N/A</v>
      </c>
      <c r="O468" s="1">
        <f>IF(A468&lt;&gt;"",N468+M468+L468+F468+G468+H468,0)</f>
        <v>0</v>
      </c>
    </row>
    <row r="469" spans="1:15" x14ac:dyDescent="0.25">
      <c r="A469"/>
      <c r="B469"/>
      <c r="C469" s="1" t="str">
        <f>MID(A469,1,2)</f>
        <v/>
      </c>
      <c r="D469" s="1" t="str">
        <f>MID(B469,3,2)</f>
        <v/>
      </c>
      <c r="E469" s="1" t="str">
        <f>CONCATENATE(I469,K469)</f>
        <v/>
      </c>
      <c r="F469" s="1" t="e">
        <f>VLOOKUP(I469,$U$23:$AL$40,MATCH(J469,$U$23:$AL$23,0),FALSE)</f>
        <v>#N/A</v>
      </c>
      <c r="G469" s="1" t="e">
        <f>VLOOKUP(J469,$U$23:$AL$40,MATCH(K469,$U$23:$AL$23,0),FALSE)</f>
        <v>#N/A</v>
      </c>
      <c r="H469" s="1" t="e">
        <f>VLOOKUP(I469,$U$23:$AL$40,MATCH(K469,$U$23:$AL$23,0),FALSE)</f>
        <v>#N/A</v>
      </c>
      <c r="I469" s="1" t="str">
        <f>MID(A469,1,1)</f>
        <v/>
      </c>
      <c r="J469" s="1" t="str">
        <f>MID(A469,2,1)</f>
        <v/>
      </c>
      <c r="K469" s="1" t="str">
        <f>MID(A469,4,1)</f>
        <v/>
      </c>
      <c r="L469" s="1" t="e">
        <f>VLOOKUP(I469,$U:$V,2,0)</f>
        <v>#N/A</v>
      </c>
      <c r="M469" s="1" t="e">
        <f>VLOOKUP(J469,$X:$Y,2,0)</f>
        <v>#N/A</v>
      </c>
      <c r="N469" s="1" t="e">
        <f>VLOOKUP(K469,$AA:$AB,2,0)</f>
        <v>#N/A</v>
      </c>
      <c r="O469" s="1">
        <f>IF(A469&lt;&gt;"",N469+M469+L469+F469+G469+H469,0)</f>
        <v>0</v>
      </c>
    </row>
    <row r="470" spans="1:15" x14ac:dyDescent="0.25">
      <c r="A470"/>
      <c r="B470"/>
      <c r="C470" s="1" t="str">
        <f>MID(A470,1,2)</f>
        <v/>
      </c>
      <c r="D470" s="1" t="str">
        <f>MID(B470,3,2)</f>
        <v/>
      </c>
      <c r="E470" s="1" t="str">
        <f>CONCATENATE(I470,K470)</f>
        <v/>
      </c>
      <c r="F470" s="1" t="e">
        <f>VLOOKUP(I470,$U$23:$AL$40,MATCH(J470,$U$23:$AL$23,0),FALSE)</f>
        <v>#N/A</v>
      </c>
      <c r="G470" s="1" t="e">
        <f>VLOOKUP(J470,$U$23:$AL$40,MATCH(K470,$U$23:$AL$23,0),FALSE)</f>
        <v>#N/A</v>
      </c>
      <c r="H470" s="1" t="e">
        <f>VLOOKUP(I470,$U$23:$AL$40,MATCH(K470,$U$23:$AL$23,0),FALSE)</f>
        <v>#N/A</v>
      </c>
      <c r="I470" s="1" t="str">
        <f>MID(A470,1,1)</f>
        <v/>
      </c>
      <c r="J470" s="1" t="str">
        <f>MID(A470,2,1)</f>
        <v/>
      </c>
      <c r="K470" s="1" t="str">
        <f>MID(A470,4,1)</f>
        <v/>
      </c>
      <c r="L470" s="1" t="e">
        <f>VLOOKUP(I470,$U:$V,2,0)</f>
        <v>#N/A</v>
      </c>
      <c r="M470" s="1" t="e">
        <f>VLOOKUP(J470,$X:$Y,2,0)</f>
        <v>#N/A</v>
      </c>
      <c r="N470" s="1" t="e">
        <f>VLOOKUP(K470,$AA:$AB,2,0)</f>
        <v>#N/A</v>
      </c>
      <c r="O470" s="1">
        <f>IF(A470&lt;&gt;"",N470+M470+L470+F470+G470+H470,0)</f>
        <v>0</v>
      </c>
    </row>
    <row r="471" spans="1:15" x14ac:dyDescent="0.25">
      <c r="A471"/>
      <c r="B471"/>
      <c r="C471" s="1" t="str">
        <f>MID(A471,1,2)</f>
        <v/>
      </c>
      <c r="D471" s="1" t="str">
        <f>MID(B471,3,2)</f>
        <v/>
      </c>
      <c r="E471" s="1" t="str">
        <f>CONCATENATE(I471,K471)</f>
        <v/>
      </c>
      <c r="F471" s="1" t="e">
        <f>VLOOKUP(I471,$U$23:$AL$40,MATCH(J471,$U$23:$AL$23,0),FALSE)</f>
        <v>#N/A</v>
      </c>
      <c r="G471" s="1" t="e">
        <f>VLOOKUP(J471,$U$23:$AL$40,MATCH(K471,$U$23:$AL$23,0),FALSE)</f>
        <v>#N/A</v>
      </c>
      <c r="H471" s="1" t="e">
        <f>VLOOKUP(I471,$U$23:$AL$40,MATCH(K471,$U$23:$AL$23,0),FALSE)</f>
        <v>#N/A</v>
      </c>
      <c r="I471" s="1" t="str">
        <f>MID(A471,1,1)</f>
        <v/>
      </c>
      <c r="J471" s="1" t="str">
        <f>MID(A471,2,1)</f>
        <v/>
      </c>
      <c r="K471" s="1" t="str">
        <f>MID(A471,4,1)</f>
        <v/>
      </c>
      <c r="L471" s="1" t="e">
        <f>VLOOKUP(I471,$U:$V,2,0)</f>
        <v>#N/A</v>
      </c>
      <c r="M471" s="1" t="e">
        <f>VLOOKUP(J471,$X:$Y,2,0)</f>
        <v>#N/A</v>
      </c>
      <c r="N471" s="1" t="e">
        <f>VLOOKUP(K471,$AA:$AB,2,0)</f>
        <v>#N/A</v>
      </c>
      <c r="O471" s="1">
        <f>IF(A471&lt;&gt;"",N471+M471+L471+F471+G471+H471,0)</f>
        <v>0</v>
      </c>
    </row>
    <row r="472" spans="1:15" x14ac:dyDescent="0.25">
      <c r="A472"/>
      <c r="B472"/>
      <c r="C472" s="1" t="str">
        <f>MID(A472,1,2)</f>
        <v/>
      </c>
      <c r="D472" s="1" t="str">
        <f>MID(B472,3,2)</f>
        <v/>
      </c>
      <c r="E472" s="1" t="str">
        <f>CONCATENATE(I472,K472)</f>
        <v/>
      </c>
      <c r="F472" s="1" t="e">
        <f>VLOOKUP(I472,$U$23:$AL$40,MATCH(J472,$U$23:$AL$23,0),FALSE)</f>
        <v>#N/A</v>
      </c>
      <c r="G472" s="1" t="e">
        <f>VLOOKUP(J472,$U$23:$AL$40,MATCH(K472,$U$23:$AL$23,0),FALSE)</f>
        <v>#N/A</v>
      </c>
      <c r="H472" s="1" t="e">
        <f>VLOOKUP(I472,$U$23:$AL$40,MATCH(K472,$U$23:$AL$23,0),FALSE)</f>
        <v>#N/A</v>
      </c>
      <c r="I472" s="1" t="str">
        <f>MID(A472,1,1)</f>
        <v/>
      </c>
      <c r="J472" s="1" t="str">
        <f>MID(A472,2,1)</f>
        <v/>
      </c>
      <c r="K472" s="1" t="str">
        <f>MID(A472,4,1)</f>
        <v/>
      </c>
      <c r="L472" s="1" t="e">
        <f>VLOOKUP(I472,$U:$V,2,0)</f>
        <v>#N/A</v>
      </c>
      <c r="M472" s="1" t="e">
        <f>VLOOKUP(J472,$X:$Y,2,0)</f>
        <v>#N/A</v>
      </c>
      <c r="N472" s="1" t="e">
        <f>VLOOKUP(K472,$AA:$AB,2,0)</f>
        <v>#N/A</v>
      </c>
      <c r="O472" s="1">
        <f>IF(A472&lt;&gt;"",N472+M472+L472+F472+G472+H472,0)</f>
        <v>0</v>
      </c>
    </row>
    <row r="473" spans="1:15" x14ac:dyDescent="0.25">
      <c r="A473"/>
      <c r="B473"/>
      <c r="C473" s="1" t="str">
        <f>MID(A473,1,2)</f>
        <v/>
      </c>
      <c r="D473" s="1" t="str">
        <f>MID(B473,3,2)</f>
        <v/>
      </c>
      <c r="E473" s="1" t="str">
        <f>CONCATENATE(I473,K473)</f>
        <v/>
      </c>
      <c r="F473" s="1" t="e">
        <f>VLOOKUP(I473,$U$23:$AL$40,MATCH(J473,$U$23:$AL$23,0),FALSE)</f>
        <v>#N/A</v>
      </c>
      <c r="G473" s="1" t="e">
        <f>VLOOKUP(J473,$U$23:$AL$40,MATCH(K473,$U$23:$AL$23,0),FALSE)</f>
        <v>#N/A</v>
      </c>
      <c r="H473" s="1" t="e">
        <f>VLOOKUP(I473,$U$23:$AL$40,MATCH(K473,$U$23:$AL$23,0),FALSE)</f>
        <v>#N/A</v>
      </c>
      <c r="I473" s="1" t="str">
        <f>MID(A473,1,1)</f>
        <v/>
      </c>
      <c r="J473" s="1" t="str">
        <f>MID(A473,2,1)</f>
        <v/>
      </c>
      <c r="K473" s="1" t="str">
        <f>MID(A473,4,1)</f>
        <v/>
      </c>
      <c r="L473" s="1" t="e">
        <f>VLOOKUP(I473,$U:$V,2,0)</f>
        <v>#N/A</v>
      </c>
      <c r="M473" s="1" t="e">
        <f>VLOOKUP(J473,$X:$Y,2,0)</f>
        <v>#N/A</v>
      </c>
      <c r="N473" s="1" t="e">
        <f>VLOOKUP(K473,$AA:$AB,2,0)</f>
        <v>#N/A</v>
      </c>
      <c r="O473" s="1">
        <f>IF(A473&lt;&gt;"",N473+M473+L473+F473+G473+H473,0)</f>
        <v>0</v>
      </c>
    </row>
    <row r="474" spans="1:15" x14ac:dyDescent="0.25">
      <c r="A474"/>
      <c r="B474"/>
      <c r="C474" s="1" t="str">
        <f>MID(A474,1,2)</f>
        <v/>
      </c>
      <c r="D474" s="1" t="str">
        <f>MID(B474,3,2)</f>
        <v/>
      </c>
      <c r="E474" s="1" t="str">
        <f>CONCATENATE(I474,K474)</f>
        <v/>
      </c>
      <c r="F474" s="1" t="e">
        <f>VLOOKUP(I474,$U$23:$AL$40,MATCH(J474,$U$23:$AL$23,0),FALSE)</f>
        <v>#N/A</v>
      </c>
      <c r="G474" s="1" t="e">
        <f>VLOOKUP(J474,$U$23:$AL$40,MATCH(K474,$U$23:$AL$23,0),FALSE)</f>
        <v>#N/A</v>
      </c>
      <c r="H474" s="1" t="e">
        <f>VLOOKUP(I474,$U$23:$AL$40,MATCH(K474,$U$23:$AL$23,0),FALSE)</f>
        <v>#N/A</v>
      </c>
      <c r="I474" s="1" t="str">
        <f>MID(A474,1,1)</f>
        <v/>
      </c>
      <c r="J474" s="1" t="str">
        <f>MID(A474,2,1)</f>
        <v/>
      </c>
      <c r="K474" s="1" t="str">
        <f>MID(A474,4,1)</f>
        <v/>
      </c>
      <c r="L474" s="1" t="e">
        <f>VLOOKUP(I474,$U:$V,2,0)</f>
        <v>#N/A</v>
      </c>
      <c r="M474" s="1" t="e">
        <f>VLOOKUP(J474,$X:$Y,2,0)</f>
        <v>#N/A</v>
      </c>
      <c r="N474" s="1" t="e">
        <f>VLOOKUP(K474,$AA:$AB,2,0)</f>
        <v>#N/A</v>
      </c>
      <c r="O474" s="1">
        <f>IF(A474&lt;&gt;"",N474+M474+L474+F474+G474+H474,0)</f>
        <v>0</v>
      </c>
    </row>
    <row r="475" spans="1:15" x14ac:dyDescent="0.25">
      <c r="A475"/>
      <c r="B475"/>
      <c r="C475" s="1" t="str">
        <f>MID(A475,1,2)</f>
        <v/>
      </c>
      <c r="D475" s="1" t="str">
        <f>MID(B475,3,2)</f>
        <v/>
      </c>
      <c r="E475" s="1" t="str">
        <f>CONCATENATE(I475,K475)</f>
        <v/>
      </c>
      <c r="F475" s="1" t="e">
        <f>VLOOKUP(I475,$U$23:$AL$40,MATCH(J475,$U$23:$AL$23,0),FALSE)</f>
        <v>#N/A</v>
      </c>
      <c r="G475" s="1" t="e">
        <f>VLOOKUP(J475,$U$23:$AL$40,MATCH(K475,$U$23:$AL$23,0),FALSE)</f>
        <v>#N/A</v>
      </c>
      <c r="H475" s="1" t="e">
        <f>VLOOKUP(I475,$U$23:$AL$40,MATCH(K475,$U$23:$AL$23,0),FALSE)</f>
        <v>#N/A</v>
      </c>
      <c r="I475" s="1" t="str">
        <f>MID(A475,1,1)</f>
        <v/>
      </c>
      <c r="J475" s="1" t="str">
        <f>MID(A475,2,1)</f>
        <v/>
      </c>
      <c r="K475" s="1" t="str">
        <f>MID(A475,4,1)</f>
        <v/>
      </c>
      <c r="L475" s="1" t="e">
        <f>VLOOKUP(I475,$U:$V,2,0)</f>
        <v>#N/A</v>
      </c>
      <c r="M475" s="1" t="e">
        <f>VLOOKUP(J475,$X:$Y,2,0)</f>
        <v>#N/A</v>
      </c>
      <c r="N475" s="1" t="e">
        <f>VLOOKUP(K475,$AA:$AB,2,0)</f>
        <v>#N/A</v>
      </c>
      <c r="O475" s="1">
        <f>IF(A475&lt;&gt;"",N475+M475+L475+F475+G475+H475,0)</f>
        <v>0</v>
      </c>
    </row>
    <row r="476" spans="1:15" x14ac:dyDescent="0.25">
      <c r="A476"/>
      <c r="B476"/>
      <c r="C476" s="1" t="str">
        <f>MID(A476,1,2)</f>
        <v/>
      </c>
      <c r="D476" s="1" t="str">
        <f>MID(B476,3,2)</f>
        <v/>
      </c>
      <c r="E476" s="1" t="str">
        <f>CONCATENATE(I476,K476)</f>
        <v/>
      </c>
      <c r="F476" s="1" t="e">
        <f>VLOOKUP(I476,$U$23:$AL$40,MATCH(J476,$U$23:$AL$23,0),FALSE)</f>
        <v>#N/A</v>
      </c>
      <c r="G476" s="1" t="e">
        <f>VLOOKUP(J476,$U$23:$AL$40,MATCH(K476,$U$23:$AL$23,0),FALSE)</f>
        <v>#N/A</v>
      </c>
      <c r="H476" s="1" t="e">
        <f>VLOOKUP(I476,$U$23:$AL$40,MATCH(K476,$U$23:$AL$23,0),FALSE)</f>
        <v>#N/A</v>
      </c>
      <c r="I476" s="1" t="str">
        <f>MID(A476,1,1)</f>
        <v/>
      </c>
      <c r="J476" s="1" t="str">
        <f>MID(A476,2,1)</f>
        <v/>
      </c>
      <c r="K476" s="1" t="str">
        <f>MID(A476,4,1)</f>
        <v/>
      </c>
      <c r="L476" s="1" t="e">
        <f>VLOOKUP(I476,$U:$V,2,0)</f>
        <v>#N/A</v>
      </c>
      <c r="M476" s="1" t="e">
        <f>VLOOKUP(J476,$X:$Y,2,0)</f>
        <v>#N/A</v>
      </c>
      <c r="N476" s="1" t="e">
        <f>VLOOKUP(K476,$AA:$AB,2,0)</f>
        <v>#N/A</v>
      </c>
      <c r="O476" s="1">
        <f>IF(A476&lt;&gt;"",N476+M476+L476+F476+G476+H476,0)</f>
        <v>0</v>
      </c>
    </row>
    <row r="477" spans="1:15" x14ac:dyDescent="0.25">
      <c r="A477"/>
      <c r="B477"/>
      <c r="C477" s="1" t="str">
        <f>MID(A477,1,2)</f>
        <v/>
      </c>
      <c r="D477" s="1" t="str">
        <f>MID(B477,3,2)</f>
        <v/>
      </c>
      <c r="E477" s="1" t="str">
        <f>CONCATENATE(I477,K477)</f>
        <v/>
      </c>
      <c r="F477" s="1" t="e">
        <f>VLOOKUP(I477,$U$23:$AL$40,MATCH(J477,$U$23:$AL$23,0),FALSE)</f>
        <v>#N/A</v>
      </c>
      <c r="G477" s="1" t="e">
        <f>VLOOKUP(J477,$U$23:$AL$40,MATCH(K477,$U$23:$AL$23,0),FALSE)</f>
        <v>#N/A</v>
      </c>
      <c r="H477" s="1" t="e">
        <f>VLOOKUP(I477,$U$23:$AL$40,MATCH(K477,$U$23:$AL$23,0),FALSE)</f>
        <v>#N/A</v>
      </c>
      <c r="I477" s="1" t="str">
        <f>MID(A477,1,1)</f>
        <v/>
      </c>
      <c r="J477" s="1" t="str">
        <f>MID(A477,2,1)</f>
        <v/>
      </c>
      <c r="K477" s="1" t="str">
        <f>MID(A477,4,1)</f>
        <v/>
      </c>
      <c r="L477" s="1" t="e">
        <f>VLOOKUP(I477,$U:$V,2,0)</f>
        <v>#N/A</v>
      </c>
      <c r="M477" s="1" t="e">
        <f>VLOOKUP(J477,$X:$Y,2,0)</f>
        <v>#N/A</v>
      </c>
      <c r="N477" s="1" t="e">
        <f>VLOOKUP(K477,$AA:$AB,2,0)</f>
        <v>#N/A</v>
      </c>
      <c r="O477" s="1">
        <f>IF(A477&lt;&gt;"",N477+M477+L477+F477+G477+H477,0)</f>
        <v>0</v>
      </c>
    </row>
    <row r="478" spans="1:15" x14ac:dyDescent="0.25">
      <c r="A478"/>
      <c r="B478"/>
      <c r="C478" s="1" t="str">
        <f>MID(A478,1,2)</f>
        <v/>
      </c>
      <c r="D478" s="1" t="str">
        <f>MID(B478,3,2)</f>
        <v/>
      </c>
      <c r="E478" s="1" t="str">
        <f>CONCATENATE(I478,K478)</f>
        <v/>
      </c>
      <c r="F478" s="1" t="e">
        <f>VLOOKUP(I478,$U$23:$AL$40,MATCH(J478,$U$23:$AL$23,0),FALSE)</f>
        <v>#N/A</v>
      </c>
      <c r="G478" s="1" t="e">
        <f>VLOOKUP(J478,$U$23:$AL$40,MATCH(K478,$U$23:$AL$23,0),FALSE)</f>
        <v>#N/A</v>
      </c>
      <c r="H478" s="1" t="e">
        <f>VLOOKUP(I478,$U$23:$AL$40,MATCH(K478,$U$23:$AL$23,0),FALSE)</f>
        <v>#N/A</v>
      </c>
      <c r="I478" s="1" t="str">
        <f>MID(A478,1,1)</f>
        <v/>
      </c>
      <c r="J478" s="1" t="str">
        <f>MID(A478,2,1)</f>
        <v/>
      </c>
      <c r="K478" s="1" t="str">
        <f>MID(A478,4,1)</f>
        <v/>
      </c>
      <c r="L478" s="1" t="e">
        <f>VLOOKUP(I478,$U:$V,2,0)</f>
        <v>#N/A</v>
      </c>
      <c r="M478" s="1" t="e">
        <f>VLOOKUP(J478,$X:$Y,2,0)</f>
        <v>#N/A</v>
      </c>
      <c r="N478" s="1" t="e">
        <f>VLOOKUP(K478,$AA:$AB,2,0)</f>
        <v>#N/A</v>
      </c>
      <c r="O478" s="1">
        <f>IF(A478&lt;&gt;"",N478+M478+L478+F478+G478+H478,0)</f>
        <v>0</v>
      </c>
    </row>
    <row r="479" spans="1:15" x14ac:dyDescent="0.25">
      <c r="A479"/>
      <c r="B479"/>
      <c r="C479" s="1" t="str">
        <f>MID(A479,1,2)</f>
        <v/>
      </c>
      <c r="D479" s="1" t="str">
        <f>MID(B479,3,2)</f>
        <v/>
      </c>
      <c r="E479" s="1" t="str">
        <f>CONCATENATE(I479,K479)</f>
        <v/>
      </c>
      <c r="F479" s="1" t="e">
        <f>VLOOKUP(I479,$U$23:$AL$40,MATCH(J479,$U$23:$AL$23,0),FALSE)</f>
        <v>#N/A</v>
      </c>
      <c r="G479" s="1" t="e">
        <f>VLOOKUP(J479,$U$23:$AL$40,MATCH(K479,$U$23:$AL$23,0),FALSE)</f>
        <v>#N/A</v>
      </c>
      <c r="H479" s="1" t="e">
        <f>VLOOKUP(I479,$U$23:$AL$40,MATCH(K479,$U$23:$AL$23,0),FALSE)</f>
        <v>#N/A</v>
      </c>
      <c r="I479" s="1" t="str">
        <f>MID(A479,1,1)</f>
        <v/>
      </c>
      <c r="J479" s="1" t="str">
        <f>MID(A479,2,1)</f>
        <v/>
      </c>
      <c r="K479" s="1" t="str">
        <f>MID(A479,4,1)</f>
        <v/>
      </c>
      <c r="L479" s="1" t="e">
        <f>VLOOKUP(I479,$U:$V,2,0)</f>
        <v>#N/A</v>
      </c>
      <c r="M479" s="1" t="e">
        <f>VLOOKUP(J479,$X:$Y,2,0)</f>
        <v>#N/A</v>
      </c>
      <c r="N479" s="1" t="e">
        <f>VLOOKUP(K479,$AA:$AB,2,0)</f>
        <v>#N/A</v>
      </c>
      <c r="O479" s="1">
        <f>IF(A479&lt;&gt;"",N479+M479+L479+F479+G479+H479,0)</f>
        <v>0</v>
      </c>
    </row>
    <row r="480" spans="1:15" x14ac:dyDescent="0.25">
      <c r="A480"/>
      <c r="B480"/>
      <c r="C480" s="1" t="str">
        <f>MID(A480,1,2)</f>
        <v/>
      </c>
      <c r="D480" s="1" t="str">
        <f>MID(B480,3,2)</f>
        <v/>
      </c>
      <c r="E480" s="1" t="str">
        <f>CONCATENATE(I480,K480)</f>
        <v/>
      </c>
      <c r="F480" s="1" t="e">
        <f>VLOOKUP(I480,$U$23:$AL$40,MATCH(J480,$U$23:$AL$23,0),FALSE)</f>
        <v>#N/A</v>
      </c>
      <c r="G480" s="1" t="e">
        <f>VLOOKUP(J480,$U$23:$AL$40,MATCH(K480,$U$23:$AL$23,0),FALSE)</f>
        <v>#N/A</v>
      </c>
      <c r="H480" s="1" t="e">
        <f>VLOOKUP(I480,$U$23:$AL$40,MATCH(K480,$U$23:$AL$23,0),FALSE)</f>
        <v>#N/A</v>
      </c>
      <c r="I480" s="1" t="str">
        <f>MID(A480,1,1)</f>
        <v/>
      </c>
      <c r="J480" s="1" t="str">
        <f>MID(A480,2,1)</f>
        <v/>
      </c>
      <c r="K480" s="1" t="str">
        <f>MID(A480,4,1)</f>
        <v/>
      </c>
      <c r="L480" s="1" t="e">
        <f>VLOOKUP(I480,$U:$V,2,0)</f>
        <v>#N/A</v>
      </c>
      <c r="M480" s="1" t="e">
        <f>VLOOKUP(J480,$X:$Y,2,0)</f>
        <v>#N/A</v>
      </c>
      <c r="N480" s="1" t="e">
        <f>VLOOKUP(K480,$AA:$AB,2,0)</f>
        <v>#N/A</v>
      </c>
      <c r="O480" s="1">
        <f>IF(A480&lt;&gt;"",N480+M480+L480+F480+G480+H480,0)</f>
        <v>0</v>
      </c>
    </row>
    <row r="481" spans="1:15" x14ac:dyDescent="0.25">
      <c r="A481"/>
      <c r="B481"/>
      <c r="C481" s="1" t="str">
        <f>MID(A481,1,2)</f>
        <v/>
      </c>
      <c r="D481" s="1" t="str">
        <f>MID(B481,3,2)</f>
        <v/>
      </c>
      <c r="E481" s="1" t="str">
        <f>CONCATENATE(I481,K481)</f>
        <v/>
      </c>
      <c r="F481" s="1" t="e">
        <f>VLOOKUP(I481,$U$23:$AL$40,MATCH(J481,$U$23:$AL$23,0),FALSE)</f>
        <v>#N/A</v>
      </c>
      <c r="G481" s="1" t="e">
        <f>VLOOKUP(J481,$U$23:$AL$40,MATCH(K481,$U$23:$AL$23,0),FALSE)</f>
        <v>#N/A</v>
      </c>
      <c r="H481" s="1" t="e">
        <f>VLOOKUP(I481,$U$23:$AL$40,MATCH(K481,$U$23:$AL$23,0),FALSE)</f>
        <v>#N/A</v>
      </c>
      <c r="I481" s="1" t="str">
        <f>MID(A481,1,1)</f>
        <v/>
      </c>
      <c r="J481" s="1" t="str">
        <f>MID(A481,2,1)</f>
        <v/>
      </c>
      <c r="K481" s="1" t="str">
        <f>MID(A481,4,1)</f>
        <v/>
      </c>
      <c r="L481" s="1" t="e">
        <f>VLOOKUP(I481,$U:$V,2,0)</f>
        <v>#N/A</v>
      </c>
      <c r="M481" s="1" t="e">
        <f>VLOOKUP(J481,$X:$Y,2,0)</f>
        <v>#N/A</v>
      </c>
      <c r="N481" s="1" t="e">
        <f>VLOOKUP(K481,$AA:$AB,2,0)</f>
        <v>#N/A</v>
      </c>
      <c r="O481" s="1">
        <f>IF(A481&lt;&gt;"",N481+M481+L481+F481+G481+H481,0)</f>
        <v>0</v>
      </c>
    </row>
    <row r="482" spans="1:15" x14ac:dyDescent="0.25">
      <c r="A482"/>
      <c r="B482"/>
      <c r="C482" s="1" t="str">
        <f>MID(A482,1,2)</f>
        <v/>
      </c>
      <c r="D482" s="1" t="str">
        <f>MID(B482,3,2)</f>
        <v/>
      </c>
      <c r="E482" s="1" t="str">
        <f>CONCATENATE(I482,K482)</f>
        <v/>
      </c>
      <c r="F482" s="1" t="e">
        <f>VLOOKUP(I482,$U$23:$AL$40,MATCH(J482,$U$23:$AL$23,0),FALSE)</f>
        <v>#N/A</v>
      </c>
      <c r="G482" s="1" t="e">
        <f>VLOOKUP(J482,$U$23:$AL$40,MATCH(K482,$U$23:$AL$23,0),FALSE)</f>
        <v>#N/A</v>
      </c>
      <c r="H482" s="1" t="e">
        <f>VLOOKUP(I482,$U$23:$AL$40,MATCH(K482,$U$23:$AL$23,0),FALSE)</f>
        <v>#N/A</v>
      </c>
      <c r="I482" s="1" t="str">
        <f>MID(A482,1,1)</f>
        <v/>
      </c>
      <c r="J482" s="1" t="str">
        <f>MID(A482,2,1)</f>
        <v/>
      </c>
      <c r="K482" s="1" t="str">
        <f>MID(A482,4,1)</f>
        <v/>
      </c>
      <c r="L482" s="1" t="e">
        <f>VLOOKUP(I482,$U:$V,2,0)</f>
        <v>#N/A</v>
      </c>
      <c r="M482" s="1" t="e">
        <f>VLOOKUP(J482,$X:$Y,2,0)</f>
        <v>#N/A</v>
      </c>
      <c r="N482" s="1" t="e">
        <f>VLOOKUP(K482,$AA:$AB,2,0)</f>
        <v>#N/A</v>
      </c>
      <c r="O482" s="1">
        <f>IF(A482&lt;&gt;"",N482+M482+L482+F482+G482+H482,0)</f>
        <v>0</v>
      </c>
    </row>
    <row r="483" spans="1:15" x14ac:dyDescent="0.25">
      <c r="A483"/>
      <c r="B483"/>
      <c r="C483" s="1" t="str">
        <f>MID(A483,1,2)</f>
        <v/>
      </c>
      <c r="D483" s="1" t="str">
        <f>MID(B483,3,2)</f>
        <v/>
      </c>
      <c r="E483" s="1" t="str">
        <f>CONCATENATE(I483,K483)</f>
        <v/>
      </c>
      <c r="F483" s="1" t="e">
        <f>VLOOKUP(I483,$U$23:$AL$40,MATCH(J483,$U$23:$AL$23,0),FALSE)</f>
        <v>#N/A</v>
      </c>
      <c r="G483" s="1" t="e">
        <f>VLOOKUP(J483,$U$23:$AL$40,MATCH(K483,$U$23:$AL$23,0),FALSE)</f>
        <v>#N/A</v>
      </c>
      <c r="H483" s="1" t="e">
        <f>VLOOKUP(I483,$U$23:$AL$40,MATCH(K483,$U$23:$AL$23,0),FALSE)</f>
        <v>#N/A</v>
      </c>
      <c r="I483" s="1" t="str">
        <f>MID(A483,1,1)</f>
        <v/>
      </c>
      <c r="J483" s="1" t="str">
        <f>MID(A483,2,1)</f>
        <v/>
      </c>
      <c r="K483" s="1" t="str">
        <f>MID(A483,4,1)</f>
        <v/>
      </c>
      <c r="L483" s="1" t="e">
        <f>VLOOKUP(I483,$U:$V,2,0)</f>
        <v>#N/A</v>
      </c>
      <c r="M483" s="1" t="e">
        <f>VLOOKUP(J483,$X:$Y,2,0)</f>
        <v>#N/A</v>
      </c>
      <c r="N483" s="1" t="e">
        <f>VLOOKUP(K483,$AA:$AB,2,0)</f>
        <v>#N/A</v>
      </c>
      <c r="O483" s="1">
        <f>IF(A483&lt;&gt;"",N483+M483+L483+F483+G483+H483,0)</f>
        <v>0</v>
      </c>
    </row>
    <row r="484" spans="1:15" x14ac:dyDescent="0.25">
      <c r="A484"/>
      <c r="B484"/>
      <c r="C484" s="1" t="str">
        <f>MID(A484,1,2)</f>
        <v/>
      </c>
      <c r="D484" s="1" t="str">
        <f>MID(B484,3,2)</f>
        <v/>
      </c>
      <c r="E484" s="1" t="str">
        <f>CONCATENATE(I484,K484)</f>
        <v/>
      </c>
      <c r="F484" s="1" t="e">
        <f>VLOOKUP(I484,$U$23:$AL$40,MATCH(J484,$U$23:$AL$23,0),FALSE)</f>
        <v>#N/A</v>
      </c>
      <c r="G484" s="1" t="e">
        <f>VLOOKUP(J484,$U$23:$AL$40,MATCH(K484,$U$23:$AL$23,0),FALSE)</f>
        <v>#N/A</v>
      </c>
      <c r="H484" s="1" t="e">
        <f>VLOOKUP(I484,$U$23:$AL$40,MATCH(K484,$U$23:$AL$23,0),FALSE)</f>
        <v>#N/A</v>
      </c>
      <c r="I484" s="1" t="str">
        <f>MID(A484,1,1)</f>
        <v/>
      </c>
      <c r="J484" s="1" t="str">
        <f>MID(A484,2,1)</f>
        <v/>
      </c>
      <c r="K484" s="1" t="str">
        <f>MID(A484,4,1)</f>
        <v/>
      </c>
      <c r="L484" s="1" t="e">
        <f>VLOOKUP(I484,$U:$V,2,0)</f>
        <v>#N/A</v>
      </c>
      <c r="M484" s="1" t="e">
        <f>VLOOKUP(J484,$X:$Y,2,0)</f>
        <v>#N/A</v>
      </c>
      <c r="N484" s="1" t="e">
        <f>VLOOKUP(K484,$AA:$AB,2,0)</f>
        <v>#N/A</v>
      </c>
      <c r="O484" s="1">
        <f>IF(A484&lt;&gt;"",N484+M484+L484+F484+G484+H484,0)</f>
        <v>0</v>
      </c>
    </row>
    <row r="485" spans="1:15" x14ac:dyDescent="0.25">
      <c r="A485"/>
      <c r="B485"/>
      <c r="C485" s="1" t="str">
        <f>MID(A485,1,2)</f>
        <v/>
      </c>
      <c r="D485" s="1" t="str">
        <f>MID(B485,3,2)</f>
        <v/>
      </c>
      <c r="E485" s="1" t="str">
        <f>CONCATENATE(I485,K485)</f>
        <v/>
      </c>
      <c r="F485" s="1" t="e">
        <f>VLOOKUP(I485,$U$23:$AL$40,MATCH(J485,$U$23:$AL$23,0),FALSE)</f>
        <v>#N/A</v>
      </c>
      <c r="G485" s="1" t="e">
        <f>VLOOKUP(J485,$U$23:$AL$40,MATCH(K485,$U$23:$AL$23,0),FALSE)</f>
        <v>#N/A</v>
      </c>
      <c r="H485" s="1" t="e">
        <f>VLOOKUP(I485,$U$23:$AL$40,MATCH(K485,$U$23:$AL$23,0),FALSE)</f>
        <v>#N/A</v>
      </c>
      <c r="I485" s="1" t="str">
        <f>MID(A485,1,1)</f>
        <v/>
      </c>
      <c r="J485" s="1" t="str">
        <f>MID(A485,2,1)</f>
        <v/>
      </c>
      <c r="K485" s="1" t="str">
        <f>MID(A485,4,1)</f>
        <v/>
      </c>
      <c r="L485" s="1" t="e">
        <f>VLOOKUP(I485,$U:$V,2,0)</f>
        <v>#N/A</v>
      </c>
      <c r="M485" s="1" t="e">
        <f>VLOOKUP(J485,$X:$Y,2,0)</f>
        <v>#N/A</v>
      </c>
      <c r="N485" s="1" t="e">
        <f>VLOOKUP(K485,$AA:$AB,2,0)</f>
        <v>#N/A</v>
      </c>
      <c r="O485" s="1">
        <f>IF(A485&lt;&gt;"",N485+M485+L485+F485+G485+H485,0)</f>
        <v>0</v>
      </c>
    </row>
    <row r="486" spans="1:15" x14ac:dyDescent="0.25">
      <c r="A486"/>
      <c r="B486"/>
      <c r="C486" s="1" t="str">
        <f>MID(A486,1,2)</f>
        <v/>
      </c>
      <c r="D486" s="1" t="str">
        <f>MID(B486,3,2)</f>
        <v/>
      </c>
      <c r="E486" s="1" t="str">
        <f>CONCATENATE(I486,K486)</f>
        <v/>
      </c>
      <c r="F486" s="1" t="e">
        <f>VLOOKUP(I486,$U$23:$AL$40,MATCH(J486,$U$23:$AL$23,0),FALSE)</f>
        <v>#N/A</v>
      </c>
      <c r="G486" s="1" t="e">
        <f>VLOOKUP(J486,$U$23:$AL$40,MATCH(K486,$U$23:$AL$23,0),FALSE)</f>
        <v>#N/A</v>
      </c>
      <c r="H486" s="1" t="e">
        <f>VLOOKUP(I486,$U$23:$AL$40,MATCH(K486,$U$23:$AL$23,0),FALSE)</f>
        <v>#N/A</v>
      </c>
      <c r="I486" s="1" t="str">
        <f>MID(A486,1,1)</f>
        <v/>
      </c>
      <c r="J486" s="1" t="str">
        <f>MID(A486,2,1)</f>
        <v/>
      </c>
      <c r="K486" s="1" t="str">
        <f>MID(A486,4,1)</f>
        <v/>
      </c>
      <c r="L486" s="1" t="e">
        <f>VLOOKUP(I486,$U:$V,2,0)</f>
        <v>#N/A</v>
      </c>
      <c r="M486" s="1" t="e">
        <f>VLOOKUP(J486,$X:$Y,2,0)</f>
        <v>#N/A</v>
      </c>
      <c r="N486" s="1" t="e">
        <f>VLOOKUP(K486,$AA:$AB,2,0)</f>
        <v>#N/A</v>
      </c>
      <c r="O486" s="1">
        <f>IF(A486&lt;&gt;"",N486+M486+L486+F486+G486+H486,0)</f>
        <v>0</v>
      </c>
    </row>
    <row r="487" spans="1:15" x14ac:dyDescent="0.25">
      <c r="A487"/>
      <c r="B487"/>
      <c r="C487" s="1" t="str">
        <f>MID(A487,1,2)</f>
        <v/>
      </c>
      <c r="D487" s="1" t="str">
        <f>MID(B487,3,2)</f>
        <v/>
      </c>
      <c r="E487" s="1" t="str">
        <f>CONCATENATE(I487,K487)</f>
        <v/>
      </c>
      <c r="F487" s="1" t="e">
        <f>VLOOKUP(I487,$U$23:$AL$40,MATCH(J487,$U$23:$AL$23,0),FALSE)</f>
        <v>#N/A</v>
      </c>
      <c r="G487" s="1" t="e">
        <f>VLOOKUP(J487,$U$23:$AL$40,MATCH(K487,$U$23:$AL$23,0),FALSE)</f>
        <v>#N/A</v>
      </c>
      <c r="H487" s="1" t="e">
        <f>VLOOKUP(I487,$U$23:$AL$40,MATCH(K487,$U$23:$AL$23,0),FALSE)</f>
        <v>#N/A</v>
      </c>
      <c r="I487" s="1" t="str">
        <f>MID(A487,1,1)</f>
        <v/>
      </c>
      <c r="J487" s="1" t="str">
        <f>MID(A487,2,1)</f>
        <v/>
      </c>
      <c r="K487" s="1" t="str">
        <f>MID(A487,4,1)</f>
        <v/>
      </c>
      <c r="L487" s="1" t="e">
        <f>VLOOKUP(I487,$U:$V,2,0)</f>
        <v>#N/A</v>
      </c>
      <c r="M487" s="1" t="e">
        <f>VLOOKUP(J487,$X:$Y,2,0)</f>
        <v>#N/A</v>
      </c>
      <c r="N487" s="1" t="e">
        <f>VLOOKUP(K487,$AA:$AB,2,0)</f>
        <v>#N/A</v>
      </c>
      <c r="O487" s="1">
        <f>IF(A487&lt;&gt;"",N487+M487+L487+F487+G487+H487,0)</f>
        <v>0</v>
      </c>
    </row>
    <row r="488" spans="1:15" x14ac:dyDescent="0.25">
      <c r="A488"/>
      <c r="B488"/>
      <c r="C488" s="1" t="str">
        <f>MID(A488,1,2)</f>
        <v/>
      </c>
      <c r="D488" s="1" t="str">
        <f>MID(B488,3,2)</f>
        <v/>
      </c>
      <c r="E488" s="1" t="str">
        <f>CONCATENATE(I488,K488)</f>
        <v/>
      </c>
      <c r="F488" s="1" t="e">
        <f>VLOOKUP(I488,$U$23:$AL$40,MATCH(J488,$U$23:$AL$23,0),FALSE)</f>
        <v>#N/A</v>
      </c>
      <c r="G488" s="1" t="e">
        <f>VLOOKUP(J488,$U$23:$AL$40,MATCH(K488,$U$23:$AL$23,0),FALSE)</f>
        <v>#N/A</v>
      </c>
      <c r="H488" s="1" t="e">
        <f>VLOOKUP(I488,$U$23:$AL$40,MATCH(K488,$U$23:$AL$23,0),FALSE)</f>
        <v>#N/A</v>
      </c>
      <c r="I488" s="1" t="str">
        <f>MID(A488,1,1)</f>
        <v/>
      </c>
      <c r="J488" s="1" t="str">
        <f>MID(A488,2,1)</f>
        <v/>
      </c>
      <c r="K488" s="1" t="str">
        <f>MID(A488,4,1)</f>
        <v/>
      </c>
      <c r="L488" s="1" t="e">
        <f>VLOOKUP(I488,$U:$V,2,0)</f>
        <v>#N/A</v>
      </c>
      <c r="M488" s="1" t="e">
        <f>VLOOKUP(J488,$X:$Y,2,0)</f>
        <v>#N/A</v>
      </c>
      <c r="N488" s="1" t="e">
        <f>VLOOKUP(K488,$AA:$AB,2,0)</f>
        <v>#N/A</v>
      </c>
      <c r="O488" s="1">
        <f>IF(A488&lt;&gt;"",N488+M488+L488+F488+G488+H488,0)</f>
        <v>0</v>
      </c>
    </row>
    <row r="489" spans="1:15" x14ac:dyDescent="0.25">
      <c r="A489"/>
      <c r="B489"/>
      <c r="C489" s="1" t="str">
        <f>MID(A489,1,2)</f>
        <v/>
      </c>
      <c r="D489" s="1" t="str">
        <f>MID(B489,3,2)</f>
        <v/>
      </c>
      <c r="E489" s="1" t="str">
        <f>CONCATENATE(I489,K489)</f>
        <v/>
      </c>
      <c r="F489" s="1" t="e">
        <f>VLOOKUP(I489,$U$23:$AL$40,MATCH(J489,$U$23:$AL$23,0),FALSE)</f>
        <v>#N/A</v>
      </c>
      <c r="G489" s="1" t="e">
        <f>VLOOKUP(J489,$U$23:$AL$40,MATCH(K489,$U$23:$AL$23,0),FALSE)</f>
        <v>#N/A</v>
      </c>
      <c r="H489" s="1" t="e">
        <f>VLOOKUP(I489,$U$23:$AL$40,MATCH(K489,$U$23:$AL$23,0),FALSE)</f>
        <v>#N/A</v>
      </c>
      <c r="I489" s="1" t="str">
        <f>MID(A489,1,1)</f>
        <v/>
      </c>
      <c r="J489" s="1" t="str">
        <f>MID(A489,2,1)</f>
        <v/>
      </c>
      <c r="K489" s="1" t="str">
        <f>MID(A489,4,1)</f>
        <v/>
      </c>
      <c r="L489" s="1" t="e">
        <f>VLOOKUP(I489,$U:$V,2,0)</f>
        <v>#N/A</v>
      </c>
      <c r="M489" s="1" t="e">
        <f>VLOOKUP(J489,$X:$Y,2,0)</f>
        <v>#N/A</v>
      </c>
      <c r="N489" s="1" t="e">
        <f>VLOOKUP(K489,$AA:$AB,2,0)</f>
        <v>#N/A</v>
      </c>
      <c r="O489" s="1">
        <f>IF(A489&lt;&gt;"",N489+M489+L489+F489+G489+H489,0)</f>
        <v>0</v>
      </c>
    </row>
    <row r="490" spans="1:15" x14ac:dyDescent="0.25">
      <c r="A490"/>
      <c r="B490"/>
      <c r="C490" s="1" t="str">
        <f>MID(A490,1,2)</f>
        <v/>
      </c>
      <c r="D490" s="1" t="str">
        <f>MID(B490,3,2)</f>
        <v/>
      </c>
      <c r="E490" s="1" t="str">
        <f>CONCATENATE(I490,K490)</f>
        <v/>
      </c>
      <c r="F490" s="1" t="e">
        <f>VLOOKUP(I490,$U$23:$AL$40,MATCH(J490,$U$23:$AL$23,0),FALSE)</f>
        <v>#N/A</v>
      </c>
      <c r="G490" s="1" t="e">
        <f>VLOOKUP(J490,$U$23:$AL$40,MATCH(K490,$U$23:$AL$23,0),FALSE)</f>
        <v>#N/A</v>
      </c>
      <c r="H490" s="1" t="e">
        <f>VLOOKUP(I490,$U$23:$AL$40,MATCH(K490,$U$23:$AL$23,0),FALSE)</f>
        <v>#N/A</v>
      </c>
      <c r="I490" s="1" t="str">
        <f>MID(A490,1,1)</f>
        <v/>
      </c>
      <c r="J490" s="1" t="str">
        <f>MID(A490,2,1)</f>
        <v/>
      </c>
      <c r="K490" s="1" t="str">
        <f>MID(A490,4,1)</f>
        <v/>
      </c>
      <c r="L490" s="1" t="e">
        <f>VLOOKUP(I490,$U:$V,2,0)</f>
        <v>#N/A</v>
      </c>
      <c r="M490" s="1" t="e">
        <f>VLOOKUP(J490,$X:$Y,2,0)</f>
        <v>#N/A</v>
      </c>
      <c r="N490" s="1" t="e">
        <f>VLOOKUP(K490,$AA:$AB,2,0)</f>
        <v>#N/A</v>
      </c>
      <c r="O490" s="1">
        <f>IF(A490&lt;&gt;"",N490+M490+L490+F490+G490+H490,0)</f>
        <v>0</v>
      </c>
    </row>
    <row r="491" spans="1:15" x14ac:dyDescent="0.25">
      <c r="A491"/>
      <c r="B491"/>
      <c r="C491" s="1" t="str">
        <f>MID(A491,1,2)</f>
        <v/>
      </c>
      <c r="D491" s="1" t="str">
        <f>MID(B491,3,2)</f>
        <v/>
      </c>
      <c r="E491" s="1" t="str">
        <f>CONCATENATE(I491,K491)</f>
        <v/>
      </c>
      <c r="F491" s="1" t="e">
        <f>VLOOKUP(I491,$U$23:$AL$40,MATCH(J491,$U$23:$AL$23,0),FALSE)</f>
        <v>#N/A</v>
      </c>
      <c r="G491" s="1" t="e">
        <f>VLOOKUP(J491,$U$23:$AL$40,MATCH(K491,$U$23:$AL$23,0),FALSE)</f>
        <v>#N/A</v>
      </c>
      <c r="H491" s="1" t="e">
        <f>VLOOKUP(I491,$U$23:$AL$40,MATCH(K491,$U$23:$AL$23,0),FALSE)</f>
        <v>#N/A</v>
      </c>
      <c r="I491" s="1" t="str">
        <f>MID(A491,1,1)</f>
        <v/>
      </c>
      <c r="J491" s="1" t="str">
        <f>MID(A491,2,1)</f>
        <v/>
      </c>
      <c r="K491" s="1" t="str">
        <f>MID(A491,4,1)</f>
        <v/>
      </c>
      <c r="L491" s="1" t="e">
        <f>VLOOKUP(I491,$U:$V,2,0)</f>
        <v>#N/A</v>
      </c>
      <c r="M491" s="1" t="e">
        <f>VLOOKUP(J491,$X:$Y,2,0)</f>
        <v>#N/A</v>
      </c>
      <c r="N491" s="1" t="e">
        <f>VLOOKUP(K491,$AA:$AB,2,0)</f>
        <v>#N/A</v>
      </c>
      <c r="O491" s="1">
        <f>IF(A491&lt;&gt;"",N491+M491+L491+F491+G491+H491,0)</f>
        <v>0</v>
      </c>
    </row>
    <row r="492" spans="1:15" x14ac:dyDescent="0.25">
      <c r="A492"/>
      <c r="B492"/>
      <c r="C492" s="1" t="str">
        <f>MID(A492,1,2)</f>
        <v/>
      </c>
      <c r="D492" s="1" t="str">
        <f>MID(B492,3,2)</f>
        <v/>
      </c>
      <c r="E492" s="1" t="str">
        <f>CONCATENATE(I492,K492)</f>
        <v/>
      </c>
      <c r="F492" s="1" t="e">
        <f>VLOOKUP(I492,$U$23:$AL$40,MATCH(J492,$U$23:$AL$23,0),FALSE)</f>
        <v>#N/A</v>
      </c>
      <c r="G492" s="1" t="e">
        <f>VLOOKUP(J492,$U$23:$AL$40,MATCH(K492,$U$23:$AL$23,0),FALSE)</f>
        <v>#N/A</v>
      </c>
      <c r="H492" s="1" t="e">
        <f>VLOOKUP(I492,$U$23:$AL$40,MATCH(K492,$U$23:$AL$23,0),FALSE)</f>
        <v>#N/A</v>
      </c>
      <c r="I492" s="1" t="str">
        <f>MID(A492,1,1)</f>
        <v/>
      </c>
      <c r="J492" s="1" t="str">
        <f>MID(A492,2,1)</f>
        <v/>
      </c>
      <c r="K492" s="1" t="str">
        <f>MID(A492,4,1)</f>
        <v/>
      </c>
      <c r="L492" s="1" t="e">
        <f>VLOOKUP(I492,$U:$V,2,0)</f>
        <v>#N/A</v>
      </c>
      <c r="M492" s="1" t="e">
        <f>VLOOKUP(J492,$X:$Y,2,0)</f>
        <v>#N/A</v>
      </c>
      <c r="N492" s="1" t="e">
        <f>VLOOKUP(K492,$AA:$AB,2,0)</f>
        <v>#N/A</v>
      </c>
      <c r="O492" s="1">
        <f>IF(A492&lt;&gt;"",N492+M492+L492+F492+G492+H492,0)</f>
        <v>0</v>
      </c>
    </row>
    <row r="493" spans="1:15" x14ac:dyDescent="0.25">
      <c r="A493"/>
      <c r="B493"/>
      <c r="C493" s="1" t="str">
        <f>MID(A493,1,2)</f>
        <v/>
      </c>
      <c r="D493" s="1" t="str">
        <f>MID(B493,3,2)</f>
        <v/>
      </c>
      <c r="E493" s="1" t="str">
        <f>CONCATENATE(I493,K493)</f>
        <v/>
      </c>
      <c r="F493" s="1" t="e">
        <f>VLOOKUP(I493,$U$23:$AL$40,MATCH(J493,$U$23:$AL$23,0),FALSE)</f>
        <v>#N/A</v>
      </c>
      <c r="G493" s="1" t="e">
        <f>VLOOKUP(J493,$U$23:$AL$40,MATCH(K493,$U$23:$AL$23,0),FALSE)</f>
        <v>#N/A</v>
      </c>
      <c r="H493" s="1" t="e">
        <f>VLOOKUP(I493,$U$23:$AL$40,MATCH(K493,$U$23:$AL$23,0),FALSE)</f>
        <v>#N/A</v>
      </c>
      <c r="I493" s="1" t="str">
        <f>MID(A493,1,1)</f>
        <v/>
      </c>
      <c r="J493" s="1" t="str">
        <f>MID(A493,2,1)</f>
        <v/>
      </c>
      <c r="K493" s="1" t="str">
        <f>MID(A493,4,1)</f>
        <v/>
      </c>
      <c r="L493" s="1" t="e">
        <f>VLOOKUP(I493,$U:$V,2,0)</f>
        <v>#N/A</v>
      </c>
      <c r="M493" s="1" t="e">
        <f>VLOOKUP(J493,$X:$Y,2,0)</f>
        <v>#N/A</v>
      </c>
      <c r="N493" s="1" t="e">
        <f>VLOOKUP(K493,$AA:$AB,2,0)</f>
        <v>#N/A</v>
      </c>
      <c r="O493" s="1">
        <f>IF(A493&lt;&gt;"",N493+M493+L493+F493+G493+H493,0)</f>
        <v>0</v>
      </c>
    </row>
    <row r="494" spans="1:15" x14ac:dyDescent="0.25">
      <c r="A494"/>
      <c r="B494"/>
      <c r="C494" s="1" t="str">
        <f>MID(A494,1,2)</f>
        <v/>
      </c>
      <c r="D494" s="1" t="str">
        <f>MID(B494,3,2)</f>
        <v/>
      </c>
      <c r="E494" s="1" t="str">
        <f>CONCATENATE(I494,K494)</f>
        <v/>
      </c>
      <c r="F494" s="1" t="e">
        <f>VLOOKUP(I494,$U$23:$AL$40,MATCH(J494,$U$23:$AL$23,0),FALSE)</f>
        <v>#N/A</v>
      </c>
      <c r="G494" s="1" t="e">
        <f>VLOOKUP(J494,$U$23:$AL$40,MATCH(K494,$U$23:$AL$23,0),FALSE)</f>
        <v>#N/A</v>
      </c>
      <c r="H494" s="1" t="e">
        <f>VLOOKUP(I494,$U$23:$AL$40,MATCH(K494,$U$23:$AL$23,0),FALSE)</f>
        <v>#N/A</v>
      </c>
      <c r="I494" s="1" t="str">
        <f>MID(A494,1,1)</f>
        <v/>
      </c>
      <c r="J494" s="1" t="str">
        <f>MID(A494,2,1)</f>
        <v/>
      </c>
      <c r="K494" s="1" t="str">
        <f>MID(A494,4,1)</f>
        <v/>
      </c>
      <c r="L494" s="1" t="e">
        <f>VLOOKUP(I494,$U:$V,2,0)</f>
        <v>#N/A</v>
      </c>
      <c r="M494" s="1" t="e">
        <f>VLOOKUP(J494,$X:$Y,2,0)</f>
        <v>#N/A</v>
      </c>
      <c r="N494" s="1" t="e">
        <f>VLOOKUP(K494,$AA:$AB,2,0)</f>
        <v>#N/A</v>
      </c>
      <c r="O494" s="1">
        <f>IF(A494&lt;&gt;"",N494+M494+L494+F494+G494+H494,0)</f>
        <v>0</v>
      </c>
    </row>
    <row r="495" spans="1:15" x14ac:dyDescent="0.25">
      <c r="A495"/>
      <c r="B495"/>
      <c r="C495" s="1" t="str">
        <f>MID(A495,1,2)</f>
        <v/>
      </c>
      <c r="D495" s="1" t="str">
        <f>MID(B495,3,2)</f>
        <v/>
      </c>
      <c r="E495" s="1" t="str">
        <f>CONCATENATE(I495,K495)</f>
        <v/>
      </c>
      <c r="F495" s="1" t="e">
        <f>VLOOKUP(I495,$U$23:$AL$40,MATCH(J495,$U$23:$AL$23,0),FALSE)</f>
        <v>#N/A</v>
      </c>
      <c r="G495" s="1" t="e">
        <f>VLOOKUP(J495,$U$23:$AL$40,MATCH(K495,$U$23:$AL$23,0),FALSE)</f>
        <v>#N/A</v>
      </c>
      <c r="H495" s="1" t="e">
        <f>VLOOKUP(I495,$U$23:$AL$40,MATCH(K495,$U$23:$AL$23,0),FALSE)</f>
        <v>#N/A</v>
      </c>
      <c r="I495" s="1" t="str">
        <f>MID(A495,1,1)</f>
        <v/>
      </c>
      <c r="J495" s="1" t="str">
        <f>MID(A495,2,1)</f>
        <v/>
      </c>
      <c r="K495" s="1" t="str">
        <f>MID(A495,4,1)</f>
        <v/>
      </c>
      <c r="L495" s="1" t="e">
        <f>VLOOKUP(I495,$U:$V,2,0)</f>
        <v>#N/A</v>
      </c>
      <c r="M495" s="1" t="e">
        <f>VLOOKUP(J495,$X:$Y,2,0)</f>
        <v>#N/A</v>
      </c>
      <c r="N495" s="1" t="e">
        <f>VLOOKUP(K495,$AA:$AB,2,0)</f>
        <v>#N/A</v>
      </c>
      <c r="O495" s="1">
        <f>IF(A495&lt;&gt;"",N495+M495+L495+F495+G495+H495,0)</f>
        <v>0</v>
      </c>
    </row>
    <row r="496" spans="1:15" x14ac:dyDescent="0.25">
      <c r="A496"/>
      <c r="B496"/>
      <c r="C496" s="1" t="str">
        <f>MID(A496,1,2)</f>
        <v/>
      </c>
      <c r="D496" s="1" t="str">
        <f>MID(B496,3,2)</f>
        <v/>
      </c>
      <c r="E496" s="1" t="str">
        <f>CONCATENATE(I496,K496)</f>
        <v/>
      </c>
      <c r="F496" s="1" t="e">
        <f>VLOOKUP(I496,$U$23:$AL$40,MATCH(J496,$U$23:$AL$23,0),FALSE)</f>
        <v>#N/A</v>
      </c>
      <c r="G496" s="1" t="e">
        <f>VLOOKUP(J496,$U$23:$AL$40,MATCH(K496,$U$23:$AL$23,0),FALSE)</f>
        <v>#N/A</v>
      </c>
      <c r="H496" s="1" t="e">
        <f>VLOOKUP(I496,$U$23:$AL$40,MATCH(K496,$U$23:$AL$23,0),FALSE)</f>
        <v>#N/A</v>
      </c>
      <c r="I496" s="1" t="str">
        <f>MID(A496,1,1)</f>
        <v/>
      </c>
      <c r="J496" s="1" t="str">
        <f>MID(A496,2,1)</f>
        <v/>
      </c>
      <c r="K496" s="1" t="str">
        <f>MID(A496,4,1)</f>
        <v/>
      </c>
      <c r="L496" s="1" t="e">
        <f>VLOOKUP(I496,$U:$V,2,0)</f>
        <v>#N/A</v>
      </c>
      <c r="M496" s="1" t="e">
        <f>VLOOKUP(J496,$X:$Y,2,0)</f>
        <v>#N/A</v>
      </c>
      <c r="N496" s="1" t="e">
        <f>VLOOKUP(K496,$AA:$AB,2,0)</f>
        <v>#N/A</v>
      </c>
      <c r="O496" s="1">
        <f>IF(A496&lt;&gt;"",N496+M496+L496+F496+G496+H496,0)</f>
        <v>0</v>
      </c>
    </row>
    <row r="497" spans="1:15" x14ac:dyDescent="0.25">
      <c r="A497"/>
      <c r="B497"/>
      <c r="C497" s="1" t="str">
        <f>MID(A497,1,2)</f>
        <v/>
      </c>
      <c r="D497" s="1" t="str">
        <f>MID(B497,3,2)</f>
        <v/>
      </c>
      <c r="E497" s="1" t="str">
        <f>CONCATENATE(I497,K497)</f>
        <v/>
      </c>
      <c r="F497" s="1" t="e">
        <f>VLOOKUP(I497,$U$23:$AL$40,MATCH(J497,$U$23:$AL$23,0),FALSE)</f>
        <v>#N/A</v>
      </c>
      <c r="G497" s="1" t="e">
        <f>VLOOKUP(J497,$U$23:$AL$40,MATCH(K497,$U$23:$AL$23,0),FALSE)</f>
        <v>#N/A</v>
      </c>
      <c r="H497" s="1" t="e">
        <f>VLOOKUP(I497,$U$23:$AL$40,MATCH(K497,$U$23:$AL$23,0),FALSE)</f>
        <v>#N/A</v>
      </c>
      <c r="I497" s="1" t="str">
        <f>MID(A497,1,1)</f>
        <v/>
      </c>
      <c r="J497" s="1" t="str">
        <f>MID(A497,2,1)</f>
        <v/>
      </c>
      <c r="K497" s="1" t="str">
        <f>MID(A497,4,1)</f>
        <v/>
      </c>
      <c r="L497" s="1" t="e">
        <f>VLOOKUP(I497,$U:$V,2,0)</f>
        <v>#N/A</v>
      </c>
      <c r="M497" s="1" t="e">
        <f>VLOOKUP(J497,$X:$Y,2,0)</f>
        <v>#N/A</v>
      </c>
      <c r="N497" s="1" t="e">
        <f>VLOOKUP(K497,$AA:$AB,2,0)</f>
        <v>#N/A</v>
      </c>
      <c r="O497" s="1">
        <f>IF(A497&lt;&gt;"",N497+M497+L497+F497+G497+H497,0)</f>
        <v>0</v>
      </c>
    </row>
    <row r="498" spans="1:15" x14ac:dyDescent="0.25">
      <c r="A498"/>
      <c r="B498"/>
      <c r="C498" s="1" t="str">
        <f>MID(A498,1,2)</f>
        <v/>
      </c>
      <c r="D498" s="1" t="str">
        <f>MID(B498,3,2)</f>
        <v/>
      </c>
      <c r="E498" s="1" t="str">
        <f>CONCATENATE(I498,K498)</f>
        <v/>
      </c>
      <c r="F498" s="1" t="e">
        <f>VLOOKUP(I498,$U$23:$AL$40,MATCH(J498,$U$23:$AL$23,0),FALSE)</f>
        <v>#N/A</v>
      </c>
      <c r="G498" s="1" t="e">
        <f>VLOOKUP(J498,$U$23:$AL$40,MATCH(K498,$U$23:$AL$23,0),FALSE)</f>
        <v>#N/A</v>
      </c>
      <c r="H498" s="1" t="e">
        <f>VLOOKUP(I498,$U$23:$AL$40,MATCH(K498,$U$23:$AL$23,0),FALSE)</f>
        <v>#N/A</v>
      </c>
      <c r="I498" s="1" t="str">
        <f>MID(A498,1,1)</f>
        <v/>
      </c>
      <c r="J498" s="1" t="str">
        <f>MID(A498,2,1)</f>
        <v/>
      </c>
      <c r="K498" s="1" t="str">
        <f>MID(A498,4,1)</f>
        <v/>
      </c>
      <c r="L498" s="1" t="e">
        <f>VLOOKUP(I498,$U:$V,2,0)</f>
        <v>#N/A</v>
      </c>
      <c r="M498" s="1" t="e">
        <f>VLOOKUP(J498,$X:$Y,2,0)</f>
        <v>#N/A</v>
      </c>
      <c r="N498" s="1" t="e">
        <f>VLOOKUP(K498,$AA:$AB,2,0)</f>
        <v>#N/A</v>
      </c>
      <c r="O498" s="1">
        <f>IF(A498&lt;&gt;"",N498+M498+L498+F498+G498+H498,0)</f>
        <v>0</v>
      </c>
    </row>
    <row r="499" spans="1:15" x14ac:dyDescent="0.25">
      <c r="A499"/>
      <c r="B499"/>
      <c r="C499" s="1" t="str">
        <f>MID(A499,1,2)</f>
        <v/>
      </c>
      <c r="D499" s="1" t="str">
        <f>MID(B499,3,2)</f>
        <v/>
      </c>
      <c r="E499" s="1" t="str">
        <f>CONCATENATE(I499,K499)</f>
        <v/>
      </c>
      <c r="F499" s="1" t="e">
        <f>VLOOKUP(I499,$U$23:$AL$40,MATCH(J499,$U$23:$AL$23,0),FALSE)</f>
        <v>#N/A</v>
      </c>
      <c r="G499" s="1" t="e">
        <f>VLOOKUP(J499,$U$23:$AL$40,MATCH(K499,$U$23:$AL$23,0),FALSE)</f>
        <v>#N/A</v>
      </c>
      <c r="H499" s="1" t="e">
        <f>VLOOKUP(I499,$U$23:$AL$40,MATCH(K499,$U$23:$AL$23,0),FALSE)</f>
        <v>#N/A</v>
      </c>
      <c r="I499" s="1" t="str">
        <f>MID(A499,1,1)</f>
        <v/>
      </c>
      <c r="J499" s="1" t="str">
        <f>MID(A499,2,1)</f>
        <v/>
      </c>
      <c r="K499" s="1" t="str">
        <f>MID(A499,4,1)</f>
        <v/>
      </c>
      <c r="L499" s="1" t="e">
        <f>VLOOKUP(I499,$U:$V,2,0)</f>
        <v>#N/A</v>
      </c>
      <c r="M499" s="1" t="e">
        <f>VLOOKUP(J499,$X:$Y,2,0)</f>
        <v>#N/A</v>
      </c>
      <c r="N499" s="1" t="e">
        <f>VLOOKUP(K499,$AA:$AB,2,0)</f>
        <v>#N/A</v>
      </c>
      <c r="O499" s="1">
        <f>IF(A499&lt;&gt;"",N499+M499+L499+F499+G499+H499,0)</f>
        <v>0</v>
      </c>
    </row>
    <row r="500" spans="1:15" x14ac:dyDescent="0.25">
      <c r="A500"/>
      <c r="B500"/>
      <c r="C500" s="1" t="str">
        <f>MID(A500,1,2)</f>
        <v/>
      </c>
      <c r="D500" s="1" t="str">
        <f>MID(B500,3,2)</f>
        <v/>
      </c>
      <c r="E500" s="1" t="str">
        <f>CONCATENATE(I500,K500)</f>
        <v/>
      </c>
      <c r="F500" s="1" t="e">
        <f>VLOOKUP(I500,$U$23:$AL$40,MATCH(J500,$U$23:$AL$23,0),FALSE)</f>
        <v>#N/A</v>
      </c>
      <c r="G500" s="1" t="e">
        <f>VLOOKUP(J500,$U$23:$AL$40,MATCH(K500,$U$23:$AL$23,0),FALSE)</f>
        <v>#N/A</v>
      </c>
      <c r="H500" s="1" t="e">
        <f>VLOOKUP(I500,$U$23:$AL$40,MATCH(K500,$U$23:$AL$23,0),FALSE)</f>
        <v>#N/A</v>
      </c>
      <c r="I500" s="1" t="str">
        <f>MID(A500,1,1)</f>
        <v/>
      </c>
      <c r="J500" s="1" t="str">
        <f>MID(A500,2,1)</f>
        <v/>
      </c>
      <c r="K500" s="1" t="str">
        <f>MID(A500,4,1)</f>
        <v/>
      </c>
      <c r="L500" s="1" t="e">
        <f>VLOOKUP(I500,$U:$V,2,0)</f>
        <v>#N/A</v>
      </c>
      <c r="M500" s="1" t="e">
        <f>VLOOKUP(J500,$X:$Y,2,0)</f>
        <v>#N/A</v>
      </c>
      <c r="N500" s="1" t="e">
        <f>VLOOKUP(K500,$AA:$AB,2,0)</f>
        <v>#N/A</v>
      </c>
      <c r="O500" s="1">
        <f>IF(A500&lt;&gt;"",N500+M500+L500+F500+G500+H500,0)</f>
        <v>0</v>
      </c>
    </row>
    <row r="501" spans="1:15" x14ac:dyDescent="0.25">
      <c r="A501"/>
      <c r="B501"/>
      <c r="C501" s="1" t="str">
        <f>MID(A501,1,2)</f>
        <v/>
      </c>
      <c r="D501" s="1" t="str">
        <f>MID(B501,3,2)</f>
        <v/>
      </c>
      <c r="E501" s="1" t="str">
        <f>CONCATENATE(I501,K501)</f>
        <v/>
      </c>
      <c r="F501" s="1" t="e">
        <f>VLOOKUP(I501,$U$23:$AL$40,MATCH(J501,$U$23:$AL$23,0),FALSE)</f>
        <v>#N/A</v>
      </c>
      <c r="G501" s="1" t="e">
        <f>VLOOKUP(J501,$U$23:$AL$40,MATCH(K501,$U$23:$AL$23,0),FALSE)</f>
        <v>#N/A</v>
      </c>
      <c r="H501" s="1" t="e">
        <f>VLOOKUP(I501,$U$23:$AL$40,MATCH(K501,$U$23:$AL$23,0),FALSE)</f>
        <v>#N/A</v>
      </c>
      <c r="I501" s="1" t="str">
        <f>MID(A501,1,1)</f>
        <v/>
      </c>
      <c r="J501" s="1" t="str">
        <f>MID(A501,2,1)</f>
        <v/>
      </c>
      <c r="K501" s="1" t="str">
        <f>MID(A501,4,1)</f>
        <v/>
      </c>
      <c r="L501" s="1" t="e">
        <f>VLOOKUP(I501,$U:$V,2,0)</f>
        <v>#N/A</v>
      </c>
      <c r="M501" s="1" t="e">
        <f>VLOOKUP(J501,$X:$Y,2,0)</f>
        <v>#N/A</v>
      </c>
      <c r="N501" s="1" t="e">
        <f>VLOOKUP(K501,$AA:$AB,2,0)</f>
        <v>#N/A</v>
      </c>
      <c r="O501" s="1">
        <f>IF(A501&lt;&gt;"",N501+M501+L501+F501+G501+H501,0)</f>
        <v>0</v>
      </c>
    </row>
    <row r="502" spans="1:15" x14ac:dyDescent="0.25">
      <c r="A502"/>
      <c r="B502"/>
      <c r="C502" s="1" t="str">
        <f>MID(A502,1,2)</f>
        <v/>
      </c>
      <c r="D502" s="1" t="str">
        <f>MID(B502,3,2)</f>
        <v/>
      </c>
      <c r="E502" s="1" t="str">
        <f>CONCATENATE(I502,K502)</f>
        <v/>
      </c>
      <c r="F502" s="1" t="e">
        <f>VLOOKUP(I502,$U$23:$AL$40,MATCH(J502,$U$23:$AL$23,0),FALSE)</f>
        <v>#N/A</v>
      </c>
      <c r="G502" s="1" t="e">
        <f>VLOOKUP(J502,$U$23:$AL$40,MATCH(K502,$U$23:$AL$23,0),FALSE)</f>
        <v>#N/A</v>
      </c>
      <c r="H502" s="1" t="e">
        <f>VLOOKUP(I502,$U$23:$AL$40,MATCH(K502,$U$23:$AL$23,0),FALSE)</f>
        <v>#N/A</v>
      </c>
      <c r="I502" s="1" t="str">
        <f>MID(A502,1,1)</f>
        <v/>
      </c>
      <c r="J502" s="1" t="str">
        <f>MID(A502,2,1)</f>
        <v/>
      </c>
      <c r="K502" s="1" t="str">
        <f>MID(A502,4,1)</f>
        <v/>
      </c>
      <c r="L502" s="1" t="e">
        <f>VLOOKUP(I502,$U:$V,2,0)</f>
        <v>#N/A</v>
      </c>
      <c r="M502" s="1" t="e">
        <f>VLOOKUP(J502,$X:$Y,2,0)</f>
        <v>#N/A</v>
      </c>
      <c r="N502" s="1" t="e">
        <f>VLOOKUP(K502,$AA:$AB,2,0)</f>
        <v>#N/A</v>
      </c>
      <c r="O502" s="1">
        <f>IF(A502&lt;&gt;"",N502+M502+L502+F502+G502+H502,0)</f>
        <v>0</v>
      </c>
    </row>
    <row r="503" spans="1:15" x14ac:dyDescent="0.25">
      <c r="A503"/>
      <c r="B503"/>
      <c r="C503" s="1" t="str">
        <f>MID(A503,1,2)</f>
        <v/>
      </c>
      <c r="D503" s="1" t="str">
        <f>MID(B503,3,2)</f>
        <v/>
      </c>
      <c r="E503" s="1" t="str">
        <f>CONCATENATE(I503,K503)</f>
        <v/>
      </c>
      <c r="F503" s="1" t="e">
        <f>VLOOKUP(I503,$U$23:$AL$40,MATCH(J503,$U$23:$AL$23,0),FALSE)</f>
        <v>#N/A</v>
      </c>
      <c r="G503" s="1" t="e">
        <f>VLOOKUP(J503,$U$23:$AL$40,MATCH(K503,$U$23:$AL$23,0),FALSE)</f>
        <v>#N/A</v>
      </c>
      <c r="H503" s="1" t="e">
        <f>VLOOKUP(I503,$U$23:$AL$40,MATCH(K503,$U$23:$AL$23,0),FALSE)</f>
        <v>#N/A</v>
      </c>
      <c r="I503" s="1" t="str">
        <f>MID(A503,1,1)</f>
        <v/>
      </c>
      <c r="J503" s="1" t="str">
        <f>MID(A503,2,1)</f>
        <v/>
      </c>
      <c r="K503" s="1" t="str">
        <f>MID(A503,4,1)</f>
        <v/>
      </c>
      <c r="L503" s="1" t="e">
        <f>VLOOKUP(I503,$U:$V,2,0)</f>
        <v>#N/A</v>
      </c>
      <c r="M503" s="1" t="e">
        <f>VLOOKUP(J503,$X:$Y,2,0)</f>
        <v>#N/A</v>
      </c>
      <c r="N503" s="1" t="e">
        <f>VLOOKUP(K503,$AA:$AB,2,0)</f>
        <v>#N/A</v>
      </c>
      <c r="O503" s="1">
        <f>IF(A503&lt;&gt;"",N503+M503+L503+F503+G503+H503,0)</f>
        <v>0</v>
      </c>
    </row>
    <row r="504" spans="1:15" x14ac:dyDescent="0.25">
      <c r="A504"/>
      <c r="B504"/>
      <c r="C504" s="1" t="str">
        <f>MID(A504,1,2)</f>
        <v/>
      </c>
      <c r="D504" s="1" t="str">
        <f>MID(B504,3,2)</f>
        <v/>
      </c>
      <c r="E504" s="1" t="str">
        <f>CONCATENATE(I504,K504)</f>
        <v/>
      </c>
      <c r="F504" s="1" t="e">
        <f>VLOOKUP(I504,$U$23:$AL$40,MATCH(J504,$U$23:$AL$23,0),FALSE)</f>
        <v>#N/A</v>
      </c>
      <c r="G504" s="1" t="e">
        <f>VLOOKUP(J504,$U$23:$AL$40,MATCH(K504,$U$23:$AL$23,0),FALSE)</f>
        <v>#N/A</v>
      </c>
      <c r="H504" s="1" t="e">
        <f>VLOOKUP(I504,$U$23:$AL$40,MATCH(K504,$U$23:$AL$23,0),FALSE)</f>
        <v>#N/A</v>
      </c>
      <c r="I504" s="1" t="str">
        <f>MID(A504,1,1)</f>
        <v/>
      </c>
      <c r="J504" s="1" t="str">
        <f>MID(A504,2,1)</f>
        <v/>
      </c>
      <c r="K504" s="1" t="str">
        <f>MID(A504,4,1)</f>
        <v/>
      </c>
      <c r="L504" s="1" t="e">
        <f>VLOOKUP(I504,$U:$V,2,0)</f>
        <v>#N/A</v>
      </c>
      <c r="M504" s="1" t="e">
        <f>VLOOKUP(J504,$X:$Y,2,0)</f>
        <v>#N/A</v>
      </c>
      <c r="N504" s="1" t="e">
        <f>VLOOKUP(K504,$AA:$AB,2,0)</f>
        <v>#N/A</v>
      </c>
      <c r="O504" s="1">
        <f>IF(A504&lt;&gt;"",N504+M504+L504+F504+G504+H504,0)</f>
        <v>0</v>
      </c>
    </row>
    <row r="505" spans="1:15" x14ac:dyDescent="0.25">
      <c r="A505"/>
      <c r="B505"/>
      <c r="C505" s="1" t="str">
        <f>MID(A505,1,2)</f>
        <v/>
      </c>
      <c r="D505" s="1" t="str">
        <f>MID(B505,3,2)</f>
        <v/>
      </c>
      <c r="E505" s="1" t="str">
        <f>CONCATENATE(I505,K505)</f>
        <v/>
      </c>
      <c r="F505" s="1" t="e">
        <f>VLOOKUP(I505,$U$23:$AL$40,MATCH(J505,$U$23:$AL$23,0),FALSE)</f>
        <v>#N/A</v>
      </c>
      <c r="G505" s="1" t="e">
        <f>VLOOKUP(J505,$U$23:$AL$40,MATCH(K505,$U$23:$AL$23,0),FALSE)</f>
        <v>#N/A</v>
      </c>
      <c r="H505" s="1" t="e">
        <f>VLOOKUP(I505,$U$23:$AL$40,MATCH(K505,$U$23:$AL$23,0),FALSE)</f>
        <v>#N/A</v>
      </c>
      <c r="I505" s="1" t="str">
        <f>MID(A505,1,1)</f>
        <v/>
      </c>
      <c r="J505" s="1" t="str">
        <f>MID(A505,2,1)</f>
        <v/>
      </c>
      <c r="K505" s="1" t="str">
        <f>MID(A505,4,1)</f>
        <v/>
      </c>
      <c r="L505" s="1" t="e">
        <f>VLOOKUP(I505,$U:$V,2,0)</f>
        <v>#N/A</v>
      </c>
      <c r="M505" s="1" t="e">
        <f>VLOOKUP(J505,$X:$Y,2,0)</f>
        <v>#N/A</v>
      </c>
      <c r="N505" s="1" t="e">
        <f>VLOOKUP(K505,$AA:$AB,2,0)</f>
        <v>#N/A</v>
      </c>
      <c r="O505" s="1">
        <f>IF(A505&lt;&gt;"",N505+M505+L505+F505+G505+H505,0)</f>
        <v>0</v>
      </c>
    </row>
    <row r="506" spans="1:15" x14ac:dyDescent="0.25">
      <c r="A506"/>
      <c r="B506"/>
      <c r="C506" s="1" t="str">
        <f>MID(A506,1,2)</f>
        <v/>
      </c>
      <c r="D506" s="1" t="str">
        <f>MID(B506,3,2)</f>
        <v/>
      </c>
      <c r="E506" s="1" t="str">
        <f>CONCATENATE(I506,K506)</f>
        <v/>
      </c>
      <c r="F506" s="1" t="e">
        <f>VLOOKUP(I506,$U$23:$AL$40,MATCH(J506,$U$23:$AL$23,0),FALSE)</f>
        <v>#N/A</v>
      </c>
      <c r="G506" s="1" t="e">
        <f>VLOOKUP(J506,$U$23:$AL$40,MATCH(K506,$U$23:$AL$23,0),FALSE)</f>
        <v>#N/A</v>
      </c>
      <c r="H506" s="1" t="e">
        <f>VLOOKUP(I506,$U$23:$AL$40,MATCH(K506,$U$23:$AL$23,0),FALSE)</f>
        <v>#N/A</v>
      </c>
      <c r="I506" s="1" t="str">
        <f>MID(A506,1,1)</f>
        <v/>
      </c>
      <c r="J506" s="1" t="str">
        <f>MID(A506,2,1)</f>
        <v/>
      </c>
      <c r="K506" s="1" t="str">
        <f>MID(A506,4,1)</f>
        <v/>
      </c>
      <c r="L506" s="1" t="e">
        <f>VLOOKUP(I506,$U:$V,2,0)</f>
        <v>#N/A</v>
      </c>
      <c r="M506" s="1" t="e">
        <f>VLOOKUP(J506,$X:$Y,2,0)</f>
        <v>#N/A</v>
      </c>
      <c r="N506" s="1" t="e">
        <f>VLOOKUP(K506,$AA:$AB,2,0)</f>
        <v>#N/A</v>
      </c>
      <c r="O506" s="1">
        <f>IF(A506&lt;&gt;"",N506+M506+L506+F506+G506+H506,0)</f>
        <v>0</v>
      </c>
    </row>
    <row r="507" spans="1:15" x14ac:dyDescent="0.25">
      <c r="A507"/>
      <c r="B507"/>
      <c r="C507" s="1" t="str">
        <f>MID(A507,1,2)</f>
        <v/>
      </c>
      <c r="D507" s="1" t="str">
        <f>MID(B507,3,2)</f>
        <v/>
      </c>
      <c r="E507" s="1" t="str">
        <f>CONCATENATE(I507,K507)</f>
        <v/>
      </c>
      <c r="F507" s="1" t="e">
        <f>VLOOKUP(I507,$U$23:$AL$40,MATCH(J507,$U$23:$AL$23,0),FALSE)</f>
        <v>#N/A</v>
      </c>
      <c r="G507" s="1" t="e">
        <f>VLOOKUP(J507,$U$23:$AL$40,MATCH(K507,$U$23:$AL$23,0),FALSE)</f>
        <v>#N/A</v>
      </c>
      <c r="H507" s="1" t="e">
        <f>VLOOKUP(I507,$U$23:$AL$40,MATCH(K507,$U$23:$AL$23,0),FALSE)</f>
        <v>#N/A</v>
      </c>
      <c r="I507" s="1" t="str">
        <f>MID(A507,1,1)</f>
        <v/>
      </c>
      <c r="J507" s="1" t="str">
        <f>MID(A507,2,1)</f>
        <v/>
      </c>
      <c r="K507" s="1" t="str">
        <f>MID(A507,4,1)</f>
        <v/>
      </c>
      <c r="L507" s="1" t="e">
        <f>VLOOKUP(I507,$U:$V,2,0)</f>
        <v>#N/A</v>
      </c>
      <c r="M507" s="1" t="e">
        <f>VLOOKUP(J507,$X:$Y,2,0)</f>
        <v>#N/A</v>
      </c>
      <c r="N507" s="1" t="e">
        <f>VLOOKUP(K507,$AA:$AB,2,0)</f>
        <v>#N/A</v>
      </c>
      <c r="O507" s="1">
        <f>IF(A507&lt;&gt;"",N507+M507+L507+F507+G507+H507,0)</f>
        <v>0</v>
      </c>
    </row>
    <row r="508" spans="1:15" x14ac:dyDescent="0.25">
      <c r="A508"/>
      <c r="B508"/>
      <c r="C508" s="1" t="str">
        <f>MID(A508,1,2)</f>
        <v/>
      </c>
      <c r="D508" s="1" t="str">
        <f>MID(B508,3,2)</f>
        <v/>
      </c>
      <c r="E508" s="1" t="str">
        <f>CONCATENATE(I508,K508)</f>
        <v/>
      </c>
      <c r="F508" s="1" t="e">
        <f>VLOOKUP(I508,$U$23:$AL$40,MATCH(J508,$U$23:$AL$23,0),FALSE)</f>
        <v>#N/A</v>
      </c>
      <c r="G508" s="1" t="e">
        <f>VLOOKUP(J508,$U$23:$AL$40,MATCH(K508,$U$23:$AL$23,0),FALSE)</f>
        <v>#N/A</v>
      </c>
      <c r="H508" s="1" t="e">
        <f>VLOOKUP(I508,$U$23:$AL$40,MATCH(K508,$U$23:$AL$23,0),FALSE)</f>
        <v>#N/A</v>
      </c>
      <c r="I508" s="1" t="str">
        <f>MID(A508,1,1)</f>
        <v/>
      </c>
      <c r="J508" s="1" t="str">
        <f>MID(A508,2,1)</f>
        <v/>
      </c>
      <c r="K508" s="1" t="str">
        <f>MID(A508,4,1)</f>
        <v/>
      </c>
      <c r="L508" s="1" t="e">
        <f>VLOOKUP(I508,$U:$V,2,0)</f>
        <v>#N/A</v>
      </c>
      <c r="M508" s="1" t="e">
        <f>VLOOKUP(J508,$X:$Y,2,0)</f>
        <v>#N/A</v>
      </c>
      <c r="N508" s="1" t="e">
        <f>VLOOKUP(K508,$AA:$AB,2,0)</f>
        <v>#N/A</v>
      </c>
      <c r="O508" s="1">
        <f>IF(A508&lt;&gt;"",N508+M508+L508+F508+G508+H508,0)</f>
        <v>0</v>
      </c>
    </row>
    <row r="509" spans="1:15" x14ac:dyDescent="0.25">
      <c r="A509"/>
      <c r="B509"/>
      <c r="C509" s="1" t="str">
        <f>MID(A509,1,2)</f>
        <v/>
      </c>
      <c r="D509" s="1" t="str">
        <f>MID(B509,3,2)</f>
        <v/>
      </c>
      <c r="E509" s="1" t="str">
        <f>CONCATENATE(I509,K509)</f>
        <v/>
      </c>
      <c r="F509" s="1" t="e">
        <f>VLOOKUP(I509,$U$23:$AL$40,MATCH(J509,$U$23:$AL$23,0),FALSE)</f>
        <v>#N/A</v>
      </c>
      <c r="G509" s="1" t="e">
        <f>VLOOKUP(J509,$U$23:$AL$40,MATCH(K509,$U$23:$AL$23,0),FALSE)</f>
        <v>#N/A</v>
      </c>
      <c r="H509" s="1" t="e">
        <f>VLOOKUP(I509,$U$23:$AL$40,MATCH(K509,$U$23:$AL$23,0),FALSE)</f>
        <v>#N/A</v>
      </c>
      <c r="I509" s="1" t="str">
        <f>MID(A509,1,1)</f>
        <v/>
      </c>
      <c r="J509" s="1" t="str">
        <f>MID(A509,2,1)</f>
        <v/>
      </c>
      <c r="K509" s="1" t="str">
        <f>MID(A509,4,1)</f>
        <v/>
      </c>
      <c r="L509" s="1" t="e">
        <f>VLOOKUP(I509,$U:$V,2,0)</f>
        <v>#N/A</v>
      </c>
      <c r="M509" s="1" t="e">
        <f>VLOOKUP(J509,$X:$Y,2,0)</f>
        <v>#N/A</v>
      </c>
      <c r="N509" s="1" t="e">
        <f>VLOOKUP(K509,$AA:$AB,2,0)</f>
        <v>#N/A</v>
      </c>
      <c r="O509" s="1">
        <f>IF(A509&lt;&gt;"",N509+M509+L509+F509+G509+H509,0)</f>
        <v>0</v>
      </c>
    </row>
    <row r="510" spans="1:15" x14ac:dyDescent="0.25">
      <c r="A510"/>
      <c r="B510"/>
      <c r="C510" s="1" t="str">
        <f>MID(A510,1,2)</f>
        <v/>
      </c>
      <c r="D510" s="1" t="str">
        <f>MID(B510,3,2)</f>
        <v/>
      </c>
      <c r="E510" s="1" t="str">
        <f>CONCATENATE(I510,K510)</f>
        <v/>
      </c>
      <c r="F510" s="1" t="e">
        <f>VLOOKUP(I510,$U$23:$AL$40,MATCH(J510,$U$23:$AL$23,0),FALSE)</f>
        <v>#N/A</v>
      </c>
      <c r="G510" s="1" t="e">
        <f>VLOOKUP(J510,$U$23:$AL$40,MATCH(K510,$U$23:$AL$23,0),FALSE)</f>
        <v>#N/A</v>
      </c>
      <c r="H510" s="1" t="e">
        <f>VLOOKUP(I510,$U$23:$AL$40,MATCH(K510,$U$23:$AL$23,0),FALSE)</f>
        <v>#N/A</v>
      </c>
      <c r="I510" s="1" t="str">
        <f>MID(A510,1,1)</f>
        <v/>
      </c>
      <c r="J510" s="1" t="str">
        <f>MID(A510,2,1)</f>
        <v/>
      </c>
      <c r="K510" s="1" t="str">
        <f>MID(A510,4,1)</f>
        <v/>
      </c>
      <c r="L510" s="1" t="e">
        <f>VLOOKUP(I510,$U:$V,2,0)</f>
        <v>#N/A</v>
      </c>
      <c r="M510" s="1" t="e">
        <f>VLOOKUP(J510,$X:$Y,2,0)</f>
        <v>#N/A</v>
      </c>
      <c r="N510" s="1" t="e">
        <f>VLOOKUP(K510,$AA:$AB,2,0)</f>
        <v>#N/A</v>
      </c>
      <c r="O510" s="1">
        <f>IF(A510&lt;&gt;"",N510+M510+L510+F510+G510+H510,0)</f>
        <v>0</v>
      </c>
    </row>
    <row r="511" spans="1:15" x14ac:dyDescent="0.25">
      <c r="A511"/>
      <c r="B511"/>
      <c r="C511" s="1" t="str">
        <f>MID(A511,1,2)</f>
        <v/>
      </c>
      <c r="D511" s="1" t="str">
        <f>MID(B511,3,2)</f>
        <v/>
      </c>
      <c r="E511" s="1" t="str">
        <f>CONCATENATE(I511,K511)</f>
        <v/>
      </c>
      <c r="F511" s="1" t="e">
        <f>VLOOKUP(I511,$U$23:$AL$40,MATCH(J511,$U$23:$AL$23,0),FALSE)</f>
        <v>#N/A</v>
      </c>
      <c r="G511" s="1" t="e">
        <f>VLOOKUP(J511,$U$23:$AL$40,MATCH(K511,$U$23:$AL$23,0),FALSE)</f>
        <v>#N/A</v>
      </c>
      <c r="H511" s="1" t="e">
        <f>VLOOKUP(I511,$U$23:$AL$40,MATCH(K511,$U$23:$AL$23,0),FALSE)</f>
        <v>#N/A</v>
      </c>
      <c r="I511" s="1" t="str">
        <f>MID(A511,1,1)</f>
        <v/>
      </c>
      <c r="J511" s="1" t="str">
        <f>MID(A511,2,1)</f>
        <v/>
      </c>
      <c r="K511" s="1" t="str">
        <f>MID(A511,4,1)</f>
        <v/>
      </c>
      <c r="L511" s="1" t="e">
        <f>VLOOKUP(I511,$U:$V,2,0)</f>
        <v>#N/A</v>
      </c>
      <c r="M511" s="1" t="e">
        <f>VLOOKUP(J511,$X:$Y,2,0)</f>
        <v>#N/A</v>
      </c>
      <c r="N511" s="1" t="e">
        <f>VLOOKUP(K511,$AA:$AB,2,0)</f>
        <v>#N/A</v>
      </c>
      <c r="O511" s="1">
        <f>IF(A511&lt;&gt;"",N511+M511+L511+F511+G511+H511,0)</f>
        <v>0</v>
      </c>
    </row>
    <row r="512" spans="1:15" x14ac:dyDescent="0.25">
      <c r="A512"/>
      <c r="B512"/>
      <c r="C512" s="1" t="str">
        <f>MID(A512,1,2)</f>
        <v/>
      </c>
      <c r="D512" s="1" t="str">
        <f>MID(B512,3,2)</f>
        <v/>
      </c>
      <c r="E512" s="1" t="str">
        <f>CONCATENATE(I512,K512)</f>
        <v/>
      </c>
      <c r="F512" s="1" t="e">
        <f>VLOOKUP(I512,$U$23:$AL$40,MATCH(J512,$U$23:$AL$23,0),FALSE)</f>
        <v>#N/A</v>
      </c>
      <c r="G512" s="1" t="e">
        <f>VLOOKUP(J512,$U$23:$AL$40,MATCH(K512,$U$23:$AL$23,0),FALSE)</f>
        <v>#N/A</v>
      </c>
      <c r="H512" s="1" t="e">
        <f>VLOOKUP(I512,$U$23:$AL$40,MATCH(K512,$U$23:$AL$23,0),FALSE)</f>
        <v>#N/A</v>
      </c>
      <c r="I512" s="1" t="str">
        <f>MID(A512,1,1)</f>
        <v/>
      </c>
      <c r="J512" s="1" t="str">
        <f>MID(A512,2,1)</f>
        <v/>
      </c>
      <c r="K512" s="1" t="str">
        <f>MID(A512,4,1)</f>
        <v/>
      </c>
      <c r="L512" s="1" t="e">
        <f>VLOOKUP(I512,$U:$V,2,0)</f>
        <v>#N/A</v>
      </c>
      <c r="M512" s="1" t="e">
        <f>VLOOKUP(J512,$X:$Y,2,0)</f>
        <v>#N/A</v>
      </c>
      <c r="N512" s="1" t="e">
        <f>VLOOKUP(K512,$AA:$AB,2,0)</f>
        <v>#N/A</v>
      </c>
      <c r="O512" s="1">
        <f>IF(A512&lt;&gt;"",N512+M512+L512+F512+G512+H512,0)</f>
        <v>0</v>
      </c>
    </row>
    <row r="513" spans="1:15" x14ac:dyDescent="0.25">
      <c r="A513"/>
      <c r="B513"/>
      <c r="C513" s="1" t="str">
        <f>MID(A513,1,2)</f>
        <v/>
      </c>
      <c r="D513" s="1" t="str">
        <f>MID(B513,3,2)</f>
        <v/>
      </c>
      <c r="E513" s="1" t="str">
        <f>CONCATENATE(I513,K513)</f>
        <v/>
      </c>
      <c r="F513" s="1" t="e">
        <f>VLOOKUP(I513,$U$23:$AL$40,MATCH(J513,$U$23:$AL$23,0),FALSE)</f>
        <v>#N/A</v>
      </c>
      <c r="G513" s="1" t="e">
        <f>VLOOKUP(J513,$U$23:$AL$40,MATCH(K513,$U$23:$AL$23,0),FALSE)</f>
        <v>#N/A</v>
      </c>
      <c r="H513" s="1" t="e">
        <f>VLOOKUP(I513,$U$23:$AL$40,MATCH(K513,$U$23:$AL$23,0),FALSE)</f>
        <v>#N/A</v>
      </c>
      <c r="I513" s="1" t="str">
        <f>MID(A513,1,1)</f>
        <v/>
      </c>
      <c r="J513" s="1" t="str">
        <f>MID(A513,2,1)</f>
        <v/>
      </c>
      <c r="K513" s="1" t="str">
        <f>MID(A513,4,1)</f>
        <v/>
      </c>
      <c r="L513" s="1" t="e">
        <f>VLOOKUP(I513,$U:$V,2,0)</f>
        <v>#N/A</v>
      </c>
      <c r="M513" s="1" t="e">
        <f>VLOOKUP(J513,$X:$Y,2,0)</f>
        <v>#N/A</v>
      </c>
      <c r="N513" s="1" t="e">
        <f>VLOOKUP(K513,$AA:$AB,2,0)</f>
        <v>#N/A</v>
      </c>
      <c r="O513" s="1">
        <f>IF(A513&lt;&gt;"",N513+M513+L513+F513+G513+H513,0)</f>
        <v>0</v>
      </c>
    </row>
    <row r="514" spans="1:15" x14ac:dyDescent="0.25">
      <c r="A514"/>
      <c r="B514"/>
      <c r="C514" s="1" t="str">
        <f>MID(A514,1,2)</f>
        <v/>
      </c>
      <c r="D514" s="1" t="str">
        <f>MID(B514,3,2)</f>
        <v/>
      </c>
      <c r="E514" s="1" t="str">
        <f>CONCATENATE(I514,K514)</f>
        <v/>
      </c>
      <c r="F514" s="1" t="e">
        <f>VLOOKUP(I514,$U$23:$AL$40,MATCH(J514,$U$23:$AL$23,0),FALSE)</f>
        <v>#N/A</v>
      </c>
      <c r="G514" s="1" t="e">
        <f>VLOOKUP(J514,$U$23:$AL$40,MATCH(K514,$U$23:$AL$23,0),FALSE)</f>
        <v>#N/A</v>
      </c>
      <c r="H514" s="1" t="e">
        <f>VLOOKUP(I514,$U$23:$AL$40,MATCH(K514,$U$23:$AL$23,0),FALSE)</f>
        <v>#N/A</v>
      </c>
      <c r="I514" s="1" t="str">
        <f>MID(A514,1,1)</f>
        <v/>
      </c>
      <c r="J514" s="1" t="str">
        <f>MID(A514,2,1)</f>
        <v/>
      </c>
      <c r="K514" s="1" t="str">
        <f>MID(A514,4,1)</f>
        <v/>
      </c>
      <c r="L514" s="1" t="e">
        <f>VLOOKUP(I514,$U:$V,2,0)</f>
        <v>#N/A</v>
      </c>
      <c r="M514" s="1" t="e">
        <f>VLOOKUP(J514,$X:$Y,2,0)</f>
        <v>#N/A</v>
      </c>
      <c r="N514" s="1" t="e">
        <f>VLOOKUP(K514,$AA:$AB,2,0)</f>
        <v>#N/A</v>
      </c>
      <c r="O514" s="1">
        <f>IF(A514&lt;&gt;"",N514+M514+L514+F514+G514+H514,0)</f>
        <v>0</v>
      </c>
    </row>
    <row r="515" spans="1:15" x14ac:dyDescent="0.25">
      <c r="A515"/>
      <c r="B515"/>
      <c r="C515" s="1" t="str">
        <f>MID(A515,1,2)</f>
        <v/>
      </c>
      <c r="D515" s="1" t="str">
        <f>MID(B515,3,2)</f>
        <v/>
      </c>
      <c r="E515" s="1" t="str">
        <f>CONCATENATE(I515,K515)</f>
        <v/>
      </c>
      <c r="F515" s="1" t="e">
        <f>VLOOKUP(I515,$U$23:$AL$40,MATCH(J515,$U$23:$AL$23,0),FALSE)</f>
        <v>#N/A</v>
      </c>
      <c r="G515" s="1" t="e">
        <f>VLOOKUP(J515,$U$23:$AL$40,MATCH(K515,$U$23:$AL$23,0),FALSE)</f>
        <v>#N/A</v>
      </c>
      <c r="H515" s="1" t="e">
        <f>VLOOKUP(I515,$U$23:$AL$40,MATCH(K515,$U$23:$AL$23,0),FALSE)</f>
        <v>#N/A</v>
      </c>
      <c r="I515" s="1" t="str">
        <f>MID(A515,1,1)</f>
        <v/>
      </c>
      <c r="J515" s="1" t="str">
        <f>MID(A515,2,1)</f>
        <v/>
      </c>
      <c r="K515" s="1" t="str">
        <f>MID(A515,4,1)</f>
        <v/>
      </c>
      <c r="L515" s="1" t="e">
        <f>VLOOKUP(I515,$U:$V,2,0)</f>
        <v>#N/A</v>
      </c>
      <c r="M515" s="1" t="e">
        <f>VLOOKUP(J515,$X:$Y,2,0)</f>
        <v>#N/A</v>
      </c>
      <c r="N515" s="1" t="e">
        <f>VLOOKUP(K515,$AA:$AB,2,0)</f>
        <v>#N/A</v>
      </c>
      <c r="O515" s="1">
        <f>IF(A515&lt;&gt;"",N515+M515+L515+F515+G515+H515,0)</f>
        <v>0</v>
      </c>
    </row>
    <row r="516" spans="1:15" x14ac:dyDescent="0.25">
      <c r="A516"/>
      <c r="B516"/>
      <c r="C516" s="1" t="str">
        <f>MID(A516,1,2)</f>
        <v/>
      </c>
      <c r="D516" s="1" t="str">
        <f>MID(B516,3,2)</f>
        <v/>
      </c>
      <c r="E516" s="1" t="str">
        <f>CONCATENATE(I516,K516)</f>
        <v/>
      </c>
      <c r="F516" s="1" t="e">
        <f>VLOOKUP(I516,$U$23:$AL$40,MATCH(J516,$U$23:$AL$23,0),FALSE)</f>
        <v>#N/A</v>
      </c>
      <c r="G516" s="1" t="e">
        <f>VLOOKUP(J516,$U$23:$AL$40,MATCH(K516,$U$23:$AL$23,0),FALSE)</f>
        <v>#N/A</v>
      </c>
      <c r="H516" s="1" t="e">
        <f>VLOOKUP(I516,$U$23:$AL$40,MATCH(K516,$U$23:$AL$23,0),FALSE)</f>
        <v>#N/A</v>
      </c>
      <c r="I516" s="1" t="str">
        <f>MID(A516,1,1)</f>
        <v/>
      </c>
      <c r="J516" s="1" t="str">
        <f>MID(A516,2,1)</f>
        <v/>
      </c>
      <c r="K516" s="1" t="str">
        <f>MID(A516,4,1)</f>
        <v/>
      </c>
      <c r="L516" s="1" t="e">
        <f>VLOOKUP(I516,$U:$V,2,0)</f>
        <v>#N/A</v>
      </c>
      <c r="M516" s="1" t="e">
        <f>VLOOKUP(J516,$X:$Y,2,0)</f>
        <v>#N/A</v>
      </c>
      <c r="N516" s="1" t="e">
        <f>VLOOKUP(K516,$AA:$AB,2,0)</f>
        <v>#N/A</v>
      </c>
      <c r="O516" s="1">
        <f>IF(A516&lt;&gt;"",N516+M516+L516+F516+G516+H516,0)</f>
        <v>0</v>
      </c>
    </row>
    <row r="517" spans="1:15" x14ac:dyDescent="0.25">
      <c r="A517"/>
      <c r="B517"/>
      <c r="C517" s="1" t="str">
        <f>MID(A517,1,2)</f>
        <v/>
      </c>
      <c r="D517" s="1" t="str">
        <f>MID(B517,3,2)</f>
        <v/>
      </c>
      <c r="E517" s="1" t="str">
        <f>CONCATENATE(I517,K517)</f>
        <v/>
      </c>
      <c r="F517" s="1" t="e">
        <f>VLOOKUP(I517,$U$23:$AL$40,MATCH(J517,$U$23:$AL$23,0),FALSE)</f>
        <v>#N/A</v>
      </c>
      <c r="G517" s="1" t="e">
        <f>VLOOKUP(J517,$U$23:$AL$40,MATCH(K517,$U$23:$AL$23,0),FALSE)</f>
        <v>#N/A</v>
      </c>
      <c r="H517" s="1" t="e">
        <f>VLOOKUP(I517,$U$23:$AL$40,MATCH(K517,$U$23:$AL$23,0),FALSE)</f>
        <v>#N/A</v>
      </c>
      <c r="I517" s="1" t="str">
        <f>MID(A517,1,1)</f>
        <v/>
      </c>
      <c r="J517" s="1" t="str">
        <f>MID(A517,2,1)</f>
        <v/>
      </c>
      <c r="K517" s="1" t="str">
        <f>MID(A517,4,1)</f>
        <v/>
      </c>
      <c r="L517" s="1" t="e">
        <f>VLOOKUP(I517,$U:$V,2,0)</f>
        <v>#N/A</v>
      </c>
      <c r="M517" s="1" t="e">
        <f>VLOOKUP(J517,$X:$Y,2,0)</f>
        <v>#N/A</v>
      </c>
      <c r="N517" s="1" t="e">
        <f>VLOOKUP(K517,$AA:$AB,2,0)</f>
        <v>#N/A</v>
      </c>
      <c r="O517" s="1">
        <f>IF(A517&lt;&gt;"",N517+M517+L517+F517+G517+H517,0)</f>
        <v>0</v>
      </c>
    </row>
    <row r="518" spans="1:15" x14ac:dyDescent="0.25">
      <c r="A518"/>
      <c r="B518"/>
      <c r="C518" s="1" t="str">
        <f>MID(A518,1,2)</f>
        <v/>
      </c>
      <c r="D518" s="1" t="str">
        <f>MID(B518,3,2)</f>
        <v/>
      </c>
      <c r="E518" s="1" t="str">
        <f>CONCATENATE(I518,K518)</f>
        <v/>
      </c>
      <c r="F518" s="1" t="e">
        <f>VLOOKUP(I518,$U$23:$AL$40,MATCH(J518,$U$23:$AL$23,0),FALSE)</f>
        <v>#N/A</v>
      </c>
      <c r="G518" s="1" t="e">
        <f>VLOOKUP(J518,$U$23:$AL$40,MATCH(K518,$U$23:$AL$23,0),FALSE)</f>
        <v>#N/A</v>
      </c>
      <c r="H518" s="1" t="e">
        <f>VLOOKUP(I518,$U$23:$AL$40,MATCH(K518,$U$23:$AL$23,0),FALSE)</f>
        <v>#N/A</v>
      </c>
      <c r="I518" s="1" t="str">
        <f>MID(A518,1,1)</f>
        <v/>
      </c>
      <c r="J518" s="1" t="str">
        <f>MID(A518,2,1)</f>
        <v/>
      </c>
      <c r="K518" s="1" t="str">
        <f>MID(A518,4,1)</f>
        <v/>
      </c>
      <c r="L518" s="1" t="e">
        <f>VLOOKUP(I518,$U:$V,2,0)</f>
        <v>#N/A</v>
      </c>
      <c r="M518" s="1" t="e">
        <f>VLOOKUP(J518,$X:$Y,2,0)</f>
        <v>#N/A</v>
      </c>
      <c r="N518" s="1" t="e">
        <f>VLOOKUP(K518,$AA:$AB,2,0)</f>
        <v>#N/A</v>
      </c>
      <c r="O518" s="1">
        <f>IF(A518&lt;&gt;"",N518+M518+L518+F518+G518+H518,0)</f>
        <v>0</v>
      </c>
    </row>
    <row r="519" spans="1:15" x14ac:dyDescent="0.25">
      <c r="A519"/>
      <c r="B519"/>
      <c r="C519" s="1" t="str">
        <f>MID(A519,1,2)</f>
        <v/>
      </c>
      <c r="D519" s="1" t="str">
        <f>MID(B519,3,2)</f>
        <v/>
      </c>
      <c r="E519" s="1" t="str">
        <f>CONCATENATE(I519,K519)</f>
        <v/>
      </c>
      <c r="F519" s="1" t="e">
        <f>VLOOKUP(I519,$U$23:$AL$40,MATCH(J519,$U$23:$AL$23,0),FALSE)</f>
        <v>#N/A</v>
      </c>
      <c r="G519" s="1" t="e">
        <f>VLOOKUP(J519,$U$23:$AL$40,MATCH(K519,$U$23:$AL$23,0),FALSE)</f>
        <v>#N/A</v>
      </c>
      <c r="H519" s="1" t="e">
        <f>VLOOKUP(I519,$U$23:$AL$40,MATCH(K519,$U$23:$AL$23,0),FALSE)</f>
        <v>#N/A</v>
      </c>
      <c r="I519" s="1" t="str">
        <f>MID(A519,1,1)</f>
        <v/>
      </c>
      <c r="J519" s="1" t="str">
        <f>MID(A519,2,1)</f>
        <v/>
      </c>
      <c r="K519" s="1" t="str">
        <f>MID(A519,4,1)</f>
        <v/>
      </c>
      <c r="L519" s="1" t="e">
        <f>VLOOKUP(I519,$U:$V,2,0)</f>
        <v>#N/A</v>
      </c>
      <c r="M519" s="1" t="e">
        <f>VLOOKUP(J519,$X:$Y,2,0)</f>
        <v>#N/A</v>
      </c>
      <c r="N519" s="1" t="e">
        <f>VLOOKUP(K519,$AA:$AB,2,0)</f>
        <v>#N/A</v>
      </c>
      <c r="O519" s="1">
        <f>IF(A519&lt;&gt;"",N519+M519+L519+F519+G519+H519,0)</f>
        <v>0</v>
      </c>
    </row>
    <row r="520" spans="1:15" x14ac:dyDescent="0.25">
      <c r="A520"/>
      <c r="B520"/>
      <c r="C520" s="1" t="str">
        <f>MID(A520,1,2)</f>
        <v/>
      </c>
      <c r="D520" s="1" t="str">
        <f>MID(B520,3,2)</f>
        <v/>
      </c>
      <c r="E520" s="1" t="str">
        <f>CONCATENATE(I520,K520)</f>
        <v/>
      </c>
      <c r="F520" s="1" t="e">
        <f>VLOOKUP(I520,$U$23:$AL$40,MATCH(J520,$U$23:$AL$23,0),FALSE)</f>
        <v>#N/A</v>
      </c>
      <c r="G520" s="1" t="e">
        <f>VLOOKUP(J520,$U$23:$AL$40,MATCH(K520,$U$23:$AL$23,0),FALSE)</f>
        <v>#N/A</v>
      </c>
      <c r="H520" s="1" t="e">
        <f>VLOOKUP(I520,$U$23:$AL$40,MATCH(K520,$U$23:$AL$23,0),FALSE)</f>
        <v>#N/A</v>
      </c>
      <c r="I520" s="1" t="str">
        <f>MID(A520,1,1)</f>
        <v/>
      </c>
      <c r="J520" s="1" t="str">
        <f>MID(A520,2,1)</f>
        <v/>
      </c>
      <c r="K520" s="1" t="str">
        <f>MID(A520,4,1)</f>
        <v/>
      </c>
      <c r="L520" s="1" t="e">
        <f>VLOOKUP(I520,$U:$V,2,0)</f>
        <v>#N/A</v>
      </c>
      <c r="M520" s="1" t="e">
        <f>VLOOKUP(J520,$X:$Y,2,0)</f>
        <v>#N/A</v>
      </c>
      <c r="N520" s="1" t="e">
        <f>VLOOKUP(K520,$AA:$AB,2,0)</f>
        <v>#N/A</v>
      </c>
      <c r="O520" s="1">
        <f>IF(A520&lt;&gt;"",N520+M520+L520+F520+G520+H520,0)</f>
        <v>0</v>
      </c>
    </row>
    <row r="521" spans="1:15" x14ac:dyDescent="0.25">
      <c r="A521"/>
      <c r="B521"/>
      <c r="C521" s="1" t="str">
        <f>MID(A521,1,2)</f>
        <v/>
      </c>
      <c r="D521" s="1" t="str">
        <f>MID(B521,3,2)</f>
        <v/>
      </c>
      <c r="E521" s="1" t="str">
        <f>CONCATENATE(I521,K521)</f>
        <v/>
      </c>
      <c r="F521" s="1" t="e">
        <f>VLOOKUP(I521,$U$23:$AL$40,MATCH(J521,$U$23:$AL$23,0),FALSE)</f>
        <v>#N/A</v>
      </c>
      <c r="G521" s="1" t="e">
        <f>VLOOKUP(J521,$U$23:$AL$40,MATCH(K521,$U$23:$AL$23,0),FALSE)</f>
        <v>#N/A</v>
      </c>
      <c r="H521" s="1" t="e">
        <f>VLOOKUP(I521,$U$23:$AL$40,MATCH(K521,$U$23:$AL$23,0),FALSE)</f>
        <v>#N/A</v>
      </c>
      <c r="I521" s="1" t="str">
        <f>MID(A521,1,1)</f>
        <v/>
      </c>
      <c r="J521" s="1" t="str">
        <f>MID(A521,2,1)</f>
        <v/>
      </c>
      <c r="K521" s="1" t="str">
        <f>MID(A521,4,1)</f>
        <v/>
      </c>
      <c r="L521" s="1" t="e">
        <f>VLOOKUP(I521,$U:$V,2,0)</f>
        <v>#N/A</v>
      </c>
      <c r="M521" s="1" t="e">
        <f>VLOOKUP(J521,$X:$Y,2,0)</f>
        <v>#N/A</v>
      </c>
      <c r="N521" s="1" t="e">
        <f>VLOOKUP(K521,$AA:$AB,2,0)</f>
        <v>#N/A</v>
      </c>
      <c r="O521" s="1">
        <f>IF(A521&lt;&gt;"",N521+M521+L521+F521+G521+H521,0)</f>
        <v>0</v>
      </c>
    </row>
    <row r="522" spans="1:15" x14ac:dyDescent="0.25">
      <c r="A522"/>
      <c r="B522"/>
      <c r="C522" s="1" t="str">
        <f>MID(A522,1,2)</f>
        <v/>
      </c>
      <c r="D522" s="1" t="str">
        <f>MID(B522,3,2)</f>
        <v/>
      </c>
      <c r="E522" s="1" t="str">
        <f>CONCATENATE(I522,K522)</f>
        <v/>
      </c>
      <c r="F522" s="1" t="e">
        <f>VLOOKUP(I522,$U$23:$AL$40,MATCH(J522,$U$23:$AL$23,0),FALSE)</f>
        <v>#N/A</v>
      </c>
      <c r="G522" s="1" t="e">
        <f>VLOOKUP(J522,$U$23:$AL$40,MATCH(K522,$U$23:$AL$23,0),FALSE)</f>
        <v>#N/A</v>
      </c>
      <c r="H522" s="1" t="e">
        <f>VLOOKUP(I522,$U$23:$AL$40,MATCH(K522,$U$23:$AL$23,0),FALSE)</f>
        <v>#N/A</v>
      </c>
      <c r="I522" s="1" t="str">
        <f>MID(A522,1,1)</f>
        <v/>
      </c>
      <c r="J522" s="1" t="str">
        <f>MID(A522,2,1)</f>
        <v/>
      </c>
      <c r="K522" s="1" t="str">
        <f>MID(A522,4,1)</f>
        <v/>
      </c>
      <c r="L522" s="1" t="e">
        <f>VLOOKUP(I522,$U:$V,2,0)</f>
        <v>#N/A</v>
      </c>
      <c r="M522" s="1" t="e">
        <f>VLOOKUP(J522,$X:$Y,2,0)</f>
        <v>#N/A</v>
      </c>
      <c r="N522" s="1" t="e">
        <f>VLOOKUP(K522,$AA:$AB,2,0)</f>
        <v>#N/A</v>
      </c>
      <c r="O522" s="1">
        <f>IF(A522&lt;&gt;"",N522+M522+L522+F522+G522+H522,0)</f>
        <v>0</v>
      </c>
    </row>
    <row r="523" spans="1:15" x14ac:dyDescent="0.25">
      <c r="A523"/>
      <c r="B523"/>
      <c r="C523" s="1" t="str">
        <f>MID(A523,1,2)</f>
        <v/>
      </c>
      <c r="D523" s="1" t="str">
        <f>MID(B523,3,2)</f>
        <v/>
      </c>
      <c r="E523" s="1" t="str">
        <f>CONCATENATE(I523,K523)</f>
        <v/>
      </c>
      <c r="F523" s="1" t="e">
        <f>VLOOKUP(I523,$U$23:$AL$40,MATCH(J523,$U$23:$AL$23,0),FALSE)</f>
        <v>#N/A</v>
      </c>
      <c r="G523" s="1" t="e">
        <f>VLOOKUP(J523,$U$23:$AL$40,MATCH(K523,$U$23:$AL$23,0),FALSE)</f>
        <v>#N/A</v>
      </c>
      <c r="H523" s="1" t="e">
        <f>VLOOKUP(I523,$U$23:$AL$40,MATCH(K523,$U$23:$AL$23,0),FALSE)</f>
        <v>#N/A</v>
      </c>
      <c r="I523" s="1" t="str">
        <f>MID(A523,1,1)</f>
        <v/>
      </c>
      <c r="J523" s="1" t="str">
        <f>MID(A523,2,1)</f>
        <v/>
      </c>
      <c r="K523" s="1" t="str">
        <f>MID(A523,4,1)</f>
        <v/>
      </c>
      <c r="L523" s="1" t="e">
        <f>VLOOKUP(I523,$U:$V,2,0)</f>
        <v>#N/A</v>
      </c>
      <c r="M523" s="1" t="e">
        <f>VLOOKUP(J523,$X:$Y,2,0)</f>
        <v>#N/A</v>
      </c>
      <c r="N523" s="1" t="e">
        <f>VLOOKUP(K523,$AA:$AB,2,0)</f>
        <v>#N/A</v>
      </c>
      <c r="O523" s="1">
        <f>IF(A523&lt;&gt;"",N523+M523+L523+F523+G523+H523,0)</f>
        <v>0</v>
      </c>
    </row>
    <row r="524" spans="1:15" x14ac:dyDescent="0.25">
      <c r="A524"/>
      <c r="B524"/>
      <c r="C524" s="1" t="str">
        <f>MID(A524,1,2)</f>
        <v/>
      </c>
      <c r="D524" s="1" t="str">
        <f>MID(B524,3,2)</f>
        <v/>
      </c>
      <c r="E524" s="1" t="str">
        <f>CONCATENATE(I524,K524)</f>
        <v/>
      </c>
      <c r="F524" s="1" t="e">
        <f>VLOOKUP(I524,$U$23:$AL$40,MATCH(J524,$U$23:$AL$23,0),FALSE)</f>
        <v>#N/A</v>
      </c>
      <c r="G524" s="1" t="e">
        <f>VLOOKUP(J524,$U$23:$AL$40,MATCH(K524,$U$23:$AL$23,0),FALSE)</f>
        <v>#N/A</v>
      </c>
      <c r="H524" s="1" t="e">
        <f>VLOOKUP(I524,$U$23:$AL$40,MATCH(K524,$U$23:$AL$23,0),FALSE)</f>
        <v>#N/A</v>
      </c>
      <c r="I524" s="1" t="str">
        <f>MID(A524,1,1)</f>
        <v/>
      </c>
      <c r="J524" s="1" t="str">
        <f>MID(A524,2,1)</f>
        <v/>
      </c>
      <c r="K524" s="1" t="str">
        <f>MID(A524,4,1)</f>
        <v/>
      </c>
      <c r="L524" s="1" t="e">
        <f>VLOOKUP(I524,$U:$V,2,0)</f>
        <v>#N/A</v>
      </c>
      <c r="M524" s="1" t="e">
        <f>VLOOKUP(J524,$X:$Y,2,0)</f>
        <v>#N/A</v>
      </c>
      <c r="N524" s="1" t="e">
        <f>VLOOKUP(K524,$AA:$AB,2,0)</f>
        <v>#N/A</v>
      </c>
      <c r="O524" s="1">
        <f>IF(A524&lt;&gt;"",N524+M524+L524+F524+G524+H524,0)</f>
        <v>0</v>
      </c>
    </row>
    <row r="525" spans="1:15" x14ac:dyDescent="0.25">
      <c r="A525"/>
      <c r="B525"/>
      <c r="C525" s="1" t="str">
        <f>MID(A525,1,2)</f>
        <v/>
      </c>
      <c r="D525" s="1" t="str">
        <f>MID(B525,3,2)</f>
        <v/>
      </c>
      <c r="E525" s="1" t="str">
        <f>CONCATENATE(I525,K525)</f>
        <v/>
      </c>
      <c r="F525" s="1" t="e">
        <f>VLOOKUP(I525,$U$23:$AL$40,MATCH(J525,$U$23:$AL$23,0),FALSE)</f>
        <v>#N/A</v>
      </c>
      <c r="G525" s="1" t="e">
        <f>VLOOKUP(J525,$U$23:$AL$40,MATCH(K525,$U$23:$AL$23,0),FALSE)</f>
        <v>#N/A</v>
      </c>
      <c r="H525" s="1" t="e">
        <f>VLOOKUP(I525,$U$23:$AL$40,MATCH(K525,$U$23:$AL$23,0),FALSE)</f>
        <v>#N/A</v>
      </c>
      <c r="I525" s="1" t="str">
        <f>MID(A525,1,1)</f>
        <v/>
      </c>
      <c r="J525" s="1" t="str">
        <f>MID(A525,2,1)</f>
        <v/>
      </c>
      <c r="K525" s="1" t="str">
        <f>MID(A525,4,1)</f>
        <v/>
      </c>
      <c r="L525" s="1" t="e">
        <f>VLOOKUP(I525,$U:$V,2,0)</f>
        <v>#N/A</v>
      </c>
      <c r="M525" s="1" t="e">
        <f>VLOOKUP(J525,$X:$Y,2,0)</f>
        <v>#N/A</v>
      </c>
      <c r="N525" s="1" t="e">
        <f>VLOOKUP(K525,$AA:$AB,2,0)</f>
        <v>#N/A</v>
      </c>
      <c r="O525" s="1">
        <f>IF(A525&lt;&gt;"",N525+M525+L525+F525+G525+H525,0)</f>
        <v>0</v>
      </c>
    </row>
    <row r="526" spans="1:15" x14ac:dyDescent="0.25">
      <c r="A526"/>
      <c r="B526"/>
      <c r="C526" s="1" t="str">
        <f>MID(A526,1,2)</f>
        <v/>
      </c>
      <c r="D526" s="1" t="str">
        <f>MID(B526,3,2)</f>
        <v/>
      </c>
      <c r="E526" s="1" t="str">
        <f>CONCATENATE(I526,K526)</f>
        <v/>
      </c>
      <c r="F526" s="1" t="e">
        <f>VLOOKUP(I526,$U$23:$AL$40,MATCH(J526,$U$23:$AL$23,0),FALSE)</f>
        <v>#N/A</v>
      </c>
      <c r="G526" s="1" t="e">
        <f>VLOOKUP(J526,$U$23:$AL$40,MATCH(K526,$U$23:$AL$23,0),FALSE)</f>
        <v>#N/A</v>
      </c>
      <c r="H526" s="1" t="e">
        <f>VLOOKUP(I526,$U$23:$AL$40,MATCH(K526,$U$23:$AL$23,0),FALSE)</f>
        <v>#N/A</v>
      </c>
      <c r="I526" s="1" t="str">
        <f>MID(A526,1,1)</f>
        <v/>
      </c>
      <c r="J526" s="1" t="str">
        <f>MID(A526,2,1)</f>
        <v/>
      </c>
      <c r="K526" s="1" t="str">
        <f>MID(A526,4,1)</f>
        <v/>
      </c>
      <c r="L526" s="1" t="e">
        <f>VLOOKUP(I526,$U:$V,2,0)</f>
        <v>#N/A</v>
      </c>
      <c r="M526" s="1" t="e">
        <f>VLOOKUP(J526,$X:$Y,2,0)</f>
        <v>#N/A</v>
      </c>
      <c r="N526" s="1" t="e">
        <f>VLOOKUP(K526,$AA:$AB,2,0)</f>
        <v>#N/A</v>
      </c>
      <c r="O526" s="1">
        <f>IF(A526&lt;&gt;"",N526+M526+L526+F526+G526+H526,0)</f>
        <v>0</v>
      </c>
    </row>
    <row r="527" spans="1:15" x14ac:dyDescent="0.25">
      <c r="A527"/>
      <c r="B527"/>
      <c r="C527" s="1" t="str">
        <f>MID(A527,1,2)</f>
        <v/>
      </c>
      <c r="D527" s="1" t="str">
        <f>MID(B527,3,2)</f>
        <v/>
      </c>
      <c r="E527" s="1" t="str">
        <f>CONCATENATE(I527,K527)</f>
        <v/>
      </c>
      <c r="F527" s="1" t="e">
        <f>VLOOKUP(I527,$U$23:$AL$40,MATCH(J527,$U$23:$AL$23,0),FALSE)</f>
        <v>#N/A</v>
      </c>
      <c r="G527" s="1" t="e">
        <f>VLOOKUP(J527,$U$23:$AL$40,MATCH(K527,$U$23:$AL$23,0),FALSE)</f>
        <v>#N/A</v>
      </c>
      <c r="H527" s="1" t="e">
        <f>VLOOKUP(I527,$U$23:$AL$40,MATCH(K527,$U$23:$AL$23,0),FALSE)</f>
        <v>#N/A</v>
      </c>
      <c r="I527" s="1" t="str">
        <f>MID(A527,1,1)</f>
        <v/>
      </c>
      <c r="J527" s="1" t="str">
        <f>MID(A527,2,1)</f>
        <v/>
      </c>
      <c r="K527" s="1" t="str">
        <f>MID(A527,4,1)</f>
        <v/>
      </c>
      <c r="L527" s="1" t="e">
        <f>VLOOKUP(I527,$U:$V,2,0)</f>
        <v>#N/A</v>
      </c>
      <c r="M527" s="1" t="e">
        <f>VLOOKUP(J527,$X:$Y,2,0)</f>
        <v>#N/A</v>
      </c>
      <c r="N527" s="1" t="e">
        <f>VLOOKUP(K527,$AA:$AB,2,0)</f>
        <v>#N/A</v>
      </c>
      <c r="O527" s="1">
        <f>IF(A527&lt;&gt;"",N527+M527+L527+F527+G527+H527,0)</f>
        <v>0</v>
      </c>
    </row>
    <row r="528" spans="1:15" x14ac:dyDescent="0.25">
      <c r="A528"/>
      <c r="B528"/>
      <c r="C528" s="1" t="str">
        <f>MID(A528,1,2)</f>
        <v/>
      </c>
      <c r="D528" s="1" t="str">
        <f>MID(B528,3,2)</f>
        <v/>
      </c>
      <c r="E528" s="1" t="str">
        <f>CONCATENATE(I528,K528)</f>
        <v/>
      </c>
      <c r="F528" s="1" t="e">
        <f>VLOOKUP(I528,$U$23:$AL$40,MATCH(J528,$U$23:$AL$23,0),FALSE)</f>
        <v>#N/A</v>
      </c>
      <c r="G528" s="1" t="e">
        <f>VLOOKUP(J528,$U$23:$AL$40,MATCH(K528,$U$23:$AL$23,0),FALSE)</f>
        <v>#N/A</v>
      </c>
      <c r="H528" s="1" t="e">
        <f>VLOOKUP(I528,$U$23:$AL$40,MATCH(K528,$U$23:$AL$23,0),FALSE)</f>
        <v>#N/A</v>
      </c>
      <c r="I528" s="1" t="str">
        <f>MID(A528,1,1)</f>
        <v/>
      </c>
      <c r="J528" s="1" t="str">
        <f>MID(A528,2,1)</f>
        <v/>
      </c>
      <c r="K528" s="1" t="str">
        <f>MID(A528,4,1)</f>
        <v/>
      </c>
      <c r="L528" s="1" t="e">
        <f>VLOOKUP(I528,$U:$V,2,0)</f>
        <v>#N/A</v>
      </c>
      <c r="M528" s="1" t="e">
        <f>VLOOKUP(J528,$X:$Y,2,0)</f>
        <v>#N/A</v>
      </c>
      <c r="N528" s="1" t="e">
        <f>VLOOKUP(K528,$AA:$AB,2,0)</f>
        <v>#N/A</v>
      </c>
      <c r="O528" s="1">
        <f>IF(A528&lt;&gt;"",N528+M528+L528+F528+G528+H528,0)</f>
        <v>0</v>
      </c>
    </row>
    <row r="529" spans="1:15" x14ac:dyDescent="0.25">
      <c r="A529"/>
      <c r="B529"/>
      <c r="C529" s="1" t="str">
        <f>MID(A529,1,2)</f>
        <v/>
      </c>
      <c r="D529" s="1" t="str">
        <f>MID(B529,3,2)</f>
        <v/>
      </c>
      <c r="E529" s="1" t="str">
        <f>CONCATENATE(I529,K529)</f>
        <v/>
      </c>
      <c r="F529" s="1" t="e">
        <f>VLOOKUP(I529,$U$23:$AL$40,MATCH(J529,$U$23:$AL$23,0),FALSE)</f>
        <v>#N/A</v>
      </c>
      <c r="G529" s="1" t="e">
        <f>VLOOKUP(J529,$U$23:$AL$40,MATCH(K529,$U$23:$AL$23,0),FALSE)</f>
        <v>#N/A</v>
      </c>
      <c r="H529" s="1" t="e">
        <f>VLOOKUP(I529,$U$23:$AL$40,MATCH(K529,$U$23:$AL$23,0),FALSE)</f>
        <v>#N/A</v>
      </c>
      <c r="I529" s="1" t="str">
        <f>MID(A529,1,1)</f>
        <v/>
      </c>
      <c r="J529" s="1" t="str">
        <f>MID(A529,2,1)</f>
        <v/>
      </c>
      <c r="K529" s="1" t="str">
        <f>MID(A529,4,1)</f>
        <v/>
      </c>
      <c r="L529" s="1" t="e">
        <f>VLOOKUP(I529,$U:$V,2,0)</f>
        <v>#N/A</v>
      </c>
      <c r="M529" s="1" t="e">
        <f>VLOOKUP(J529,$X:$Y,2,0)</f>
        <v>#N/A</v>
      </c>
      <c r="N529" s="1" t="e">
        <f>VLOOKUP(K529,$AA:$AB,2,0)</f>
        <v>#N/A</v>
      </c>
      <c r="O529" s="1">
        <f>IF(A529&lt;&gt;"",N529+M529+L529+F529+G529+H529,0)</f>
        <v>0</v>
      </c>
    </row>
    <row r="530" spans="1:15" x14ac:dyDescent="0.25">
      <c r="A530"/>
      <c r="B530"/>
      <c r="C530" s="1" t="str">
        <f>MID(A530,1,2)</f>
        <v/>
      </c>
      <c r="D530" s="1" t="str">
        <f>MID(B530,3,2)</f>
        <v/>
      </c>
      <c r="E530" s="1" t="str">
        <f>CONCATENATE(I530,K530)</f>
        <v/>
      </c>
      <c r="F530" s="1" t="e">
        <f>VLOOKUP(I530,$U$23:$AL$40,MATCH(J530,$U$23:$AL$23,0),FALSE)</f>
        <v>#N/A</v>
      </c>
      <c r="G530" s="1" t="e">
        <f>VLOOKUP(J530,$U$23:$AL$40,MATCH(K530,$U$23:$AL$23,0),FALSE)</f>
        <v>#N/A</v>
      </c>
      <c r="H530" s="1" t="e">
        <f>VLOOKUP(I530,$U$23:$AL$40,MATCH(K530,$U$23:$AL$23,0),FALSE)</f>
        <v>#N/A</v>
      </c>
      <c r="I530" s="1" t="str">
        <f>MID(A530,1,1)</f>
        <v/>
      </c>
      <c r="J530" s="1" t="str">
        <f>MID(A530,2,1)</f>
        <v/>
      </c>
      <c r="K530" s="1" t="str">
        <f>MID(A530,4,1)</f>
        <v/>
      </c>
      <c r="L530" s="1" t="e">
        <f>VLOOKUP(I530,$U:$V,2,0)</f>
        <v>#N/A</v>
      </c>
      <c r="M530" s="1" t="e">
        <f>VLOOKUP(J530,$X:$Y,2,0)</f>
        <v>#N/A</v>
      </c>
      <c r="N530" s="1" t="e">
        <f>VLOOKUP(K530,$AA:$AB,2,0)</f>
        <v>#N/A</v>
      </c>
      <c r="O530" s="1">
        <f>IF(A530&lt;&gt;"",N530+M530+L530+F530+G530+H530,0)</f>
        <v>0</v>
      </c>
    </row>
    <row r="531" spans="1:15" x14ac:dyDescent="0.25">
      <c r="A531"/>
      <c r="B531"/>
      <c r="C531" s="1" t="str">
        <f>MID(A531,1,2)</f>
        <v/>
      </c>
      <c r="D531" s="1" t="str">
        <f>MID(B531,3,2)</f>
        <v/>
      </c>
      <c r="E531" s="1" t="str">
        <f>CONCATENATE(I531,K531)</f>
        <v/>
      </c>
      <c r="F531" s="1" t="e">
        <f>VLOOKUP(I531,$U$23:$AL$40,MATCH(J531,$U$23:$AL$23,0),FALSE)</f>
        <v>#N/A</v>
      </c>
      <c r="G531" s="1" t="e">
        <f>VLOOKUP(J531,$U$23:$AL$40,MATCH(K531,$U$23:$AL$23,0),FALSE)</f>
        <v>#N/A</v>
      </c>
      <c r="H531" s="1" t="e">
        <f>VLOOKUP(I531,$U$23:$AL$40,MATCH(K531,$U$23:$AL$23,0),FALSE)</f>
        <v>#N/A</v>
      </c>
      <c r="I531" s="1" t="str">
        <f>MID(A531,1,1)</f>
        <v/>
      </c>
      <c r="J531" s="1" t="str">
        <f>MID(A531,2,1)</f>
        <v/>
      </c>
      <c r="K531" s="1" t="str">
        <f>MID(A531,4,1)</f>
        <v/>
      </c>
      <c r="L531" s="1" t="e">
        <f>VLOOKUP(I531,$U:$V,2,0)</f>
        <v>#N/A</v>
      </c>
      <c r="M531" s="1" t="e">
        <f>VLOOKUP(J531,$X:$Y,2,0)</f>
        <v>#N/A</v>
      </c>
      <c r="N531" s="1" t="e">
        <f>VLOOKUP(K531,$AA:$AB,2,0)</f>
        <v>#N/A</v>
      </c>
      <c r="O531" s="1">
        <f>IF(A531&lt;&gt;"",N531+M531+L531+F531+G531+H531,0)</f>
        <v>0</v>
      </c>
    </row>
    <row r="532" spans="1:15" x14ac:dyDescent="0.25">
      <c r="A532"/>
      <c r="B532"/>
      <c r="C532" s="1" t="str">
        <f>MID(A532,1,2)</f>
        <v/>
      </c>
      <c r="D532" s="1" t="str">
        <f>MID(B532,3,2)</f>
        <v/>
      </c>
      <c r="E532" s="1" t="str">
        <f>CONCATENATE(I532,K532)</f>
        <v/>
      </c>
      <c r="F532" s="1" t="e">
        <f>VLOOKUP(I532,$U$23:$AL$40,MATCH(J532,$U$23:$AL$23,0),FALSE)</f>
        <v>#N/A</v>
      </c>
      <c r="G532" s="1" t="e">
        <f>VLOOKUP(J532,$U$23:$AL$40,MATCH(K532,$U$23:$AL$23,0),FALSE)</f>
        <v>#N/A</v>
      </c>
      <c r="H532" s="1" t="e">
        <f>VLOOKUP(I532,$U$23:$AL$40,MATCH(K532,$U$23:$AL$23,0),FALSE)</f>
        <v>#N/A</v>
      </c>
      <c r="I532" s="1" t="str">
        <f>MID(A532,1,1)</f>
        <v/>
      </c>
      <c r="J532" s="1" t="str">
        <f>MID(A532,2,1)</f>
        <v/>
      </c>
      <c r="K532" s="1" t="str">
        <f>MID(A532,4,1)</f>
        <v/>
      </c>
      <c r="L532" s="1" t="e">
        <f>VLOOKUP(I532,$U:$V,2,0)</f>
        <v>#N/A</v>
      </c>
      <c r="M532" s="1" t="e">
        <f>VLOOKUP(J532,$X:$Y,2,0)</f>
        <v>#N/A</v>
      </c>
      <c r="N532" s="1" t="e">
        <f>VLOOKUP(K532,$AA:$AB,2,0)</f>
        <v>#N/A</v>
      </c>
      <c r="O532" s="1">
        <f>IF(A532&lt;&gt;"",N532+M532+L532+F532+G532+H532,0)</f>
        <v>0</v>
      </c>
    </row>
    <row r="533" spans="1:15" x14ac:dyDescent="0.25">
      <c r="A533"/>
      <c r="B533"/>
      <c r="C533" s="1" t="str">
        <f>MID(A533,1,2)</f>
        <v/>
      </c>
      <c r="D533" s="1" t="str">
        <f>MID(B533,3,2)</f>
        <v/>
      </c>
      <c r="E533" s="1" t="str">
        <f>CONCATENATE(I533,K533)</f>
        <v/>
      </c>
      <c r="F533" s="1" t="e">
        <f>VLOOKUP(I533,$U$23:$AL$40,MATCH(J533,$U$23:$AL$23,0),FALSE)</f>
        <v>#N/A</v>
      </c>
      <c r="G533" s="1" t="e">
        <f>VLOOKUP(J533,$U$23:$AL$40,MATCH(K533,$U$23:$AL$23,0),FALSE)</f>
        <v>#N/A</v>
      </c>
      <c r="H533" s="1" t="e">
        <f>VLOOKUP(I533,$U$23:$AL$40,MATCH(K533,$U$23:$AL$23,0),FALSE)</f>
        <v>#N/A</v>
      </c>
      <c r="I533" s="1" t="str">
        <f>MID(A533,1,1)</f>
        <v/>
      </c>
      <c r="J533" s="1" t="str">
        <f>MID(A533,2,1)</f>
        <v/>
      </c>
      <c r="K533" s="1" t="str">
        <f>MID(A533,4,1)</f>
        <v/>
      </c>
      <c r="L533" s="1" t="e">
        <f>VLOOKUP(I533,$U:$V,2,0)</f>
        <v>#N/A</v>
      </c>
      <c r="M533" s="1" t="e">
        <f>VLOOKUP(J533,$X:$Y,2,0)</f>
        <v>#N/A</v>
      </c>
      <c r="N533" s="1" t="e">
        <f>VLOOKUP(K533,$AA:$AB,2,0)</f>
        <v>#N/A</v>
      </c>
      <c r="O533" s="1">
        <f>IF(A533&lt;&gt;"",N533+M533+L533+F533+G533+H533,0)</f>
        <v>0</v>
      </c>
    </row>
    <row r="534" spans="1:15" x14ac:dyDescent="0.25">
      <c r="A534"/>
      <c r="B534"/>
      <c r="C534" s="1" t="str">
        <f>MID(A534,1,2)</f>
        <v/>
      </c>
      <c r="D534" s="1" t="str">
        <f>MID(B534,3,2)</f>
        <v/>
      </c>
      <c r="E534" s="1" t="str">
        <f>CONCATENATE(I534,K534)</f>
        <v/>
      </c>
      <c r="F534" s="1" t="e">
        <f>VLOOKUP(I534,$U$23:$AL$40,MATCH(J534,$U$23:$AL$23,0),FALSE)</f>
        <v>#N/A</v>
      </c>
      <c r="G534" s="1" t="e">
        <f>VLOOKUP(J534,$U$23:$AL$40,MATCH(K534,$U$23:$AL$23,0),FALSE)</f>
        <v>#N/A</v>
      </c>
      <c r="H534" s="1" t="e">
        <f>VLOOKUP(I534,$U$23:$AL$40,MATCH(K534,$U$23:$AL$23,0),FALSE)</f>
        <v>#N/A</v>
      </c>
      <c r="I534" s="1" t="str">
        <f>MID(A534,1,1)</f>
        <v/>
      </c>
      <c r="J534" s="1" t="str">
        <f>MID(A534,2,1)</f>
        <v/>
      </c>
      <c r="K534" s="1" t="str">
        <f>MID(A534,4,1)</f>
        <v/>
      </c>
      <c r="L534" s="1" t="e">
        <f>VLOOKUP(I534,$U:$V,2,0)</f>
        <v>#N/A</v>
      </c>
      <c r="M534" s="1" t="e">
        <f>VLOOKUP(J534,$X:$Y,2,0)</f>
        <v>#N/A</v>
      </c>
      <c r="N534" s="1" t="e">
        <f>VLOOKUP(K534,$AA:$AB,2,0)</f>
        <v>#N/A</v>
      </c>
      <c r="O534" s="1">
        <f>IF(A534&lt;&gt;"",N534+M534+L534+F534+G534+H534,0)</f>
        <v>0</v>
      </c>
    </row>
    <row r="535" spans="1:15" x14ac:dyDescent="0.25">
      <c r="A535"/>
      <c r="B535"/>
      <c r="C535" s="1" t="str">
        <f>MID(A535,1,2)</f>
        <v/>
      </c>
      <c r="D535" s="1" t="str">
        <f>MID(B535,3,2)</f>
        <v/>
      </c>
      <c r="E535" s="1" t="str">
        <f>CONCATENATE(I535,K535)</f>
        <v/>
      </c>
      <c r="F535" s="1" t="e">
        <f>VLOOKUP(I535,$U$23:$AL$40,MATCH(J535,$U$23:$AL$23,0),FALSE)</f>
        <v>#N/A</v>
      </c>
      <c r="G535" s="1" t="e">
        <f>VLOOKUP(J535,$U$23:$AL$40,MATCH(K535,$U$23:$AL$23,0),FALSE)</f>
        <v>#N/A</v>
      </c>
      <c r="H535" s="1" t="e">
        <f>VLOOKUP(I535,$U$23:$AL$40,MATCH(K535,$U$23:$AL$23,0),FALSE)</f>
        <v>#N/A</v>
      </c>
      <c r="I535" s="1" t="str">
        <f>MID(A535,1,1)</f>
        <v/>
      </c>
      <c r="J535" s="1" t="str">
        <f>MID(A535,2,1)</f>
        <v/>
      </c>
      <c r="K535" s="1" t="str">
        <f>MID(A535,4,1)</f>
        <v/>
      </c>
      <c r="L535" s="1" t="e">
        <f>VLOOKUP(I535,$U:$V,2,0)</f>
        <v>#N/A</v>
      </c>
      <c r="M535" s="1" t="e">
        <f>VLOOKUP(J535,$X:$Y,2,0)</f>
        <v>#N/A</v>
      </c>
      <c r="N535" s="1" t="e">
        <f>VLOOKUP(K535,$AA:$AB,2,0)</f>
        <v>#N/A</v>
      </c>
      <c r="O535" s="1">
        <f>IF(A535&lt;&gt;"",N535+M535+L535+F535+G535+H535,0)</f>
        <v>0</v>
      </c>
    </row>
    <row r="536" spans="1:15" x14ac:dyDescent="0.25">
      <c r="A536"/>
      <c r="B536"/>
      <c r="C536" s="1" t="str">
        <f>MID(A536,1,2)</f>
        <v/>
      </c>
      <c r="D536" s="1" t="str">
        <f>MID(B536,3,2)</f>
        <v/>
      </c>
      <c r="E536" s="1" t="str">
        <f>CONCATENATE(I536,K536)</f>
        <v/>
      </c>
      <c r="F536" s="1" t="e">
        <f>VLOOKUP(I536,$U$23:$AL$40,MATCH(J536,$U$23:$AL$23,0),FALSE)</f>
        <v>#N/A</v>
      </c>
      <c r="G536" s="1" t="e">
        <f>VLOOKUP(J536,$U$23:$AL$40,MATCH(K536,$U$23:$AL$23,0),FALSE)</f>
        <v>#N/A</v>
      </c>
      <c r="H536" s="1" t="e">
        <f>VLOOKUP(I536,$U$23:$AL$40,MATCH(K536,$U$23:$AL$23,0),FALSE)</f>
        <v>#N/A</v>
      </c>
      <c r="I536" s="1" t="str">
        <f>MID(A536,1,1)</f>
        <v/>
      </c>
      <c r="J536" s="1" t="str">
        <f>MID(A536,2,1)</f>
        <v/>
      </c>
      <c r="K536" s="1" t="str">
        <f>MID(A536,4,1)</f>
        <v/>
      </c>
      <c r="L536" s="1" t="e">
        <f>VLOOKUP(I536,$U:$V,2,0)</f>
        <v>#N/A</v>
      </c>
      <c r="M536" s="1" t="e">
        <f>VLOOKUP(J536,$X:$Y,2,0)</f>
        <v>#N/A</v>
      </c>
      <c r="N536" s="1" t="e">
        <f>VLOOKUP(K536,$AA:$AB,2,0)</f>
        <v>#N/A</v>
      </c>
      <c r="O536" s="1">
        <f>IF(A536&lt;&gt;"",N536+M536+L536+F536+G536+H536,0)</f>
        <v>0</v>
      </c>
    </row>
    <row r="537" spans="1:15" x14ac:dyDescent="0.25">
      <c r="A537"/>
      <c r="B537"/>
      <c r="C537" s="1" t="str">
        <f>MID(A537,1,2)</f>
        <v/>
      </c>
      <c r="D537" s="1" t="str">
        <f>MID(B537,3,2)</f>
        <v/>
      </c>
      <c r="E537" s="1" t="str">
        <f>CONCATENATE(I537,K537)</f>
        <v/>
      </c>
      <c r="F537" s="1" t="e">
        <f>VLOOKUP(I537,$U$23:$AL$40,MATCH(J537,$U$23:$AL$23,0),FALSE)</f>
        <v>#N/A</v>
      </c>
      <c r="G537" s="1" t="e">
        <f>VLOOKUP(J537,$U$23:$AL$40,MATCH(K537,$U$23:$AL$23,0),FALSE)</f>
        <v>#N/A</v>
      </c>
      <c r="H537" s="1" t="e">
        <f>VLOOKUP(I537,$U$23:$AL$40,MATCH(K537,$U$23:$AL$23,0),FALSE)</f>
        <v>#N/A</v>
      </c>
      <c r="I537" s="1" t="str">
        <f>MID(A537,1,1)</f>
        <v/>
      </c>
      <c r="J537" s="1" t="str">
        <f>MID(A537,2,1)</f>
        <v/>
      </c>
      <c r="K537" s="1" t="str">
        <f>MID(A537,4,1)</f>
        <v/>
      </c>
      <c r="L537" s="1" t="e">
        <f>VLOOKUP(I537,$U:$V,2,0)</f>
        <v>#N/A</v>
      </c>
      <c r="M537" s="1" t="e">
        <f>VLOOKUP(J537,$X:$Y,2,0)</f>
        <v>#N/A</v>
      </c>
      <c r="N537" s="1" t="e">
        <f>VLOOKUP(K537,$AA:$AB,2,0)</f>
        <v>#N/A</v>
      </c>
      <c r="O537" s="1">
        <f>IF(A537&lt;&gt;"",N537+M537+L537+F537+G537+H537,0)</f>
        <v>0</v>
      </c>
    </row>
    <row r="538" spans="1:15" x14ac:dyDescent="0.25">
      <c r="A538"/>
      <c r="B538"/>
      <c r="C538" s="1" t="str">
        <f>MID(A538,1,2)</f>
        <v/>
      </c>
      <c r="D538" s="1" t="str">
        <f>MID(B538,3,2)</f>
        <v/>
      </c>
      <c r="E538" s="1" t="str">
        <f>CONCATENATE(I538,K538)</f>
        <v/>
      </c>
      <c r="F538" s="1" t="e">
        <f>VLOOKUP(I538,$U$23:$AL$40,MATCH(J538,$U$23:$AL$23,0),FALSE)</f>
        <v>#N/A</v>
      </c>
      <c r="G538" s="1" t="e">
        <f>VLOOKUP(J538,$U$23:$AL$40,MATCH(K538,$U$23:$AL$23,0),FALSE)</f>
        <v>#N/A</v>
      </c>
      <c r="H538" s="1" t="e">
        <f>VLOOKUP(I538,$U$23:$AL$40,MATCH(K538,$U$23:$AL$23,0),FALSE)</f>
        <v>#N/A</v>
      </c>
      <c r="I538" s="1" t="str">
        <f>MID(A538,1,1)</f>
        <v/>
      </c>
      <c r="J538" s="1" t="str">
        <f>MID(A538,2,1)</f>
        <v/>
      </c>
      <c r="K538" s="1" t="str">
        <f>MID(A538,4,1)</f>
        <v/>
      </c>
      <c r="L538" s="1" t="e">
        <f>VLOOKUP(I538,$U:$V,2,0)</f>
        <v>#N/A</v>
      </c>
      <c r="M538" s="1" t="e">
        <f>VLOOKUP(J538,$X:$Y,2,0)</f>
        <v>#N/A</v>
      </c>
      <c r="N538" s="1" t="e">
        <f>VLOOKUP(K538,$AA:$AB,2,0)</f>
        <v>#N/A</v>
      </c>
      <c r="O538" s="1">
        <f>IF(A538&lt;&gt;"",N538+M538+L538+F538+G538+H538,0)</f>
        <v>0</v>
      </c>
    </row>
    <row r="539" spans="1:15" x14ac:dyDescent="0.25">
      <c r="A539"/>
      <c r="B539"/>
      <c r="C539" s="1" t="str">
        <f>MID(A539,1,2)</f>
        <v/>
      </c>
      <c r="D539" s="1" t="str">
        <f>MID(B539,3,2)</f>
        <v/>
      </c>
      <c r="E539" s="1" t="str">
        <f>CONCATENATE(I539,K539)</f>
        <v/>
      </c>
      <c r="F539" s="1" t="e">
        <f>VLOOKUP(I539,$U$23:$AL$40,MATCH(J539,$U$23:$AL$23,0),FALSE)</f>
        <v>#N/A</v>
      </c>
      <c r="G539" s="1" t="e">
        <f>VLOOKUP(J539,$U$23:$AL$40,MATCH(K539,$U$23:$AL$23,0),FALSE)</f>
        <v>#N/A</v>
      </c>
      <c r="H539" s="1" t="e">
        <f>VLOOKUP(I539,$U$23:$AL$40,MATCH(K539,$U$23:$AL$23,0),FALSE)</f>
        <v>#N/A</v>
      </c>
      <c r="I539" s="1" t="str">
        <f>MID(A539,1,1)</f>
        <v/>
      </c>
      <c r="J539" s="1" t="str">
        <f>MID(A539,2,1)</f>
        <v/>
      </c>
      <c r="K539" s="1" t="str">
        <f>MID(A539,4,1)</f>
        <v/>
      </c>
      <c r="L539" s="1" t="e">
        <f>VLOOKUP(I539,$U:$V,2,0)</f>
        <v>#N/A</v>
      </c>
      <c r="M539" s="1" t="e">
        <f>VLOOKUP(J539,$X:$Y,2,0)</f>
        <v>#N/A</v>
      </c>
      <c r="N539" s="1" t="e">
        <f>VLOOKUP(K539,$AA:$AB,2,0)</f>
        <v>#N/A</v>
      </c>
      <c r="O539" s="1">
        <f>IF(A539&lt;&gt;"",N539+M539+L539+F539+G539+H539,0)</f>
        <v>0</v>
      </c>
    </row>
    <row r="540" spans="1:15" x14ac:dyDescent="0.25">
      <c r="A540"/>
      <c r="B540"/>
      <c r="C540" s="1" t="str">
        <f>MID(A540,1,2)</f>
        <v/>
      </c>
      <c r="D540" s="1" t="str">
        <f>MID(B540,3,2)</f>
        <v/>
      </c>
      <c r="E540" s="1" t="str">
        <f>CONCATENATE(I540,K540)</f>
        <v/>
      </c>
      <c r="F540" s="1" t="e">
        <f>VLOOKUP(I540,$U$23:$AL$40,MATCH(J540,$U$23:$AL$23,0),FALSE)</f>
        <v>#N/A</v>
      </c>
      <c r="G540" s="1" t="e">
        <f>VLOOKUP(J540,$U$23:$AL$40,MATCH(K540,$U$23:$AL$23,0),FALSE)</f>
        <v>#N/A</v>
      </c>
      <c r="H540" s="1" t="e">
        <f>VLOOKUP(I540,$U$23:$AL$40,MATCH(K540,$U$23:$AL$23,0),FALSE)</f>
        <v>#N/A</v>
      </c>
      <c r="I540" s="1" t="str">
        <f>MID(A540,1,1)</f>
        <v/>
      </c>
      <c r="J540" s="1" t="str">
        <f>MID(A540,2,1)</f>
        <v/>
      </c>
      <c r="K540" s="1" t="str">
        <f>MID(A540,4,1)</f>
        <v/>
      </c>
      <c r="L540" s="1" t="e">
        <f>VLOOKUP(I540,$U:$V,2,0)</f>
        <v>#N/A</v>
      </c>
      <c r="M540" s="1" t="e">
        <f>VLOOKUP(J540,$X:$Y,2,0)</f>
        <v>#N/A</v>
      </c>
      <c r="N540" s="1" t="e">
        <f>VLOOKUP(K540,$AA:$AB,2,0)</f>
        <v>#N/A</v>
      </c>
      <c r="O540" s="1">
        <f>IF(A540&lt;&gt;"",N540+M540+L540+F540+G540+H540,0)</f>
        <v>0</v>
      </c>
    </row>
    <row r="541" spans="1:15" x14ac:dyDescent="0.25">
      <c r="A541"/>
      <c r="B541"/>
      <c r="C541" s="1" t="str">
        <f>MID(A541,1,2)</f>
        <v/>
      </c>
      <c r="D541" s="1" t="str">
        <f>MID(B541,3,2)</f>
        <v/>
      </c>
      <c r="E541" s="1" t="str">
        <f>CONCATENATE(I541,K541)</f>
        <v/>
      </c>
      <c r="F541" s="1" t="e">
        <f>VLOOKUP(I541,$U$23:$AL$40,MATCH(J541,$U$23:$AL$23,0),FALSE)</f>
        <v>#N/A</v>
      </c>
      <c r="G541" s="1" t="e">
        <f>VLOOKUP(J541,$U$23:$AL$40,MATCH(K541,$U$23:$AL$23,0),FALSE)</f>
        <v>#N/A</v>
      </c>
      <c r="H541" s="1" t="e">
        <f>VLOOKUP(I541,$U$23:$AL$40,MATCH(K541,$U$23:$AL$23,0),FALSE)</f>
        <v>#N/A</v>
      </c>
      <c r="I541" s="1" t="str">
        <f>MID(A541,1,1)</f>
        <v/>
      </c>
      <c r="J541" s="1" t="str">
        <f>MID(A541,2,1)</f>
        <v/>
      </c>
      <c r="K541" s="1" t="str">
        <f>MID(A541,4,1)</f>
        <v/>
      </c>
      <c r="L541" s="1" t="e">
        <f>VLOOKUP(I541,$U:$V,2,0)</f>
        <v>#N/A</v>
      </c>
      <c r="M541" s="1" t="e">
        <f>VLOOKUP(J541,$X:$Y,2,0)</f>
        <v>#N/A</v>
      </c>
      <c r="N541" s="1" t="e">
        <f>VLOOKUP(K541,$AA:$AB,2,0)</f>
        <v>#N/A</v>
      </c>
      <c r="O541" s="1">
        <f>IF(A541&lt;&gt;"",N541+M541+L541+F541+G541+H541,0)</f>
        <v>0</v>
      </c>
    </row>
    <row r="542" spans="1:15" x14ac:dyDescent="0.25">
      <c r="A542"/>
      <c r="B542"/>
      <c r="C542" s="1" t="str">
        <f>MID(A542,1,2)</f>
        <v/>
      </c>
      <c r="D542" s="1" t="str">
        <f>MID(B542,3,2)</f>
        <v/>
      </c>
      <c r="E542" s="1" t="str">
        <f>CONCATENATE(I542,K542)</f>
        <v/>
      </c>
      <c r="F542" s="1" t="e">
        <f>VLOOKUP(I542,$U$23:$AL$40,MATCH(J542,$U$23:$AL$23,0),FALSE)</f>
        <v>#N/A</v>
      </c>
      <c r="G542" s="1" t="e">
        <f>VLOOKUP(J542,$U$23:$AL$40,MATCH(K542,$U$23:$AL$23,0),FALSE)</f>
        <v>#N/A</v>
      </c>
      <c r="H542" s="1" t="e">
        <f>VLOOKUP(I542,$U$23:$AL$40,MATCH(K542,$U$23:$AL$23,0),FALSE)</f>
        <v>#N/A</v>
      </c>
      <c r="I542" s="1" t="str">
        <f>MID(A542,1,1)</f>
        <v/>
      </c>
      <c r="J542" s="1" t="str">
        <f>MID(A542,2,1)</f>
        <v/>
      </c>
      <c r="K542" s="1" t="str">
        <f>MID(A542,4,1)</f>
        <v/>
      </c>
      <c r="L542" s="1" t="e">
        <f>VLOOKUP(I542,$U:$V,2,0)</f>
        <v>#N/A</v>
      </c>
      <c r="M542" s="1" t="e">
        <f>VLOOKUP(J542,$X:$Y,2,0)</f>
        <v>#N/A</v>
      </c>
      <c r="N542" s="1" t="e">
        <f>VLOOKUP(K542,$AA:$AB,2,0)</f>
        <v>#N/A</v>
      </c>
      <c r="O542" s="1">
        <f>IF(A542&lt;&gt;"",N542+M542+L542+F542+G542+H542,0)</f>
        <v>0</v>
      </c>
    </row>
    <row r="543" spans="1:15" x14ac:dyDescent="0.25">
      <c r="A543"/>
      <c r="B543"/>
      <c r="C543" s="1" t="str">
        <f>MID(A543,1,2)</f>
        <v/>
      </c>
      <c r="D543" s="1" t="str">
        <f>MID(B543,3,2)</f>
        <v/>
      </c>
      <c r="E543" s="1" t="str">
        <f>CONCATENATE(I543,K543)</f>
        <v/>
      </c>
      <c r="F543" s="1" t="e">
        <f>VLOOKUP(I543,$U$23:$AL$40,MATCH(J543,$U$23:$AL$23,0),FALSE)</f>
        <v>#N/A</v>
      </c>
      <c r="G543" s="1" t="e">
        <f>VLOOKUP(J543,$U$23:$AL$40,MATCH(K543,$U$23:$AL$23,0),FALSE)</f>
        <v>#N/A</v>
      </c>
      <c r="H543" s="1" t="e">
        <f>VLOOKUP(I543,$U$23:$AL$40,MATCH(K543,$U$23:$AL$23,0),FALSE)</f>
        <v>#N/A</v>
      </c>
      <c r="I543" s="1" t="str">
        <f>MID(A543,1,1)</f>
        <v/>
      </c>
      <c r="J543" s="1" t="str">
        <f>MID(A543,2,1)</f>
        <v/>
      </c>
      <c r="K543" s="1" t="str">
        <f>MID(A543,4,1)</f>
        <v/>
      </c>
      <c r="L543" s="1" t="e">
        <f>VLOOKUP(I543,$U:$V,2,0)</f>
        <v>#N/A</v>
      </c>
      <c r="M543" s="1" t="e">
        <f>VLOOKUP(J543,$X:$Y,2,0)</f>
        <v>#N/A</v>
      </c>
      <c r="N543" s="1" t="e">
        <f>VLOOKUP(K543,$AA:$AB,2,0)</f>
        <v>#N/A</v>
      </c>
      <c r="O543" s="1">
        <f>IF(A543&lt;&gt;"",N543+M543+L543+F543+G543+H543,0)</f>
        <v>0</v>
      </c>
    </row>
    <row r="544" spans="1:15" x14ac:dyDescent="0.25">
      <c r="A544"/>
      <c r="B544"/>
      <c r="C544" s="1" t="str">
        <f>MID(A544,1,2)</f>
        <v/>
      </c>
      <c r="D544" s="1" t="str">
        <f>MID(B544,3,2)</f>
        <v/>
      </c>
      <c r="E544" s="1" t="str">
        <f>CONCATENATE(I544,K544)</f>
        <v/>
      </c>
      <c r="F544" s="1" t="e">
        <f>VLOOKUP(I544,$U$23:$AL$40,MATCH(J544,$U$23:$AL$23,0),FALSE)</f>
        <v>#N/A</v>
      </c>
      <c r="G544" s="1" t="e">
        <f>VLOOKUP(J544,$U$23:$AL$40,MATCH(K544,$U$23:$AL$23,0),FALSE)</f>
        <v>#N/A</v>
      </c>
      <c r="H544" s="1" t="e">
        <f>VLOOKUP(I544,$U$23:$AL$40,MATCH(K544,$U$23:$AL$23,0),FALSE)</f>
        <v>#N/A</v>
      </c>
      <c r="I544" s="1" t="str">
        <f>MID(A544,1,1)</f>
        <v/>
      </c>
      <c r="J544" s="1" t="str">
        <f>MID(A544,2,1)</f>
        <v/>
      </c>
      <c r="K544" s="1" t="str">
        <f>MID(A544,4,1)</f>
        <v/>
      </c>
      <c r="L544" s="1" t="e">
        <f>VLOOKUP(I544,$U:$V,2,0)</f>
        <v>#N/A</v>
      </c>
      <c r="M544" s="1" t="e">
        <f>VLOOKUP(J544,$X:$Y,2,0)</f>
        <v>#N/A</v>
      </c>
      <c r="N544" s="1" t="e">
        <f>VLOOKUP(K544,$AA:$AB,2,0)</f>
        <v>#N/A</v>
      </c>
      <c r="O544" s="1">
        <f>IF(A544&lt;&gt;"",N544+M544+L544+F544+G544+H544,0)</f>
        <v>0</v>
      </c>
    </row>
    <row r="545" spans="1:15" x14ac:dyDescent="0.25">
      <c r="A545"/>
      <c r="B545"/>
      <c r="C545" s="1" t="str">
        <f>MID(A545,1,2)</f>
        <v/>
      </c>
      <c r="D545" s="1" t="str">
        <f>MID(B545,3,2)</f>
        <v/>
      </c>
      <c r="E545" s="1" t="str">
        <f>CONCATENATE(I545,K545)</f>
        <v/>
      </c>
      <c r="F545" s="1" t="e">
        <f>VLOOKUP(I545,$U$23:$AL$40,MATCH(J545,$U$23:$AL$23,0),FALSE)</f>
        <v>#N/A</v>
      </c>
      <c r="G545" s="1" t="e">
        <f>VLOOKUP(J545,$U$23:$AL$40,MATCH(K545,$U$23:$AL$23,0),FALSE)</f>
        <v>#N/A</v>
      </c>
      <c r="H545" s="1" t="e">
        <f>VLOOKUP(I545,$U$23:$AL$40,MATCH(K545,$U$23:$AL$23,0),FALSE)</f>
        <v>#N/A</v>
      </c>
      <c r="I545" s="1" t="str">
        <f>MID(A545,1,1)</f>
        <v/>
      </c>
      <c r="J545" s="1" t="str">
        <f>MID(A545,2,1)</f>
        <v/>
      </c>
      <c r="K545" s="1" t="str">
        <f>MID(A545,4,1)</f>
        <v/>
      </c>
      <c r="L545" s="1" t="e">
        <f>VLOOKUP(I545,$U:$V,2,0)</f>
        <v>#N/A</v>
      </c>
      <c r="M545" s="1" t="e">
        <f>VLOOKUP(J545,$X:$Y,2,0)</f>
        <v>#N/A</v>
      </c>
      <c r="N545" s="1" t="e">
        <f>VLOOKUP(K545,$AA:$AB,2,0)</f>
        <v>#N/A</v>
      </c>
      <c r="O545" s="1">
        <f>IF(A545&lt;&gt;"",N545+M545+L545+F545+G545+H545,0)</f>
        <v>0</v>
      </c>
    </row>
    <row r="546" spans="1:15" x14ac:dyDescent="0.25">
      <c r="A546"/>
      <c r="B546"/>
      <c r="C546" s="1" t="str">
        <f>MID(A546,1,2)</f>
        <v/>
      </c>
      <c r="D546" s="1" t="str">
        <f>MID(B546,3,2)</f>
        <v/>
      </c>
      <c r="E546" s="1" t="str">
        <f>CONCATENATE(I546,K546)</f>
        <v/>
      </c>
      <c r="F546" s="1" t="e">
        <f>VLOOKUP(I546,$U$23:$AL$40,MATCH(J546,$U$23:$AL$23,0),FALSE)</f>
        <v>#N/A</v>
      </c>
      <c r="G546" s="1" t="e">
        <f>VLOOKUP(J546,$U$23:$AL$40,MATCH(K546,$U$23:$AL$23,0),FALSE)</f>
        <v>#N/A</v>
      </c>
      <c r="H546" s="1" t="e">
        <f>VLOOKUP(I546,$U$23:$AL$40,MATCH(K546,$U$23:$AL$23,0),FALSE)</f>
        <v>#N/A</v>
      </c>
      <c r="I546" s="1" t="str">
        <f>MID(A546,1,1)</f>
        <v/>
      </c>
      <c r="J546" s="1" t="str">
        <f>MID(A546,2,1)</f>
        <v/>
      </c>
      <c r="K546" s="1" t="str">
        <f>MID(A546,4,1)</f>
        <v/>
      </c>
      <c r="L546" s="1" t="e">
        <f>VLOOKUP(I546,$U:$V,2,0)</f>
        <v>#N/A</v>
      </c>
      <c r="M546" s="1" t="e">
        <f>VLOOKUP(J546,$X:$Y,2,0)</f>
        <v>#N/A</v>
      </c>
      <c r="N546" s="1" t="e">
        <f>VLOOKUP(K546,$AA:$AB,2,0)</f>
        <v>#N/A</v>
      </c>
      <c r="O546" s="1">
        <f>IF(A546&lt;&gt;"",N546+M546+L546+F546+G546+H546,0)</f>
        <v>0</v>
      </c>
    </row>
    <row r="547" spans="1:15" x14ac:dyDescent="0.25">
      <c r="A547"/>
      <c r="B547"/>
      <c r="C547" s="1" t="str">
        <f>MID(A547,1,2)</f>
        <v/>
      </c>
      <c r="D547" s="1" t="str">
        <f>MID(B547,3,2)</f>
        <v/>
      </c>
      <c r="E547" s="1" t="str">
        <f>CONCATENATE(I547,K547)</f>
        <v/>
      </c>
      <c r="F547" s="1" t="e">
        <f>VLOOKUP(I547,$U$23:$AL$40,MATCH(J547,$U$23:$AL$23,0),FALSE)</f>
        <v>#N/A</v>
      </c>
      <c r="G547" s="1" t="e">
        <f>VLOOKUP(J547,$U$23:$AL$40,MATCH(K547,$U$23:$AL$23,0),FALSE)</f>
        <v>#N/A</v>
      </c>
      <c r="H547" s="1" t="e">
        <f>VLOOKUP(I547,$U$23:$AL$40,MATCH(K547,$U$23:$AL$23,0),FALSE)</f>
        <v>#N/A</v>
      </c>
      <c r="I547" s="1" t="str">
        <f>MID(A547,1,1)</f>
        <v/>
      </c>
      <c r="J547" s="1" t="str">
        <f>MID(A547,2,1)</f>
        <v/>
      </c>
      <c r="K547" s="1" t="str">
        <f>MID(A547,4,1)</f>
        <v/>
      </c>
      <c r="L547" s="1" t="e">
        <f>VLOOKUP(I547,$U:$V,2,0)</f>
        <v>#N/A</v>
      </c>
      <c r="M547" s="1" t="e">
        <f>VLOOKUP(J547,$X:$Y,2,0)</f>
        <v>#N/A</v>
      </c>
      <c r="N547" s="1" t="e">
        <f>VLOOKUP(K547,$AA:$AB,2,0)</f>
        <v>#N/A</v>
      </c>
      <c r="O547" s="1">
        <f>IF(A547&lt;&gt;"",N547+M547+L547+F547+G547+H547,0)</f>
        <v>0</v>
      </c>
    </row>
    <row r="548" spans="1:15" x14ac:dyDescent="0.25">
      <c r="A548"/>
      <c r="B548"/>
      <c r="C548" s="1" t="str">
        <f>MID(A548,1,2)</f>
        <v/>
      </c>
      <c r="D548" s="1" t="str">
        <f>MID(B548,3,2)</f>
        <v/>
      </c>
      <c r="E548" s="1" t="str">
        <f>CONCATENATE(I548,K548)</f>
        <v/>
      </c>
      <c r="F548" s="1" t="e">
        <f>VLOOKUP(I548,$U$23:$AL$40,MATCH(J548,$U$23:$AL$23,0),FALSE)</f>
        <v>#N/A</v>
      </c>
      <c r="G548" s="1" t="e">
        <f>VLOOKUP(J548,$U$23:$AL$40,MATCH(K548,$U$23:$AL$23,0),FALSE)</f>
        <v>#N/A</v>
      </c>
      <c r="H548" s="1" t="e">
        <f>VLOOKUP(I548,$U$23:$AL$40,MATCH(K548,$U$23:$AL$23,0),FALSE)</f>
        <v>#N/A</v>
      </c>
      <c r="I548" s="1" t="str">
        <f>MID(A548,1,1)</f>
        <v/>
      </c>
      <c r="J548" s="1" t="str">
        <f>MID(A548,2,1)</f>
        <v/>
      </c>
      <c r="K548" s="1" t="str">
        <f>MID(A548,4,1)</f>
        <v/>
      </c>
      <c r="L548" s="1" t="e">
        <f>VLOOKUP(I548,$U:$V,2,0)</f>
        <v>#N/A</v>
      </c>
      <c r="M548" s="1" t="e">
        <f>VLOOKUP(J548,$X:$Y,2,0)</f>
        <v>#N/A</v>
      </c>
      <c r="N548" s="1" t="e">
        <f>VLOOKUP(K548,$AA:$AB,2,0)</f>
        <v>#N/A</v>
      </c>
      <c r="O548" s="1">
        <f>IF(A548&lt;&gt;"",N548+M548+L548+F548+G548+H548,0)</f>
        <v>0</v>
      </c>
    </row>
    <row r="549" spans="1:15" x14ac:dyDescent="0.25">
      <c r="A549"/>
      <c r="B549"/>
      <c r="C549" s="1" t="str">
        <f>MID(A549,1,2)</f>
        <v/>
      </c>
      <c r="D549" s="1" t="str">
        <f>MID(B549,3,2)</f>
        <v/>
      </c>
      <c r="E549" s="1" t="str">
        <f>CONCATENATE(I549,K549)</f>
        <v/>
      </c>
      <c r="F549" s="1" t="e">
        <f>VLOOKUP(I549,$U$23:$AL$40,MATCH(J549,$U$23:$AL$23,0),FALSE)</f>
        <v>#N/A</v>
      </c>
      <c r="G549" s="1" t="e">
        <f>VLOOKUP(J549,$U$23:$AL$40,MATCH(K549,$U$23:$AL$23,0),FALSE)</f>
        <v>#N/A</v>
      </c>
      <c r="H549" s="1" t="e">
        <f>VLOOKUP(I549,$U$23:$AL$40,MATCH(K549,$U$23:$AL$23,0),FALSE)</f>
        <v>#N/A</v>
      </c>
      <c r="I549" s="1" t="str">
        <f>MID(A549,1,1)</f>
        <v/>
      </c>
      <c r="J549" s="1" t="str">
        <f>MID(A549,2,1)</f>
        <v/>
      </c>
      <c r="K549" s="1" t="str">
        <f>MID(A549,4,1)</f>
        <v/>
      </c>
      <c r="L549" s="1" t="e">
        <f>VLOOKUP(I549,$U:$V,2,0)</f>
        <v>#N/A</v>
      </c>
      <c r="M549" s="1" t="e">
        <f>VLOOKUP(J549,$X:$Y,2,0)</f>
        <v>#N/A</v>
      </c>
      <c r="N549" s="1" t="e">
        <f>VLOOKUP(K549,$AA:$AB,2,0)</f>
        <v>#N/A</v>
      </c>
      <c r="O549" s="1">
        <f>IF(A549&lt;&gt;"",N549+M549+L549+F549+G549+H549,0)</f>
        <v>0</v>
      </c>
    </row>
    <row r="550" spans="1:15" x14ac:dyDescent="0.25">
      <c r="A550"/>
      <c r="B550"/>
      <c r="C550" s="1" t="str">
        <f>MID(A550,1,2)</f>
        <v/>
      </c>
      <c r="D550" s="1" t="str">
        <f>MID(B550,3,2)</f>
        <v/>
      </c>
      <c r="E550" s="1" t="str">
        <f>CONCATENATE(I550,K550)</f>
        <v/>
      </c>
      <c r="F550" s="1" t="e">
        <f>VLOOKUP(I550,$U$23:$AL$40,MATCH(J550,$U$23:$AL$23,0),FALSE)</f>
        <v>#N/A</v>
      </c>
      <c r="G550" s="1" t="e">
        <f>VLOOKUP(J550,$U$23:$AL$40,MATCH(K550,$U$23:$AL$23,0),FALSE)</f>
        <v>#N/A</v>
      </c>
      <c r="H550" s="1" t="e">
        <f>VLOOKUP(I550,$U$23:$AL$40,MATCH(K550,$U$23:$AL$23,0),FALSE)</f>
        <v>#N/A</v>
      </c>
      <c r="I550" s="1" t="str">
        <f>MID(A550,1,1)</f>
        <v/>
      </c>
      <c r="J550" s="1" t="str">
        <f>MID(A550,2,1)</f>
        <v/>
      </c>
      <c r="K550" s="1" t="str">
        <f>MID(A550,4,1)</f>
        <v/>
      </c>
      <c r="L550" s="1" t="e">
        <f>VLOOKUP(I550,$U:$V,2,0)</f>
        <v>#N/A</v>
      </c>
      <c r="M550" s="1" t="e">
        <f>VLOOKUP(J550,$X:$Y,2,0)</f>
        <v>#N/A</v>
      </c>
      <c r="N550" s="1" t="e">
        <f>VLOOKUP(K550,$AA:$AB,2,0)</f>
        <v>#N/A</v>
      </c>
      <c r="O550" s="1">
        <f>IF(A550&lt;&gt;"",N550+M550+L550+F550+G550+H550,0)</f>
        <v>0</v>
      </c>
    </row>
    <row r="551" spans="1:15" x14ac:dyDescent="0.25">
      <c r="A551"/>
      <c r="B551"/>
      <c r="C551" s="1" t="str">
        <f>MID(A551,1,2)</f>
        <v/>
      </c>
      <c r="D551" s="1" t="str">
        <f>MID(B551,3,2)</f>
        <v/>
      </c>
      <c r="E551" s="1" t="str">
        <f>CONCATENATE(I551,K551)</f>
        <v/>
      </c>
      <c r="F551" s="1" t="e">
        <f>VLOOKUP(I551,$U$23:$AL$40,MATCH(J551,$U$23:$AL$23,0),FALSE)</f>
        <v>#N/A</v>
      </c>
      <c r="G551" s="1" t="e">
        <f>VLOOKUP(J551,$U$23:$AL$40,MATCH(K551,$U$23:$AL$23,0),FALSE)</f>
        <v>#N/A</v>
      </c>
      <c r="H551" s="1" t="e">
        <f>VLOOKUP(I551,$U$23:$AL$40,MATCH(K551,$U$23:$AL$23,0),FALSE)</f>
        <v>#N/A</v>
      </c>
      <c r="I551" s="1" t="str">
        <f>MID(A551,1,1)</f>
        <v/>
      </c>
      <c r="J551" s="1" t="str">
        <f>MID(A551,2,1)</f>
        <v/>
      </c>
      <c r="K551" s="1" t="str">
        <f>MID(A551,4,1)</f>
        <v/>
      </c>
      <c r="L551" s="1" t="e">
        <f>VLOOKUP(I551,$U:$V,2,0)</f>
        <v>#N/A</v>
      </c>
      <c r="M551" s="1" t="e">
        <f>VLOOKUP(J551,$X:$Y,2,0)</f>
        <v>#N/A</v>
      </c>
      <c r="N551" s="1" t="e">
        <f>VLOOKUP(K551,$AA:$AB,2,0)</f>
        <v>#N/A</v>
      </c>
      <c r="O551" s="1">
        <f>IF(A551&lt;&gt;"",N551+M551+L551+F551+G551+H551,0)</f>
        <v>0</v>
      </c>
    </row>
    <row r="552" spans="1:15" x14ac:dyDescent="0.25">
      <c r="A552"/>
      <c r="B552"/>
      <c r="C552" s="1" t="str">
        <f>MID(A552,1,2)</f>
        <v/>
      </c>
      <c r="D552" s="1" t="str">
        <f>MID(B552,3,2)</f>
        <v/>
      </c>
      <c r="E552" s="1" t="str">
        <f>CONCATENATE(I552,K552)</f>
        <v/>
      </c>
      <c r="F552" s="1" t="e">
        <f>VLOOKUP(I552,$U$23:$AL$40,MATCH(J552,$U$23:$AL$23,0),FALSE)</f>
        <v>#N/A</v>
      </c>
      <c r="G552" s="1" t="e">
        <f>VLOOKUP(J552,$U$23:$AL$40,MATCH(K552,$U$23:$AL$23,0),FALSE)</f>
        <v>#N/A</v>
      </c>
      <c r="H552" s="1" t="e">
        <f>VLOOKUP(I552,$U$23:$AL$40,MATCH(K552,$U$23:$AL$23,0),FALSE)</f>
        <v>#N/A</v>
      </c>
      <c r="I552" s="1" t="str">
        <f>MID(A552,1,1)</f>
        <v/>
      </c>
      <c r="J552" s="1" t="str">
        <f>MID(A552,2,1)</f>
        <v/>
      </c>
      <c r="K552" s="1" t="str">
        <f>MID(A552,4,1)</f>
        <v/>
      </c>
      <c r="L552" s="1" t="e">
        <f>VLOOKUP(I552,$U:$V,2,0)</f>
        <v>#N/A</v>
      </c>
      <c r="M552" s="1" t="e">
        <f>VLOOKUP(J552,$X:$Y,2,0)</f>
        <v>#N/A</v>
      </c>
      <c r="N552" s="1" t="e">
        <f>VLOOKUP(K552,$AA:$AB,2,0)</f>
        <v>#N/A</v>
      </c>
      <c r="O552" s="1">
        <f>IF(A552&lt;&gt;"",N552+M552+L552+F552+G552+H552,0)</f>
        <v>0</v>
      </c>
    </row>
    <row r="553" spans="1:15" x14ac:dyDescent="0.25">
      <c r="A553"/>
      <c r="B553"/>
      <c r="C553" s="1" t="str">
        <f>MID(A553,1,2)</f>
        <v/>
      </c>
      <c r="D553" s="1" t="str">
        <f>MID(B553,3,2)</f>
        <v/>
      </c>
      <c r="E553" s="1" t="str">
        <f>CONCATENATE(I553,K553)</f>
        <v/>
      </c>
      <c r="F553" s="1" t="e">
        <f>VLOOKUP(I553,$U$23:$AL$40,MATCH(J553,$U$23:$AL$23,0),FALSE)</f>
        <v>#N/A</v>
      </c>
      <c r="G553" s="1" t="e">
        <f>VLOOKUP(J553,$U$23:$AL$40,MATCH(K553,$U$23:$AL$23,0),FALSE)</f>
        <v>#N/A</v>
      </c>
      <c r="H553" s="1" t="e">
        <f>VLOOKUP(I553,$U$23:$AL$40,MATCH(K553,$U$23:$AL$23,0),FALSE)</f>
        <v>#N/A</v>
      </c>
      <c r="I553" s="1" t="str">
        <f>MID(A553,1,1)</f>
        <v/>
      </c>
      <c r="J553" s="1" t="str">
        <f>MID(A553,2,1)</f>
        <v/>
      </c>
      <c r="K553" s="1" t="str">
        <f>MID(A553,4,1)</f>
        <v/>
      </c>
      <c r="L553" s="1" t="e">
        <f>VLOOKUP(I553,$U:$V,2,0)</f>
        <v>#N/A</v>
      </c>
      <c r="M553" s="1" t="e">
        <f>VLOOKUP(J553,$X:$Y,2,0)</f>
        <v>#N/A</v>
      </c>
      <c r="N553" s="1" t="e">
        <f>VLOOKUP(K553,$AA:$AB,2,0)</f>
        <v>#N/A</v>
      </c>
      <c r="O553" s="1">
        <f>IF(A553&lt;&gt;"",N553+M553+L553+F553+G553+H553,0)</f>
        <v>0</v>
      </c>
    </row>
    <row r="554" spans="1:15" x14ac:dyDescent="0.25">
      <c r="A554"/>
      <c r="B554"/>
      <c r="C554" s="1" t="str">
        <f>MID(A554,1,2)</f>
        <v/>
      </c>
      <c r="D554" s="1" t="str">
        <f>MID(B554,3,2)</f>
        <v/>
      </c>
      <c r="E554" s="1" t="str">
        <f>CONCATENATE(I554,K554)</f>
        <v/>
      </c>
      <c r="F554" s="1" t="e">
        <f>VLOOKUP(I554,$U$23:$AL$40,MATCH(J554,$U$23:$AL$23,0),FALSE)</f>
        <v>#N/A</v>
      </c>
      <c r="G554" s="1" t="e">
        <f>VLOOKUP(J554,$U$23:$AL$40,MATCH(K554,$U$23:$AL$23,0),FALSE)</f>
        <v>#N/A</v>
      </c>
      <c r="H554" s="1" t="e">
        <f>VLOOKUP(I554,$U$23:$AL$40,MATCH(K554,$U$23:$AL$23,0),FALSE)</f>
        <v>#N/A</v>
      </c>
      <c r="I554" s="1" t="str">
        <f>MID(A554,1,1)</f>
        <v/>
      </c>
      <c r="J554" s="1" t="str">
        <f>MID(A554,2,1)</f>
        <v/>
      </c>
      <c r="K554" s="1" t="str">
        <f>MID(A554,4,1)</f>
        <v/>
      </c>
      <c r="L554" s="1" t="e">
        <f>VLOOKUP(I554,$U:$V,2,0)</f>
        <v>#N/A</v>
      </c>
      <c r="M554" s="1" t="e">
        <f>VLOOKUP(J554,$X:$Y,2,0)</f>
        <v>#N/A</v>
      </c>
      <c r="N554" s="1" t="e">
        <f>VLOOKUP(K554,$AA:$AB,2,0)</f>
        <v>#N/A</v>
      </c>
      <c r="O554" s="1">
        <f>IF(A554&lt;&gt;"",N554+M554+L554+F554+G554+H554,0)</f>
        <v>0</v>
      </c>
    </row>
    <row r="555" spans="1:15" x14ac:dyDescent="0.25">
      <c r="A555"/>
      <c r="B555"/>
      <c r="C555" s="1" t="str">
        <f>MID(A555,1,2)</f>
        <v/>
      </c>
      <c r="D555" s="1" t="str">
        <f>MID(B555,3,2)</f>
        <v/>
      </c>
      <c r="E555" s="1" t="str">
        <f>CONCATENATE(I555,K555)</f>
        <v/>
      </c>
      <c r="F555" s="1" t="e">
        <f>VLOOKUP(I555,$U$23:$AL$40,MATCH(J555,$U$23:$AL$23,0),FALSE)</f>
        <v>#N/A</v>
      </c>
      <c r="G555" s="1" t="e">
        <f>VLOOKUP(J555,$U$23:$AL$40,MATCH(K555,$U$23:$AL$23,0),FALSE)</f>
        <v>#N/A</v>
      </c>
      <c r="H555" s="1" t="e">
        <f>VLOOKUP(I555,$U$23:$AL$40,MATCH(K555,$U$23:$AL$23,0),FALSE)</f>
        <v>#N/A</v>
      </c>
      <c r="I555" s="1" t="str">
        <f>MID(A555,1,1)</f>
        <v/>
      </c>
      <c r="J555" s="1" t="str">
        <f>MID(A555,2,1)</f>
        <v/>
      </c>
      <c r="K555" s="1" t="str">
        <f>MID(A555,4,1)</f>
        <v/>
      </c>
      <c r="L555" s="1" t="e">
        <f>VLOOKUP(I555,$U:$V,2,0)</f>
        <v>#N/A</v>
      </c>
      <c r="M555" s="1" t="e">
        <f>VLOOKUP(J555,$X:$Y,2,0)</f>
        <v>#N/A</v>
      </c>
      <c r="N555" s="1" t="e">
        <f>VLOOKUP(K555,$AA:$AB,2,0)</f>
        <v>#N/A</v>
      </c>
      <c r="O555" s="1">
        <f>IF(A555&lt;&gt;"",N555+M555+L555+F555+G555+H555,0)</f>
        <v>0</v>
      </c>
    </row>
    <row r="556" spans="1:15" x14ac:dyDescent="0.25">
      <c r="A556"/>
      <c r="B556"/>
      <c r="C556" s="1" t="str">
        <f>MID(A556,1,2)</f>
        <v/>
      </c>
      <c r="D556" s="1" t="str">
        <f>MID(B556,3,2)</f>
        <v/>
      </c>
      <c r="E556" s="1" t="str">
        <f>CONCATENATE(I556,K556)</f>
        <v/>
      </c>
      <c r="F556" s="1" t="e">
        <f>VLOOKUP(I556,$U$23:$AL$40,MATCH(J556,$U$23:$AL$23,0),FALSE)</f>
        <v>#N/A</v>
      </c>
      <c r="G556" s="1" t="e">
        <f>VLOOKUP(J556,$U$23:$AL$40,MATCH(K556,$U$23:$AL$23,0),FALSE)</f>
        <v>#N/A</v>
      </c>
      <c r="H556" s="1" t="e">
        <f>VLOOKUP(I556,$U$23:$AL$40,MATCH(K556,$U$23:$AL$23,0),FALSE)</f>
        <v>#N/A</v>
      </c>
      <c r="I556" s="1" t="str">
        <f>MID(A556,1,1)</f>
        <v/>
      </c>
      <c r="J556" s="1" t="str">
        <f>MID(A556,2,1)</f>
        <v/>
      </c>
      <c r="K556" s="1" t="str">
        <f>MID(A556,4,1)</f>
        <v/>
      </c>
      <c r="L556" s="1" t="e">
        <f>VLOOKUP(I556,$U:$V,2,0)</f>
        <v>#N/A</v>
      </c>
      <c r="M556" s="1" t="e">
        <f>VLOOKUP(J556,$X:$Y,2,0)</f>
        <v>#N/A</v>
      </c>
      <c r="N556" s="1" t="e">
        <f>VLOOKUP(K556,$AA:$AB,2,0)</f>
        <v>#N/A</v>
      </c>
      <c r="O556" s="1">
        <f>IF(A556&lt;&gt;"",N556+M556+L556+F556+G556+H556,0)</f>
        <v>0</v>
      </c>
    </row>
    <row r="557" spans="1:15" x14ac:dyDescent="0.25">
      <c r="A557"/>
      <c r="B557"/>
      <c r="C557" s="1" t="str">
        <f>MID(A557,1,2)</f>
        <v/>
      </c>
      <c r="D557" s="1" t="str">
        <f>MID(B557,3,2)</f>
        <v/>
      </c>
      <c r="E557" s="1" t="str">
        <f>CONCATENATE(I557,K557)</f>
        <v/>
      </c>
      <c r="F557" s="1" t="e">
        <f>VLOOKUP(I557,$U$23:$AL$40,MATCH(J557,$U$23:$AL$23,0),FALSE)</f>
        <v>#N/A</v>
      </c>
      <c r="G557" s="1" t="e">
        <f>VLOOKUP(J557,$U$23:$AL$40,MATCH(K557,$U$23:$AL$23,0),FALSE)</f>
        <v>#N/A</v>
      </c>
      <c r="H557" s="1" t="e">
        <f>VLOOKUP(I557,$U$23:$AL$40,MATCH(K557,$U$23:$AL$23,0),FALSE)</f>
        <v>#N/A</v>
      </c>
      <c r="I557" s="1" t="str">
        <f>MID(A557,1,1)</f>
        <v/>
      </c>
      <c r="J557" s="1" t="str">
        <f>MID(A557,2,1)</f>
        <v/>
      </c>
      <c r="K557" s="1" t="str">
        <f>MID(A557,4,1)</f>
        <v/>
      </c>
      <c r="L557" s="1" t="e">
        <f>VLOOKUP(I557,$U:$V,2,0)</f>
        <v>#N/A</v>
      </c>
      <c r="M557" s="1" t="e">
        <f>VLOOKUP(J557,$X:$Y,2,0)</f>
        <v>#N/A</v>
      </c>
      <c r="N557" s="1" t="e">
        <f>VLOOKUP(K557,$AA:$AB,2,0)</f>
        <v>#N/A</v>
      </c>
      <c r="O557" s="1">
        <f>IF(A557&lt;&gt;"",N557+M557+L557+F557+G557+H557,0)</f>
        <v>0</v>
      </c>
    </row>
    <row r="558" spans="1:15" x14ac:dyDescent="0.25">
      <c r="A558"/>
      <c r="B558"/>
      <c r="C558" s="1" t="str">
        <f>MID(A558,1,2)</f>
        <v/>
      </c>
      <c r="D558" s="1" t="str">
        <f>MID(B558,3,2)</f>
        <v/>
      </c>
      <c r="E558" s="1" t="str">
        <f>CONCATENATE(I558,K558)</f>
        <v/>
      </c>
      <c r="F558" s="1" t="e">
        <f>VLOOKUP(I558,$U$23:$AL$40,MATCH(J558,$U$23:$AL$23,0),FALSE)</f>
        <v>#N/A</v>
      </c>
      <c r="G558" s="1" t="e">
        <f>VLOOKUP(J558,$U$23:$AL$40,MATCH(K558,$U$23:$AL$23,0),FALSE)</f>
        <v>#N/A</v>
      </c>
      <c r="H558" s="1" t="e">
        <f>VLOOKUP(I558,$U$23:$AL$40,MATCH(K558,$U$23:$AL$23,0),FALSE)</f>
        <v>#N/A</v>
      </c>
      <c r="I558" s="1" t="str">
        <f>MID(A558,1,1)</f>
        <v/>
      </c>
      <c r="J558" s="1" t="str">
        <f>MID(A558,2,1)</f>
        <v/>
      </c>
      <c r="K558" s="1" t="str">
        <f>MID(A558,4,1)</f>
        <v/>
      </c>
      <c r="L558" s="1" t="e">
        <f>VLOOKUP(I558,$U:$V,2,0)</f>
        <v>#N/A</v>
      </c>
      <c r="M558" s="1" t="e">
        <f>VLOOKUP(J558,$X:$Y,2,0)</f>
        <v>#N/A</v>
      </c>
      <c r="N558" s="1" t="e">
        <f>VLOOKUP(K558,$AA:$AB,2,0)</f>
        <v>#N/A</v>
      </c>
      <c r="O558" s="1">
        <f>IF(A558&lt;&gt;"",N558+M558+L558+F558+G558+H558,0)</f>
        <v>0</v>
      </c>
    </row>
    <row r="559" spans="1:15" x14ac:dyDescent="0.25">
      <c r="A559"/>
      <c r="B559"/>
      <c r="C559" s="1" t="str">
        <f>MID(A559,1,2)</f>
        <v/>
      </c>
      <c r="D559" s="1" t="str">
        <f>MID(B559,3,2)</f>
        <v/>
      </c>
      <c r="E559" s="1" t="str">
        <f>CONCATENATE(I559,K559)</f>
        <v/>
      </c>
      <c r="F559" s="1" t="e">
        <f>VLOOKUP(I559,$U$23:$AL$40,MATCH(J559,$U$23:$AL$23,0),FALSE)</f>
        <v>#N/A</v>
      </c>
      <c r="G559" s="1" t="e">
        <f>VLOOKUP(J559,$U$23:$AL$40,MATCH(K559,$U$23:$AL$23,0),FALSE)</f>
        <v>#N/A</v>
      </c>
      <c r="H559" s="1" t="e">
        <f>VLOOKUP(I559,$U$23:$AL$40,MATCH(K559,$U$23:$AL$23,0),FALSE)</f>
        <v>#N/A</v>
      </c>
      <c r="I559" s="1" t="str">
        <f>MID(A559,1,1)</f>
        <v/>
      </c>
      <c r="J559" s="1" t="str">
        <f>MID(A559,2,1)</f>
        <v/>
      </c>
      <c r="K559" s="1" t="str">
        <f>MID(A559,4,1)</f>
        <v/>
      </c>
      <c r="L559" s="1" t="e">
        <f>VLOOKUP(I559,$U:$V,2,0)</f>
        <v>#N/A</v>
      </c>
      <c r="M559" s="1" t="e">
        <f>VLOOKUP(J559,$X:$Y,2,0)</f>
        <v>#N/A</v>
      </c>
      <c r="N559" s="1" t="e">
        <f>VLOOKUP(K559,$AA:$AB,2,0)</f>
        <v>#N/A</v>
      </c>
      <c r="O559" s="1">
        <f>IF(A559&lt;&gt;"",N559+M559+L559+F559+G559+H559,0)</f>
        <v>0</v>
      </c>
    </row>
    <row r="560" spans="1:15" x14ac:dyDescent="0.25">
      <c r="A560"/>
      <c r="B560"/>
      <c r="C560" s="1" t="str">
        <f>MID(A560,1,2)</f>
        <v/>
      </c>
      <c r="D560" s="1" t="str">
        <f>MID(B560,3,2)</f>
        <v/>
      </c>
      <c r="E560" s="1" t="str">
        <f>CONCATENATE(I560,K560)</f>
        <v/>
      </c>
      <c r="F560" s="1" t="e">
        <f>VLOOKUP(I560,$U$23:$AL$40,MATCH(J560,$U$23:$AL$23,0),FALSE)</f>
        <v>#N/A</v>
      </c>
      <c r="G560" s="1" t="e">
        <f>VLOOKUP(J560,$U$23:$AL$40,MATCH(K560,$U$23:$AL$23,0),FALSE)</f>
        <v>#N/A</v>
      </c>
      <c r="H560" s="1" t="e">
        <f>VLOOKUP(I560,$U$23:$AL$40,MATCH(K560,$U$23:$AL$23,0),FALSE)</f>
        <v>#N/A</v>
      </c>
      <c r="I560" s="1" t="str">
        <f>MID(A560,1,1)</f>
        <v/>
      </c>
      <c r="J560" s="1" t="str">
        <f>MID(A560,2,1)</f>
        <v/>
      </c>
      <c r="K560" s="1" t="str">
        <f>MID(A560,4,1)</f>
        <v/>
      </c>
      <c r="L560" s="1" t="e">
        <f>VLOOKUP(I560,$U:$V,2,0)</f>
        <v>#N/A</v>
      </c>
      <c r="M560" s="1" t="e">
        <f>VLOOKUP(J560,$X:$Y,2,0)</f>
        <v>#N/A</v>
      </c>
      <c r="N560" s="1" t="e">
        <f>VLOOKUP(K560,$AA:$AB,2,0)</f>
        <v>#N/A</v>
      </c>
      <c r="O560" s="1">
        <f>IF(A560&lt;&gt;"",N560+M560+L560+F560+G560+H560,0)</f>
        <v>0</v>
      </c>
    </row>
    <row r="561" spans="1:15" x14ac:dyDescent="0.25">
      <c r="A561"/>
      <c r="B561"/>
      <c r="C561" s="1" t="str">
        <f>MID(A561,1,2)</f>
        <v/>
      </c>
      <c r="D561" s="1" t="str">
        <f>MID(B561,3,2)</f>
        <v/>
      </c>
      <c r="E561" s="1" t="str">
        <f>CONCATENATE(I561,K561)</f>
        <v/>
      </c>
      <c r="F561" s="1" t="e">
        <f>VLOOKUP(I561,$U$23:$AL$40,MATCH(J561,$U$23:$AL$23,0),FALSE)</f>
        <v>#N/A</v>
      </c>
      <c r="G561" s="1" t="e">
        <f>VLOOKUP(J561,$U$23:$AL$40,MATCH(K561,$U$23:$AL$23,0),FALSE)</f>
        <v>#N/A</v>
      </c>
      <c r="H561" s="1" t="e">
        <f>VLOOKUP(I561,$U$23:$AL$40,MATCH(K561,$U$23:$AL$23,0),FALSE)</f>
        <v>#N/A</v>
      </c>
      <c r="I561" s="1" t="str">
        <f>MID(A561,1,1)</f>
        <v/>
      </c>
      <c r="J561" s="1" t="str">
        <f>MID(A561,2,1)</f>
        <v/>
      </c>
      <c r="K561" s="1" t="str">
        <f>MID(A561,4,1)</f>
        <v/>
      </c>
      <c r="L561" s="1" t="e">
        <f>VLOOKUP(I561,$U:$V,2,0)</f>
        <v>#N/A</v>
      </c>
      <c r="M561" s="1" t="e">
        <f>VLOOKUP(J561,$X:$Y,2,0)</f>
        <v>#N/A</v>
      </c>
      <c r="N561" s="1" t="e">
        <f>VLOOKUP(K561,$AA:$AB,2,0)</f>
        <v>#N/A</v>
      </c>
      <c r="O561" s="1">
        <f>IF(A561&lt;&gt;"",N561+M561+L561+F561+G561+H561,0)</f>
        <v>0</v>
      </c>
    </row>
    <row r="562" spans="1:15" x14ac:dyDescent="0.25">
      <c r="A562"/>
      <c r="B562"/>
      <c r="C562" s="1" t="str">
        <f>MID(A562,1,2)</f>
        <v/>
      </c>
      <c r="D562" s="1" t="str">
        <f>MID(B562,3,2)</f>
        <v/>
      </c>
      <c r="E562" s="1" t="str">
        <f>CONCATENATE(I562,K562)</f>
        <v/>
      </c>
      <c r="F562" s="1" t="e">
        <f>VLOOKUP(I562,$U$23:$AL$40,MATCH(J562,$U$23:$AL$23,0),FALSE)</f>
        <v>#N/A</v>
      </c>
      <c r="G562" s="1" t="e">
        <f>VLOOKUP(J562,$U$23:$AL$40,MATCH(K562,$U$23:$AL$23,0),FALSE)</f>
        <v>#N/A</v>
      </c>
      <c r="H562" s="1" t="e">
        <f>VLOOKUP(I562,$U$23:$AL$40,MATCH(K562,$U$23:$AL$23,0),FALSE)</f>
        <v>#N/A</v>
      </c>
      <c r="I562" s="1" t="str">
        <f>MID(A562,1,1)</f>
        <v/>
      </c>
      <c r="J562" s="1" t="str">
        <f>MID(A562,2,1)</f>
        <v/>
      </c>
      <c r="K562" s="1" t="str">
        <f>MID(A562,4,1)</f>
        <v/>
      </c>
      <c r="L562" s="1" t="e">
        <f>VLOOKUP(I562,$U:$V,2,0)</f>
        <v>#N/A</v>
      </c>
      <c r="M562" s="1" t="e">
        <f>VLOOKUP(J562,$X:$Y,2,0)</f>
        <v>#N/A</v>
      </c>
      <c r="N562" s="1" t="e">
        <f>VLOOKUP(K562,$AA:$AB,2,0)</f>
        <v>#N/A</v>
      </c>
      <c r="O562" s="1">
        <f>IF(A562&lt;&gt;"",N562+M562+L562+F562+G562+H562,0)</f>
        <v>0</v>
      </c>
    </row>
    <row r="563" spans="1:15" x14ac:dyDescent="0.25">
      <c r="A563"/>
      <c r="B563"/>
      <c r="C563" s="1" t="str">
        <f>MID(A563,1,2)</f>
        <v/>
      </c>
      <c r="D563" s="1" t="str">
        <f>MID(B563,3,2)</f>
        <v/>
      </c>
      <c r="E563" s="1" t="str">
        <f>CONCATENATE(I563,K563)</f>
        <v/>
      </c>
      <c r="F563" s="1" t="e">
        <f>VLOOKUP(I563,$U$23:$AL$40,MATCH(J563,$U$23:$AL$23,0),FALSE)</f>
        <v>#N/A</v>
      </c>
      <c r="G563" s="1" t="e">
        <f>VLOOKUP(J563,$U$23:$AL$40,MATCH(K563,$U$23:$AL$23,0),FALSE)</f>
        <v>#N/A</v>
      </c>
      <c r="H563" s="1" t="e">
        <f>VLOOKUP(I563,$U$23:$AL$40,MATCH(K563,$U$23:$AL$23,0),FALSE)</f>
        <v>#N/A</v>
      </c>
      <c r="I563" s="1" t="str">
        <f>MID(A563,1,1)</f>
        <v/>
      </c>
      <c r="J563" s="1" t="str">
        <f>MID(A563,2,1)</f>
        <v/>
      </c>
      <c r="K563" s="1" t="str">
        <f>MID(A563,4,1)</f>
        <v/>
      </c>
      <c r="L563" s="1" t="e">
        <f>VLOOKUP(I563,$U:$V,2,0)</f>
        <v>#N/A</v>
      </c>
      <c r="M563" s="1" t="e">
        <f>VLOOKUP(J563,$X:$Y,2,0)</f>
        <v>#N/A</v>
      </c>
      <c r="N563" s="1" t="e">
        <f>VLOOKUP(K563,$AA:$AB,2,0)</f>
        <v>#N/A</v>
      </c>
      <c r="O563" s="1">
        <f>IF(A563&lt;&gt;"",N563+M563+L563+F563+G563+H563,0)</f>
        <v>0</v>
      </c>
    </row>
    <row r="564" spans="1:15" x14ac:dyDescent="0.25">
      <c r="A564"/>
      <c r="B564"/>
      <c r="C564" s="1" t="str">
        <f>MID(A564,1,2)</f>
        <v/>
      </c>
      <c r="D564" s="1" t="str">
        <f>MID(B564,3,2)</f>
        <v/>
      </c>
      <c r="E564" s="1" t="str">
        <f>CONCATENATE(I564,K564)</f>
        <v/>
      </c>
      <c r="F564" s="1" t="e">
        <f>VLOOKUP(I564,$U$23:$AL$40,MATCH(J564,$U$23:$AL$23,0),FALSE)</f>
        <v>#N/A</v>
      </c>
      <c r="G564" s="1" t="e">
        <f>VLOOKUP(J564,$U$23:$AL$40,MATCH(K564,$U$23:$AL$23,0),FALSE)</f>
        <v>#N/A</v>
      </c>
      <c r="H564" s="1" t="e">
        <f>VLOOKUP(I564,$U$23:$AL$40,MATCH(K564,$U$23:$AL$23,0),FALSE)</f>
        <v>#N/A</v>
      </c>
      <c r="I564" s="1" t="str">
        <f>MID(A564,1,1)</f>
        <v/>
      </c>
      <c r="J564" s="1" t="str">
        <f>MID(A564,2,1)</f>
        <v/>
      </c>
      <c r="K564" s="1" t="str">
        <f>MID(A564,4,1)</f>
        <v/>
      </c>
      <c r="L564" s="1" t="e">
        <f>VLOOKUP(I564,$U:$V,2,0)</f>
        <v>#N/A</v>
      </c>
      <c r="M564" s="1" t="e">
        <f>VLOOKUP(J564,$X:$Y,2,0)</f>
        <v>#N/A</v>
      </c>
      <c r="N564" s="1" t="e">
        <f>VLOOKUP(K564,$AA:$AB,2,0)</f>
        <v>#N/A</v>
      </c>
      <c r="O564" s="1">
        <f>IF(A564&lt;&gt;"",N564+M564+L564+F564+G564+H564,0)</f>
        <v>0</v>
      </c>
    </row>
    <row r="565" spans="1:15" x14ac:dyDescent="0.25">
      <c r="A565"/>
      <c r="B565"/>
      <c r="C565" s="1" t="str">
        <f>MID(A565,1,2)</f>
        <v/>
      </c>
      <c r="D565" s="1" t="str">
        <f>MID(B565,3,2)</f>
        <v/>
      </c>
      <c r="E565" s="1" t="str">
        <f>CONCATENATE(I565,K565)</f>
        <v/>
      </c>
      <c r="F565" s="1" t="e">
        <f>VLOOKUP(I565,$U$23:$AL$40,MATCH(J565,$U$23:$AL$23,0),FALSE)</f>
        <v>#N/A</v>
      </c>
      <c r="G565" s="1" t="e">
        <f>VLOOKUP(J565,$U$23:$AL$40,MATCH(K565,$U$23:$AL$23,0),FALSE)</f>
        <v>#N/A</v>
      </c>
      <c r="H565" s="1" t="e">
        <f>VLOOKUP(I565,$U$23:$AL$40,MATCH(K565,$U$23:$AL$23,0),FALSE)</f>
        <v>#N/A</v>
      </c>
      <c r="I565" s="1" t="str">
        <f>MID(A565,1,1)</f>
        <v/>
      </c>
      <c r="J565" s="1" t="str">
        <f>MID(A565,2,1)</f>
        <v/>
      </c>
      <c r="K565" s="1" t="str">
        <f>MID(A565,4,1)</f>
        <v/>
      </c>
      <c r="L565" s="1" t="e">
        <f>VLOOKUP(I565,$U:$V,2,0)</f>
        <v>#N/A</v>
      </c>
      <c r="M565" s="1" t="e">
        <f>VLOOKUP(J565,$X:$Y,2,0)</f>
        <v>#N/A</v>
      </c>
      <c r="N565" s="1" t="e">
        <f>VLOOKUP(K565,$AA:$AB,2,0)</f>
        <v>#N/A</v>
      </c>
      <c r="O565" s="1">
        <f>IF(A565&lt;&gt;"",N565+M565+L565+F565+G565+H565,0)</f>
        <v>0</v>
      </c>
    </row>
    <row r="566" spans="1:15" x14ac:dyDescent="0.25">
      <c r="A566"/>
      <c r="B566"/>
    </row>
    <row r="567" spans="1:15" x14ac:dyDescent="0.25">
      <c r="A567"/>
      <c r="B567"/>
    </row>
    <row r="568" spans="1:15" x14ac:dyDescent="0.25">
      <c r="A568"/>
      <c r="B568"/>
    </row>
    <row r="569" spans="1:15" x14ac:dyDescent="0.25">
      <c r="A569"/>
      <c r="B569"/>
    </row>
    <row r="570" spans="1:15" x14ac:dyDescent="0.25">
      <c r="A570"/>
      <c r="B570"/>
    </row>
    <row r="571" spans="1:15" x14ac:dyDescent="0.25">
      <c r="A571"/>
      <c r="B571"/>
    </row>
    <row r="572" spans="1:15" x14ac:dyDescent="0.25">
      <c r="A572"/>
      <c r="B572"/>
    </row>
    <row r="573" spans="1:15" x14ac:dyDescent="0.25">
      <c r="A573"/>
      <c r="B573"/>
    </row>
    <row r="574" spans="1:15" x14ac:dyDescent="0.25">
      <c r="A574"/>
      <c r="B574"/>
    </row>
    <row r="575" spans="1:15" x14ac:dyDescent="0.25">
      <c r="A575"/>
      <c r="B575"/>
    </row>
    <row r="576" spans="1:15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</sheetData>
  <sheetProtection selectLockedCells="1" selectUnlockedCells="1"/>
  <sortState ref="A1:O839">
    <sortCondition ref="A1"/>
  </sortState>
  <conditionalFormatting sqref="U23:AL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03"/>
  <sheetViews>
    <sheetView topLeftCell="A71" workbookViewId="0">
      <selection activeCell="E93" sqref="A93:E93"/>
    </sheetView>
  </sheetViews>
  <sheetFormatPr defaultColWidth="8.88671875" defaultRowHeight="13.8" x14ac:dyDescent="0.25"/>
  <cols>
    <col min="1" max="1" width="10.33203125" style="21" customWidth="1"/>
    <col min="2" max="3" width="11" style="21" customWidth="1"/>
    <col min="4" max="4" width="11.44140625" style="34" customWidth="1"/>
    <col min="5" max="5" width="11.44140625" style="21" customWidth="1"/>
    <col min="6" max="6" width="15" style="20" customWidth="1"/>
    <col min="7" max="7" width="6.109375" style="20" customWidth="1"/>
    <col min="8" max="9" width="11.109375" style="21" customWidth="1"/>
    <col min="10" max="13" width="9.88671875" style="21" customWidth="1"/>
    <col min="14" max="14" width="20.6640625" style="21" customWidth="1"/>
    <col min="15" max="15" width="5.44140625" style="21" customWidth="1"/>
    <col min="16" max="16" width="34.6640625" style="21" bestFit="1" customWidth="1"/>
    <col min="17" max="17" width="13.33203125" style="21" customWidth="1"/>
    <col min="18" max="16384" width="8.88671875" style="21"/>
  </cols>
  <sheetData>
    <row r="1" spans="1:21" s="16" customFormat="1" x14ac:dyDescent="0.25">
      <c r="A1" s="11" t="s">
        <v>402</v>
      </c>
      <c r="B1" s="12" t="s">
        <v>16</v>
      </c>
      <c r="C1" s="13" t="s">
        <v>17</v>
      </c>
      <c r="D1" s="12" t="s">
        <v>16</v>
      </c>
      <c r="E1" s="12" t="s">
        <v>18</v>
      </c>
      <c r="F1" s="14" t="s">
        <v>16</v>
      </c>
      <c r="G1" s="14"/>
      <c r="H1" s="15" t="s">
        <v>19</v>
      </c>
      <c r="I1" s="15" t="s">
        <v>20</v>
      </c>
      <c r="J1" s="15" t="s">
        <v>21</v>
      </c>
      <c r="K1" s="15" t="s">
        <v>22</v>
      </c>
      <c r="L1" s="15" t="s">
        <v>23</v>
      </c>
      <c r="M1" s="16" t="s">
        <v>24</v>
      </c>
      <c r="N1" s="17" t="s">
        <v>25</v>
      </c>
    </row>
    <row r="2" spans="1:21" x14ac:dyDescent="0.25">
      <c r="A2" s="18" t="s">
        <v>30</v>
      </c>
      <c r="B2" s="19">
        <f>VLOOKUP(A2,Sheet1!$A$1:$B$350,2,FALSE)</f>
        <v>1455</v>
      </c>
      <c r="C2" s="20" t="s">
        <v>29</v>
      </c>
      <c r="D2" s="19">
        <f>VLOOKUP(C2,Sheet1!$A$1:$B$350,2,FALSE)</f>
        <v>1153</v>
      </c>
      <c r="E2" s="20" t="s">
        <v>31</v>
      </c>
      <c r="F2" s="19">
        <f>VLOOKUP(E2,Sheet1!$A$1:$B$350,2,FALSE)</f>
        <v>533</v>
      </c>
      <c r="H2" s="21">
        <f>IF(B2&gt;D2,1,0)</f>
        <v>1</v>
      </c>
      <c r="I2" s="21">
        <f>IF(B2&lt;D2,1,0)</f>
        <v>0</v>
      </c>
      <c r="J2" s="21">
        <f>IF(B2&gt;F2,1,0)</f>
        <v>1</v>
      </c>
      <c r="K2" s="21">
        <f>IF(B2&lt;F2,1,0)</f>
        <v>0</v>
      </c>
      <c r="L2" s="21">
        <f>IF(D2&gt;F2,1,0)</f>
        <v>1</v>
      </c>
      <c r="M2" s="21">
        <f>IF(D2&lt;F2,1,0)</f>
        <v>0</v>
      </c>
      <c r="N2" s="21">
        <f>IF(AND(H2=J2,I2=K2),1,0)</f>
        <v>1</v>
      </c>
    </row>
    <row r="3" spans="1:21" x14ac:dyDescent="0.25">
      <c r="A3" s="18" t="s">
        <v>27</v>
      </c>
      <c r="B3" s="19">
        <f>VLOOKUP(A3,Sheet1!$A$1:$B$350,2,FALSE)</f>
        <v>946</v>
      </c>
      <c r="C3" s="20" t="s">
        <v>26</v>
      </c>
      <c r="D3" s="19">
        <f>VLOOKUP(C3,Sheet1!$A$1:$B$350,2,FALSE)</f>
        <v>387</v>
      </c>
      <c r="E3" s="28" t="s">
        <v>499</v>
      </c>
      <c r="F3" s="19">
        <f>VLOOKUP(E3,Sheet1!$A$1:$B$350,2,FALSE)</f>
        <v>210</v>
      </c>
      <c r="H3" s="21">
        <f t="shared" ref="H3:H66" si="0">IF(B3&gt;D3,1,0)</f>
        <v>1</v>
      </c>
      <c r="I3" s="21">
        <f t="shared" ref="I3:I66" si="1">IF(B3&lt;D3,1,0)</f>
        <v>0</v>
      </c>
      <c r="J3" s="21">
        <f t="shared" ref="J3:J66" si="2">IF(B3&gt;F3,1,0)</f>
        <v>1</v>
      </c>
      <c r="K3" s="21">
        <f t="shared" ref="K3:K66" si="3">IF(B3&lt;F3,1,0)</f>
        <v>0</v>
      </c>
      <c r="L3" s="21">
        <f t="shared" ref="L3:L66" si="4">IF(D3&gt;F3,1,0)</f>
        <v>1</v>
      </c>
      <c r="M3" s="21">
        <f t="shared" ref="M3:M66" si="5">IF(D3&lt;F3,1,0)</f>
        <v>0</v>
      </c>
      <c r="N3" s="21">
        <f t="shared" ref="N3:N66" si="6">IF(AND(H3=J3,I3=K3),1,0)</f>
        <v>1</v>
      </c>
      <c r="P3" s="21" t="s">
        <v>19</v>
      </c>
      <c r="Q3" s="21">
        <f>AVERAGE(H:H)</f>
        <v>0.43</v>
      </c>
    </row>
    <row r="4" spans="1:21" x14ac:dyDescent="0.25">
      <c r="A4" s="18" t="s">
        <v>35</v>
      </c>
      <c r="B4" s="19">
        <f>VLOOKUP(A4,Sheet1!$A$1:$B$350,2,FALSE)</f>
        <v>10951</v>
      </c>
      <c r="C4" s="20" t="s">
        <v>36</v>
      </c>
      <c r="D4" s="19">
        <f>VLOOKUP(C4,Sheet1!$A$1:$B$350,2,FALSE)</f>
        <v>95</v>
      </c>
      <c r="E4" s="20" t="s">
        <v>37</v>
      </c>
      <c r="F4" s="19">
        <f>VLOOKUP(E4,Sheet1!$A$1:$B$350,2,FALSE)</f>
        <v>26</v>
      </c>
      <c r="H4" s="21">
        <f t="shared" si="0"/>
        <v>1</v>
      </c>
      <c r="I4" s="21">
        <f t="shared" si="1"/>
        <v>0</v>
      </c>
      <c r="J4" s="21">
        <f t="shared" si="2"/>
        <v>1</v>
      </c>
      <c r="K4" s="21">
        <f t="shared" si="3"/>
        <v>0</v>
      </c>
      <c r="L4" s="21">
        <f t="shared" si="4"/>
        <v>1</v>
      </c>
      <c r="M4" s="21">
        <f t="shared" si="5"/>
        <v>0</v>
      </c>
      <c r="N4" s="21">
        <f t="shared" si="6"/>
        <v>1</v>
      </c>
      <c r="P4" s="21" t="s">
        <v>20</v>
      </c>
      <c r="Q4" s="21">
        <f>AVERAGE(I:I)</f>
        <v>0.56000000000000005</v>
      </c>
    </row>
    <row r="5" spans="1:21" x14ac:dyDescent="0.25">
      <c r="A5" s="18" t="s">
        <v>32</v>
      </c>
      <c r="B5" s="19">
        <f>VLOOKUP(A5,Sheet1!$A$1:$B$350,2,FALSE)</f>
        <v>36</v>
      </c>
      <c r="C5" s="20" t="s">
        <v>33</v>
      </c>
      <c r="D5" s="19">
        <f>VLOOKUP(C5,Sheet1!$A$1:$B$350,2,FALSE)</f>
        <v>566</v>
      </c>
      <c r="E5" s="20" t="s">
        <v>34</v>
      </c>
      <c r="F5" s="19">
        <f>VLOOKUP(E5,Sheet1!$A$1:$B$350,2,FALSE)</f>
        <v>386</v>
      </c>
      <c r="H5" s="21">
        <f t="shared" si="0"/>
        <v>0</v>
      </c>
      <c r="I5" s="21">
        <f t="shared" si="1"/>
        <v>1</v>
      </c>
      <c r="J5" s="21">
        <f t="shared" si="2"/>
        <v>0</v>
      </c>
      <c r="K5" s="21">
        <f t="shared" si="3"/>
        <v>1</v>
      </c>
      <c r="L5" s="21">
        <f t="shared" si="4"/>
        <v>1</v>
      </c>
      <c r="M5" s="21">
        <f t="shared" si="5"/>
        <v>0</v>
      </c>
      <c r="N5" s="21">
        <f t="shared" si="6"/>
        <v>1</v>
      </c>
      <c r="P5" s="21" t="s">
        <v>21</v>
      </c>
      <c r="Q5" s="21">
        <f>AVERAGE(J:J)</f>
        <v>0.45</v>
      </c>
    </row>
    <row r="6" spans="1:21" x14ac:dyDescent="0.25">
      <c r="A6" s="18" t="s">
        <v>39</v>
      </c>
      <c r="B6" s="19">
        <f>VLOOKUP(A6,Sheet1!$A$1:$B$350,2,FALSE)</f>
        <v>603</v>
      </c>
      <c r="C6" s="19" t="s">
        <v>38</v>
      </c>
      <c r="D6" s="19">
        <f>VLOOKUP(C6,Sheet1!$A$1:$B$350,2,FALSE)</f>
        <v>5</v>
      </c>
      <c r="E6" s="20" t="s">
        <v>40</v>
      </c>
      <c r="F6" s="19">
        <f>VLOOKUP(E6,Sheet1!$A$1:$B$350,2,FALSE)</f>
        <v>333</v>
      </c>
      <c r="H6" s="21">
        <f t="shared" si="0"/>
        <v>1</v>
      </c>
      <c r="I6" s="21">
        <f t="shared" si="1"/>
        <v>0</v>
      </c>
      <c r="J6" s="21">
        <f t="shared" si="2"/>
        <v>1</v>
      </c>
      <c r="K6" s="21">
        <f t="shared" si="3"/>
        <v>0</v>
      </c>
      <c r="L6" s="21">
        <f t="shared" si="4"/>
        <v>0</v>
      </c>
      <c r="M6" s="21">
        <f t="shared" si="5"/>
        <v>1</v>
      </c>
      <c r="N6" s="21">
        <f t="shared" si="6"/>
        <v>1</v>
      </c>
      <c r="P6" s="21" t="s">
        <v>22</v>
      </c>
      <c r="Q6" s="21">
        <f>AVERAGE(K:K)</f>
        <v>0.55000000000000004</v>
      </c>
    </row>
    <row r="7" spans="1:21" x14ac:dyDescent="0.25">
      <c r="A7" s="18" t="s">
        <v>41</v>
      </c>
      <c r="B7" s="19">
        <f>VLOOKUP(A7,Sheet1!$A$1:$B$350,2,FALSE)</f>
        <v>800</v>
      </c>
      <c r="C7" s="20" t="s">
        <v>42</v>
      </c>
      <c r="D7" s="19">
        <f>VLOOKUP(C7,Sheet1!$A$1:$B$350,2,FALSE)</f>
        <v>12</v>
      </c>
      <c r="E7" s="20" t="s">
        <v>43</v>
      </c>
      <c r="F7" s="19">
        <f>VLOOKUP(E7,Sheet1!$A$1:$B$350,2,FALSE)</f>
        <v>94</v>
      </c>
      <c r="H7" s="21">
        <f t="shared" si="0"/>
        <v>1</v>
      </c>
      <c r="I7" s="21">
        <f t="shared" si="1"/>
        <v>0</v>
      </c>
      <c r="J7" s="21">
        <f t="shared" si="2"/>
        <v>1</v>
      </c>
      <c r="K7" s="21">
        <f t="shared" si="3"/>
        <v>0</v>
      </c>
      <c r="L7" s="21">
        <f t="shared" si="4"/>
        <v>0</v>
      </c>
      <c r="M7" s="21">
        <f t="shared" si="5"/>
        <v>1</v>
      </c>
      <c r="N7" s="21">
        <f t="shared" si="6"/>
        <v>1</v>
      </c>
      <c r="P7" s="21" t="s">
        <v>23</v>
      </c>
      <c r="Q7" s="21">
        <f>AVERAGE(L:L)</f>
        <v>0.44</v>
      </c>
    </row>
    <row r="8" spans="1:21" x14ac:dyDescent="0.25">
      <c r="A8" s="18" t="s">
        <v>47</v>
      </c>
      <c r="B8" s="19">
        <f>VLOOKUP(A8,Sheet1!$A$1:$B$350,2,FALSE)</f>
        <v>4573</v>
      </c>
      <c r="C8" s="20" t="s">
        <v>46</v>
      </c>
      <c r="D8" s="19">
        <f>VLOOKUP(C8,Sheet1!$A$1:$B$350,2,FALSE)</f>
        <v>4537</v>
      </c>
      <c r="E8" s="28" t="s">
        <v>497</v>
      </c>
      <c r="F8" s="19">
        <f>VLOOKUP(E8,Sheet1!$A$1:$B$350,2,FALSE)</f>
        <v>1718</v>
      </c>
      <c r="H8" s="21">
        <f t="shared" si="0"/>
        <v>1</v>
      </c>
      <c r="I8" s="21">
        <f t="shared" si="1"/>
        <v>0</v>
      </c>
      <c r="J8" s="21">
        <f t="shared" si="2"/>
        <v>1</v>
      </c>
      <c r="K8" s="21">
        <f t="shared" si="3"/>
        <v>0</v>
      </c>
      <c r="L8" s="21">
        <f t="shared" si="4"/>
        <v>1</v>
      </c>
      <c r="M8" s="21">
        <f t="shared" si="5"/>
        <v>0</v>
      </c>
      <c r="N8" s="21">
        <f t="shared" si="6"/>
        <v>1</v>
      </c>
      <c r="P8" s="21" t="s">
        <v>24</v>
      </c>
      <c r="Q8" s="21">
        <f>AVERAGE(M:M)</f>
        <v>0.56000000000000005</v>
      </c>
      <c r="U8" s="22" t="s">
        <v>447</v>
      </c>
    </row>
    <row r="9" spans="1:21" x14ac:dyDescent="0.25">
      <c r="A9" s="18" t="s">
        <v>49</v>
      </c>
      <c r="B9" s="19">
        <f>VLOOKUP(A9,Sheet1!$A$1:$B$350,2,FALSE)</f>
        <v>530</v>
      </c>
      <c r="C9" s="20" t="s">
        <v>50</v>
      </c>
      <c r="D9" s="19">
        <f>VLOOKUP(C9,Sheet1!$A$1:$B$350,2,FALSE)</f>
        <v>50</v>
      </c>
      <c r="E9" s="20" t="s">
        <v>51</v>
      </c>
      <c r="F9" s="19">
        <f>VLOOKUP(E9,Sheet1!$A$1:$B$350,2,FALSE)</f>
        <v>294</v>
      </c>
      <c r="G9" s="19"/>
      <c r="H9" s="21">
        <f t="shared" si="0"/>
        <v>1</v>
      </c>
      <c r="I9" s="21">
        <f t="shared" si="1"/>
        <v>0</v>
      </c>
      <c r="J9" s="21">
        <f t="shared" si="2"/>
        <v>1</v>
      </c>
      <c r="K9" s="21">
        <f t="shared" si="3"/>
        <v>0</v>
      </c>
      <c r="L9" s="21">
        <f t="shared" si="4"/>
        <v>0</v>
      </c>
      <c r="M9" s="21">
        <f t="shared" si="5"/>
        <v>1</v>
      </c>
      <c r="N9" s="21">
        <f t="shared" si="6"/>
        <v>1</v>
      </c>
    </row>
    <row r="10" spans="1:21" x14ac:dyDescent="0.25">
      <c r="A10" s="18" t="s">
        <v>52</v>
      </c>
      <c r="B10" s="19">
        <f>VLOOKUP(A10,Sheet1!$A$1:$B$350,2,FALSE)</f>
        <v>3</v>
      </c>
      <c r="C10" s="20" t="s">
        <v>53</v>
      </c>
      <c r="D10" s="19">
        <f>VLOOKUP(C10,Sheet1!$A$1:$B$350,2,FALSE)</f>
        <v>19</v>
      </c>
      <c r="E10" s="20" t="s">
        <v>54</v>
      </c>
      <c r="F10" s="19">
        <f>VLOOKUP(E10,Sheet1!$A$1:$B$350,2,FALSE)</f>
        <v>44</v>
      </c>
      <c r="H10" s="21">
        <f t="shared" si="0"/>
        <v>0</v>
      </c>
      <c r="I10" s="21">
        <f t="shared" si="1"/>
        <v>1</v>
      </c>
      <c r="J10" s="21">
        <f t="shared" si="2"/>
        <v>0</v>
      </c>
      <c r="K10" s="21">
        <f t="shared" si="3"/>
        <v>1</v>
      </c>
      <c r="L10" s="21">
        <f t="shared" si="4"/>
        <v>0</v>
      </c>
      <c r="M10" s="21">
        <f t="shared" si="5"/>
        <v>1</v>
      </c>
      <c r="N10" s="21">
        <f t="shared" si="6"/>
        <v>1</v>
      </c>
      <c r="P10" s="21" t="s">
        <v>25</v>
      </c>
      <c r="Q10" s="21">
        <f>AVERAGE(N:N)</f>
        <v>0.95</v>
      </c>
    </row>
    <row r="11" spans="1:21" x14ac:dyDescent="0.25">
      <c r="A11" s="18" t="s">
        <v>55</v>
      </c>
      <c r="B11" s="19">
        <f>VLOOKUP(A11,Sheet1!$A$1:$B$350,2,FALSE)</f>
        <v>25</v>
      </c>
      <c r="C11" s="20" t="s">
        <v>56</v>
      </c>
      <c r="D11" s="19">
        <f>VLOOKUP(C11,Sheet1!$A$1:$B$350,2,FALSE)</f>
        <v>1</v>
      </c>
      <c r="E11" s="20" t="s">
        <v>57</v>
      </c>
      <c r="F11" s="19">
        <f>VLOOKUP(E11,Sheet1!$A$1:$B$350,2,FALSE)</f>
        <v>7</v>
      </c>
      <c r="H11" s="21">
        <f t="shared" si="0"/>
        <v>1</v>
      </c>
      <c r="I11" s="21">
        <f t="shared" si="1"/>
        <v>0</v>
      </c>
      <c r="J11" s="21">
        <f t="shared" si="2"/>
        <v>1</v>
      </c>
      <c r="K11" s="21">
        <f t="shared" si="3"/>
        <v>0</v>
      </c>
      <c r="L11" s="21">
        <f t="shared" si="4"/>
        <v>0</v>
      </c>
      <c r="M11" s="21">
        <f t="shared" si="5"/>
        <v>1</v>
      </c>
      <c r="N11" s="21">
        <f t="shared" si="6"/>
        <v>1</v>
      </c>
    </row>
    <row r="12" spans="1:21" x14ac:dyDescent="0.25">
      <c r="A12" s="18" t="s">
        <v>58</v>
      </c>
      <c r="B12" s="19">
        <f>VLOOKUP(A12,Sheet1!$A$1:$B$350,2,FALSE)</f>
        <v>10</v>
      </c>
      <c r="C12" s="20" t="s">
        <v>59</v>
      </c>
      <c r="D12" s="19">
        <f>VLOOKUP(C12,Sheet1!$A$1:$B$350,2,FALSE)</f>
        <v>76</v>
      </c>
      <c r="E12" s="23" t="s">
        <v>471</v>
      </c>
      <c r="F12" s="19">
        <f>VLOOKUP(E12,Sheet1!$A$1:$B$350,2,FALSE)</f>
        <v>341</v>
      </c>
      <c r="H12" s="21">
        <f t="shared" si="0"/>
        <v>0</v>
      </c>
      <c r="I12" s="21">
        <f t="shared" si="1"/>
        <v>1</v>
      </c>
      <c r="J12" s="21">
        <f t="shared" si="2"/>
        <v>0</v>
      </c>
      <c r="K12" s="21">
        <f t="shared" si="3"/>
        <v>1</v>
      </c>
      <c r="L12" s="21">
        <f t="shared" si="4"/>
        <v>0</v>
      </c>
      <c r="M12" s="21">
        <f t="shared" si="5"/>
        <v>1</v>
      </c>
      <c r="N12" s="21">
        <f t="shared" si="6"/>
        <v>1</v>
      </c>
    </row>
    <row r="13" spans="1:21" x14ac:dyDescent="0.25">
      <c r="A13" s="18" t="s">
        <v>45</v>
      </c>
      <c r="B13" s="19">
        <f>VLOOKUP(A13,Sheet1!$A$1:$B$350,2,FALSE)</f>
        <v>476</v>
      </c>
      <c r="C13" s="20" t="s">
        <v>44</v>
      </c>
      <c r="D13" s="19">
        <f>VLOOKUP(C13,Sheet1!$A$1:$B$350,2,FALSE)</f>
        <v>710</v>
      </c>
      <c r="E13" s="24" t="s">
        <v>470</v>
      </c>
      <c r="F13" s="19">
        <f>VLOOKUP(E13,Sheet1!$A$1:$B$350,2,FALSE)</f>
        <v>1663</v>
      </c>
      <c r="H13" s="21">
        <f t="shared" si="0"/>
        <v>0</v>
      </c>
      <c r="I13" s="21">
        <f t="shared" si="1"/>
        <v>1</v>
      </c>
      <c r="J13" s="21">
        <f t="shared" si="2"/>
        <v>0</v>
      </c>
      <c r="K13" s="21">
        <f t="shared" si="3"/>
        <v>1</v>
      </c>
      <c r="L13" s="21">
        <f t="shared" si="4"/>
        <v>0</v>
      </c>
      <c r="M13" s="21">
        <f t="shared" si="5"/>
        <v>1</v>
      </c>
      <c r="N13" s="21">
        <f t="shared" si="6"/>
        <v>1</v>
      </c>
    </row>
    <row r="14" spans="1:21" x14ac:dyDescent="0.25">
      <c r="A14" s="18" t="s">
        <v>60</v>
      </c>
      <c r="B14" s="19">
        <f>VLOOKUP(A14,Sheet1!$A$1:$B$350,2,FALSE)</f>
        <v>435</v>
      </c>
      <c r="C14" s="20" t="s">
        <v>61</v>
      </c>
      <c r="D14" s="19">
        <f>VLOOKUP(C14,Sheet1!$A$1:$B$350,2,FALSE)</f>
        <v>249</v>
      </c>
      <c r="E14" s="20" t="s">
        <v>62</v>
      </c>
      <c r="F14" s="19">
        <f>VLOOKUP(E14,Sheet1!$A$1:$B$350,2,FALSE)</f>
        <v>7</v>
      </c>
      <c r="H14" s="21">
        <f t="shared" si="0"/>
        <v>1</v>
      </c>
      <c r="I14" s="21">
        <f t="shared" si="1"/>
        <v>0</v>
      </c>
      <c r="J14" s="21">
        <f t="shared" si="2"/>
        <v>1</v>
      </c>
      <c r="K14" s="21">
        <f t="shared" si="3"/>
        <v>0</v>
      </c>
      <c r="L14" s="21">
        <f t="shared" si="4"/>
        <v>1</v>
      </c>
      <c r="M14" s="21">
        <f t="shared" si="5"/>
        <v>0</v>
      </c>
      <c r="N14" s="21">
        <f t="shared" si="6"/>
        <v>1</v>
      </c>
      <c r="P14" s="25" t="s">
        <v>450</v>
      </c>
      <c r="Q14" s="26" t="s">
        <v>437</v>
      </c>
    </row>
    <row r="15" spans="1:21" x14ac:dyDescent="0.25">
      <c r="A15" s="18" t="s">
        <v>63</v>
      </c>
      <c r="B15" s="19">
        <f>VLOOKUP(A15,Sheet1!$A$1:$B$350,2,FALSE)</f>
        <v>3</v>
      </c>
      <c r="C15" s="20" t="s">
        <v>64</v>
      </c>
      <c r="D15" s="19">
        <f>VLOOKUP(C15,Sheet1!$A$1:$B$350,2,FALSE)</f>
        <v>150</v>
      </c>
      <c r="E15" s="20" t="s">
        <v>65</v>
      </c>
      <c r="F15" s="19">
        <f>VLOOKUP(E15,Sheet1!$A$1:$B$350,2,FALSE)</f>
        <v>1765</v>
      </c>
      <c r="H15" s="21">
        <f t="shared" si="0"/>
        <v>0</v>
      </c>
      <c r="I15" s="21">
        <f t="shared" si="1"/>
        <v>1</v>
      </c>
      <c r="J15" s="21">
        <f t="shared" si="2"/>
        <v>0</v>
      </c>
      <c r="K15" s="21">
        <f t="shared" si="3"/>
        <v>1</v>
      </c>
      <c r="L15" s="21">
        <f t="shared" si="4"/>
        <v>0</v>
      </c>
      <c r="M15" s="21">
        <f t="shared" si="5"/>
        <v>1</v>
      </c>
      <c r="N15" s="21">
        <f t="shared" si="6"/>
        <v>1</v>
      </c>
    </row>
    <row r="16" spans="1:21" x14ac:dyDescent="0.25">
      <c r="A16" s="18" t="s">
        <v>66</v>
      </c>
      <c r="B16" s="19">
        <f>VLOOKUP(A16,Sheet1!$A$1:$B$350,2,FALSE)</f>
        <v>179</v>
      </c>
      <c r="C16" s="20" t="s">
        <v>67</v>
      </c>
      <c r="D16" s="19">
        <f>VLOOKUP(C16,Sheet1!$A$1:$B$350,2,FALSE)</f>
        <v>16</v>
      </c>
      <c r="E16" s="20" t="s">
        <v>68</v>
      </c>
      <c r="F16" s="19">
        <f>VLOOKUP(E16,Sheet1!$A$1:$B$350,2,FALSE)</f>
        <v>3</v>
      </c>
      <c r="H16" s="21">
        <f t="shared" si="0"/>
        <v>1</v>
      </c>
      <c r="I16" s="21">
        <f t="shared" si="1"/>
        <v>0</v>
      </c>
      <c r="J16" s="21">
        <f t="shared" si="2"/>
        <v>1</v>
      </c>
      <c r="K16" s="21">
        <f t="shared" si="3"/>
        <v>0</v>
      </c>
      <c r="L16" s="21">
        <f t="shared" si="4"/>
        <v>1</v>
      </c>
      <c r="M16" s="21">
        <f t="shared" si="5"/>
        <v>0</v>
      </c>
      <c r="N16" s="21">
        <f t="shared" si="6"/>
        <v>1</v>
      </c>
    </row>
    <row r="17" spans="1:16" x14ac:dyDescent="0.25">
      <c r="A17" s="18" t="s">
        <v>69</v>
      </c>
      <c r="B17" s="19">
        <f>VLOOKUP(A17,Sheet1!$A$1:$B$350,2,FALSE)</f>
        <v>2254</v>
      </c>
      <c r="C17" s="20" t="s">
        <v>70</v>
      </c>
      <c r="D17" s="19">
        <f>VLOOKUP(C17,Sheet1!$A$1:$B$350,2,FALSE)</f>
        <v>27</v>
      </c>
      <c r="E17" s="20" t="s">
        <v>71</v>
      </c>
      <c r="F17" s="19">
        <f>VLOOKUP(E17,Sheet1!$A$1:$B$350,2,FALSE)</f>
        <v>183</v>
      </c>
      <c r="H17" s="21">
        <f t="shared" si="0"/>
        <v>1</v>
      </c>
      <c r="I17" s="21">
        <f t="shared" si="1"/>
        <v>0</v>
      </c>
      <c r="J17" s="21">
        <f t="shared" si="2"/>
        <v>1</v>
      </c>
      <c r="K17" s="21">
        <f t="shared" si="3"/>
        <v>0</v>
      </c>
      <c r="L17" s="21">
        <f t="shared" si="4"/>
        <v>0</v>
      </c>
      <c r="M17" s="21">
        <f t="shared" si="5"/>
        <v>1</v>
      </c>
      <c r="N17" s="21">
        <f t="shared" si="6"/>
        <v>1</v>
      </c>
    </row>
    <row r="18" spans="1:16" x14ac:dyDescent="0.25">
      <c r="A18" s="18" t="s">
        <v>100</v>
      </c>
      <c r="B18" s="19">
        <f>VLOOKUP(A18,Sheet1!$A$1:$B$350,2,FALSE)</f>
        <v>24565</v>
      </c>
      <c r="C18" s="20" t="s">
        <v>80</v>
      </c>
      <c r="D18" s="19">
        <f>VLOOKUP(C18,Sheet1!$A$1:$B$350,2,FALSE)</f>
        <v>519</v>
      </c>
      <c r="E18" s="20" t="s">
        <v>101</v>
      </c>
      <c r="F18" s="19">
        <f>VLOOKUP(E18,Sheet1!$A$1:$B$350,2,FALSE)</f>
        <v>790</v>
      </c>
      <c r="H18" s="21">
        <f t="shared" si="0"/>
        <v>1</v>
      </c>
      <c r="I18" s="21">
        <f t="shared" si="1"/>
        <v>0</v>
      </c>
      <c r="J18" s="21">
        <f t="shared" si="2"/>
        <v>1</v>
      </c>
      <c r="K18" s="21">
        <f t="shared" si="3"/>
        <v>0</v>
      </c>
      <c r="L18" s="21">
        <f t="shared" si="4"/>
        <v>0</v>
      </c>
      <c r="M18" s="21">
        <f t="shared" si="5"/>
        <v>1</v>
      </c>
      <c r="N18" s="21">
        <f t="shared" si="6"/>
        <v>1</v>
      </c>
    </row>
    <row r="19" spans="1:16" x14ac:dyDescent="0.25">
      <c r="A19" s="18" t="s">
        <v>75</v>
      </c>
      <c r="B19" s="19">
        <f>VLOOKUP(A19,Sheet1!$A$1:$B$350,2,FALSE)</f>
        <v>2434</v>
      </c>
      <c r="C19" s="20" t="s">
        <v>76</v>
      </c>
      <c r="D19" s="19">
        <f>VLOOKUP(C19,Sheet1!$A$1:$B$350,2,FALSE)</f>
        <v>789</v>
      </c>
      <c r="E19" s="20" t="s">
        <v>77</v>
      </c>
      <c r="F19" s="19">
        <f>VLOOKUP(E19,Sheet1!$A$1:$B$350,2,FALSE)</f>
        <v>52</v>
      </c>
      <c r="H19" s="21">
        <f t="shared" si="0"/>
        <v>1</v>
      </c>
      <c r="I19" s="21">
        <f t="shared" si="1"/>
        <v>0</v>
      </c>
      <c r="J19" s="21">
        <f t="shared" si="2"/>
        <v>1</v>
      </c>
      <c r="K19" s="21">
        <f t="shared" si="3"/>
        <v>0</v>
      </c>
      <c r="L19" s="21">
        <f t="shared" si="4"/>
        <v>1</v>
      </c>
      <c r="M19" s="21">
        <f t="shared" si="5"/>
        <v>0</v>
      </c>
      <c r="N19" s="21">
        <f t="shared" si="6"/>
        <v>1</v>
      </c>
    </row>
    <row r="20" spans="1:16" x14ac:dyDescent="0.25">
      <c r="A20" s="18" t="s">
        <v>78</v>
      </c>
      <c r="B20" s="19">
        <f>VLOOKUP(A20,Sheet1!$A$1:$B$350,2,FALSE)</f>
        <v>14071</v>
      </c>
      <c r="C20" s="20" t="s">
        <v>79</v>
      </c>
      <c r="D20" s="19">
        <f>VLOOKUP(C20,Sheet1!$A$1:$B$350,2,FALSE)</f>
        <v>226</v>
      </c>
      <c r="E20" s="20" t="s">
        <v>80</v>
      </c>
      <c r="F20" s="19">
        <f>VLOOKUP(E20,Sheet1!$A$1:$B$350,2,FALSE)</f>
        <v>519</v>
      </c>
      <c r="H20" s="21">
        <f t="shared" si="0"/>
        <v>1</v>
      </c>
      <c r="I20" s="21">
        <f t="shared" si="1"/>
        <v>0</v>
      </c>
      <c r="J20" s="21">
        <f t="shared" si="2"/>
        <v>1</v>
      </c>
      <c r="K20" s="21">
        <f t="shared" si="3"/>
        <v>0</v>
      </c>
      <c r="L20" s="21">
        <f t="shared" si="4"/>
        <v>0</v>
      </c>
      <c r="M20" s="21">
        <f t="shared" si="5"/>
        <v>1</v>
      </c>
      <c r="N20" s="21">
        <f t="shared" si="6"/>
        <v>1</v>
      </c>
    </row>
    <row r="21" spans="1:16" x14ac:dyDescent="0.25">
      <c r="A21" s="18" t="s">
        <v>105</v>
      </c>
      <c r="B21" s="19">
        <f>VLOOKUP(A21,Sheet1!$A$1:$B$350,2,FALSE)</f>
        <v>6</v>
      </c>
      <c r="C21" s="20" t="s">
        <v>106</v>
      </c>
      <c r="D21" s="19">
        <f>VLOOKUP(C21,Sheet1!$A$1:$B$350,2,FALSE)</f>
        <v>126</v>
      </c>
      <c r="E21" s="20" t="s">
        <v>107</v>
      </c>
      <c r="F21" s="19">
        <f>VLOOKUP(E21,Sheet1!$A$1:$B$350,2,FALSE)</f>
        <v>15</v>
      </c>
      <c r="H21" s="21">
        <f t="shared" si="0"/>
        <v>0</v>
      </c>
      <c r="I21" s="21">
        <f t="shared" si="1"/>
        <v>1</v>
      </c>
      <c r="J21" s="21">
        <f t="shared" si="2"/>
        <v>0</v>
      </c>
      <c r="K21" s="21">
        <f t="shared" si="3"/>
        <v>1</v>
      </c>
      <c r="L21" s="21">
        <f t="shared" si="4"/>
        <v>1</v>
      </c>
      <c r="M21" s="21">
        <f t="shared" si="5"/>
        <v>0</v>
      </c>
      <c r="N21" s="21">
        <f t="shared" si="6"/>
        <v>1</v>
      </c>
    </row>
    <row r="22" spans="1:16" x14ac:dyDescent="0.25">
      <c r="A22" s="18" t="s">
        <v>81</v>
      </c>
      <c r="B22" s="19">
        <f>VLOOKUP(A22,Sheet1!$A$1:$B$350,2,FALSE)</f>
        <v>637</v>
      </c>
      <c r="C22" s="20" t="s">
        <v>82</v>
      </c>
      <c r="D22" s="19">
        <f>VLOOKUP(C22,Sheet1!$A$1:$B$350,2,FALSE)</f>
        <v>212</v>
      </c>
      <c r="E22" s="20" t="s">
        <v>83</v>
      </c>
      <c r="F22" s="19">
        <f>VLOOKUP(E22,Sheet1!$A$1:$B$350,2,FALSE)</f>
        <v>21</v>
      </c>
      <c r="H22" s="21">
        <f t="shared" si="0"/>
        <v>1</v>
      </c>
      <c r="I22" s="21">
        <f t="shared" si="1"/>
        <v>0</v>
      </c>
      <c r="J22" s="21">
        <f t="shared" si="2"/>
        <v>1</v>
      </c>
      <c r="K22" s="21">
        <f t="shared" si="3"/>
        <v>0</v>
      </c>
      <c r="L22" s="21">
        <f t="shared" si="4"/>
        <v>1</v>
      </c>
      <c r="M22" s="21">
        <f t="shared" si="5"/>
        <v>0</v>
      </c>
      <c r="N22" s="21">
        <f t="shared" si="6"/>
        <v>1</v>
      </c>
    </row>
    <row r="23" spans="1:16" x14ac:dyDescent="0.25">
      <c r="A23" s="18" t="s">
        <v>95</v>
      </c>
      <c r="B23" s="19">
        <f>VLOOKUP(A23,Sheet1!$A$1:$B$350,2,FALSE)</f>
        <v>343</v>
      </c>
      <c r="C23" s="20" t="s">
        <v>96</v>
      </c>
      <c r="D23" s="19">
        <f>VLOOKUP(C23,Sheet1!$A$1:$B$350,2,FALSE)</f>
        <v>109189</v>
      </c>
      <c r="E23" s="28" t="s">
        <v>492</v>
      </c>
      <c r="F23" s="19">
        <f>VLOOKUP(E23,Sheet1!$A$1:$B$350,2,FALSE)</f>
        <v>513</v>
      </c>
      <c r="H23" s="21">
        <f t="shared" si="0"/>
        <v>0</v>
      </c>
      <c r="I23" s="21">
        <f t="shared" si="1"/>
        <v>1</v>
      </c>
      <c r="J23" s="21">
        <f t="shared" si="2"/>
        <v>0</v>
      </c>
      <c r="K23" s="21">
        <f t="shared" si="3"/>
        <v>1</v>
      </c>
      <c r="L23" s="21">
        <f t="shared" si="4"/>
        <v>1</v>
      </c>
      <c r="M23" s="21">
        <f t="shared" si="5"/>
        <v>0</v>
      </c>
      <c r="N23" s="21">
        <f t="shared" si="6"/>
        <v>1</v>
      </c>
      <c r="P23" s="27" t="s">
        <v>439</v>
      </c>
    </row>
    <row r="24" spans="1:16" x14ac:dyDescent="0.25">
      <c r="A24" s="18" t="s">
        <v>84</v>
      </c>
      <c r="B24" s="19">
        <f>VLOOKUP(A24,Sheet1!$A$1:$B$350,2,FALSE)</f>
        <v>35096</v>
      </c>
      <c r="C24" s="20" t="s">
        <v>85</v>
      </c>
      <c r="D24" s="19">
        <f>VLOOKUP(C24,Sheet1!$A$1:$B$350,2,FALSE)</f>
        <v>176</v>
      </c>
      <c r="E24" s="20" t="s">
        <v>86</v>
      </c>
      <c r="F24" s="19">
        <f>VLOOKUP(E24,Sheet1!$A$1:$B$350,2,FALSE)</f>
        <v>254</v>
      </c>
      <c r="H24" s="21">
        <f t="shared" si="0"/>
        <v>1</v>
      </c>
      <c r="I24" s="21">
        <f t="shared" si="1"/>
        <v>0</v>
      </c>
      <c r="J24" s="21">
        <f t="shared" si="2"/>
        <v>1</v>
      </c>
      <c r="K24" s="21">
        <f t="shared" si="3"/>
        <v>0</v>
      </c>
      <c r="L24" s="21">
        <f t="shared" si="4"/>
        <v>0</v>
      </c>
      <c r="M24" s="21">
        <f t="shared" si="5"/>
        <v>1</v>
      </c>
      <c r="N24" s="21">
        <f t="shared" si="6"/>
        <v>1</v>
      </c>
    </row>
    <row r="25" spans="1:16" x14ac:dyDescent="0.25">
      <c r="A25" s="18" t="s">
        <v>90</v>
      </c>
      <c r="B25" s="19">
        <f>VLOOKUP(A25,Sheet1!$A$1:$B$350,2,FALSE)</f>
        <v>405</v>
      </c>
      <c r="C25" s="20" t="s">
        <v>91</v>
      </c>
      <c r="D25" s="19">
        <f>VLOOKUP(C25,Sheet1!$A$1:$B$350,2,FALSE)</f>
        <v>113</v>
      </c>
      <c r="E25" s="20" t="s">
        <v>92</v>
      </c>
      <c r="F25" s="19">
        <f>VLOOKUP(E25,Sheet1!$A$1:$B$350,2,FALSE)</f>
        <v>27</v>
      </c>
      <c r="H25" s="21">
        <f t="shared" si="0"/>
        <v>1</v>
      </c>
      <c r="I25" s="21">
        <f t="shared" si="1"/>
        <v>0</v>
      </c>
      <c r="J25" s="21">
        <f t="shared" si="2"/>
        <v>1</v>
      </c>
      <c r="K25" s="21">
        <f t="shared" si="3"/>
        <v>0</v>
      </c>
      <c r="L25" s="21">
        <f t="shared" si="4"/>
        <v>1</v>
      </c>
      <c r="M25" s="21">
        <f t="shared" si="5"/>
        <v>0</v>
      </c>
      <c r="N25" s="21">
        <f t="shared" si="6"/>
        <v>1</v>
      </c>
    </row>
    <row r="26" spans="1:16" x14ac:dyDescent="0.25">
      <c r="A26" s="18" t="s">
        <v>93</v>
      </c>
      <c r="B26" s="19">
        <f>VLOOKUP(A26,Sheet1!$A$1:$B$350,2,FALSE)</f>
        <v>499</v>
      </c>
      <c r="C26" s="20" t="s">
        <v>94</v>
      </c>
      <c r="D26" s="19">
        <f>VLOOKUP(C26,Sheet1!$A$1:$B$350,2,FALSE)</f>
        <v>244</v>
      </c>
      <c r="E26" s="24" t="s">
        <v>472</v>
      </c>
      <c r="F26" s="19">
        <f>VLOOKUP(E26,Sheet1!$A$1:$B$350,2,FALSE)</f>
        <v>1327</v>
      </c>
      <c r="H26" s="21">
        <f t="shared" si="0"/>
        <v>1</v>
      </c>
      <c r="I26" s="21">
        <f t="shared" si="1"/>
        <v>0</v>
      </c>
      <c r="J26" s="21">
        <f t="shared" si="2"/>
        <v>0</v>
      </c>
      <c r="K26" s="21">
        <f t="shared" si="3"/>
        <v>1</v>
      </c>
      <c r="L26" s="21">
        <f t="shared" si="4"/>
        <v>0</v>
      </c>
      <c r="M26" s="21">
        <f t="shared" si="5"/>
        <v>1</v>
      </c>
      <c r="N26" s="21">
        <f t="shared" si="6"/>
        <v>0</v>
      </c>
    </row>
    <row r="27" spans="1:16" x14ac:dyDescent="0.25">
      <c r="A27" s="18" t="s">
        <v>87</v>
      </c>
      <c r="B27" s="19">
        <f>VLOOKUP(A27,Sheet1!$A$1:$B$350,2,FALSE)</f>
        <v>6</v>
      </c>
      <c r="C27" s="20" t="s">
        <v>88</v>
      </c>
      <c r="D27" s="19">
        <f>VLOOKUP(C27,Sheet1!$A$1:$B$350,2,FALSE)</f>
        <v>9637</v>
      </c>
      <c r="E27" s="20" t="s">
        <v>89</v>
      </c>
      <c r="F27" s="19">
        <f>VLOOKUP(E27,Sheet1!$A$1:$B$350,2,FALSE)</f>
        <v>28</v>
      </c>
      <c r="H27" s="21">
        <f t="shared" si="0"/>
        <v>0</v>
      </c>
      <c r="I27" s="21">
        <f t="shared" si="1"/>
        <v>1</v>
      </c>
      <c r="J27" s="21">
        <f t="shared" si="2"/>
        <v>0</v>
      </c>
      <c r="K27" s="21">
        <f t="shared" si="3"/>
        <v>1</v>
      </c>
      <c r="L27" s="21">
        <f t="shared" si="4"/>
        <v>1</v>
      </c>
      <c r="M27" s="21">
        <f t="shared" si="5"/>
        <v>0</v>
      </c>
      <c r="N27" s="21">
        <f t="shared" si="6"/>
        <v>1</v>
      </c>
    </row>
    <row r="28" spans="1:16" x14ac:dyDescent="0.25">
      <c r="A28" s="18" t="s">
        <v>73</v>
      </c>
      <c r="B28" s="19">
        <f>VLOOKUP(A28,Sheet1!$A$1:$B$350,2,FALSE)</f>
        <v>18</v>
      </c>
      <c r="C28" s="20" t="s">
        <v>72</v>
      </c>
      <c r="D28" s="19">
        <f>VLOOKUP(C28,Sheet1!$A$1:$B$350,2,FALSE)</f>
        <v>32</v>
      </c>
      <c r="E28" s="20" t="s">
        <v>493</v>
      </c>
      <c r="F28" s="19">
        <f>VLOOKUP(E28,Sheet1!$A$1:$B$350,2,FALSE)</f>
        <v>97</v>
      </c>
      <c r="H28" s="21">
        <f t="shared" si="0"/>
        <v>0</v>
      </c>
      <c r="I28" s="21">
        <f t="shared" si="1"/>
        <v>1</v>
      </c>
      <c r="J28" s="21">
        <f t="shared" si="2"/>
        <v>0</v>
      </c>
      <c r="K28" s="21">
        <f t="shared" si="3"/>
        <v>1</v>
      </c>
      <c r="L28" s="21">
        <f t="shared" si="4"/>
        <v>0</v>
      </c>
      <c r="M28" s="21">
        <f t="shared" si="5"/>
        <v>1</v>
      </c>
      <c r="N28" s="21">
        <f t="shared" si="6"/>
        <v>1</v>
      </c>
    </row>
    <row r="29" spans="1:16" x14ac:dyDescent="0.25">
      <c r="A29" s="38" t="s">
        <v>454</v>
      </c>
      <c r="B29" s="19">
        <f>VLOOKUP(A29,Sheet1!$A$1:$B$350,2,FALSE)</f>
        <v>0</v>
      </c>
      <c r="C29" s="23" t="s">
        <v>99</v>
      </c>
      <c r="D29" s="19">
        <f>VLOOKUP(C29,Sheet1!$A$1:$B$350,2,FALSE)</f>
        <v>166</v>
      </c>
      <c r="E29" s="28" t="s">
        <v>477</v>
      </c>
      <c r="F29" s="19">
        <f>VLOOKUP(E29,Sheet1!$A$1:$B$350,2,FALSE)</f>
        <v>178</v>
      </c>
      <c r="H29" s="21">
        <f t="shared" si="0"/>
        <v>0</v>
      </c>
      <c r="I29" s="21">
        <f t="shared" si="1"/>
        <v>1</v>
      </c>
      <c r="J29" s="21">
        <f t="shared" si="2"/>
        <v>0</v>
      </c>
      <c r="K29" s="21">
        <f t="shared" si="3"/>
        <v>1</v>
      </c>
      <c r="L29" s="21">
        <f t="shared" si="4"/>
        <v>0</v>
      </c>
      <c r="M29" s="21">
        <f t="shared" si="5"/>
        <v>1</v>
      </c>
      <c r="N29" s="21">
        <f t="shared" si="6"/>
        <v>1</v>
      </c>
    </row>
    <row r="30" spans="1:16" x14ac:dyDescent="0.25">
      <c r="A30" s="18" t="s">
        <v>97</v>
      </c>
      <c r="B30" s="19">
        <f>VLOOKUP(A30,Sheet1!$A$1:$B$350,2,FALSE)</f>
        <v>1</v>
      </c>
      <c r="C30" s="20" t="s">
        <v>98</v>
      </c>
      <c r="D30" s="19">
        <f>VLOOKUP(C30,Sheet1!$A$1:$B$350,2,FALSE)</f>
        <v>55</v>
      </c>
      <c r="E30" s="24" t="s">
        <v>473</v>
      </c>
      <c r="F30" s="19">
        <f>VLOOKUP(E30,Sheet1!$A$1:$B$350,2,FALSE)</f>
        <v>168</v>
      </c>
      <c r="H30" s="21">
        <f t="shared" si="0"/>
        <v>0</v>
      </c>
      <c r="I30" s="21">
        <f t="shared" si="1"/>
        <v>1</v>
      </c>
      <c r="J30" s="21">
        <f t="shared" si="2"/>
        <v>0</v>
      </c>
      <c r="K30" s="21">
        <f t="shared" si="3"/>
        <v>1</v>
      </c>
      <c r="L30" s="21">
        <f t="shared" si="4"/>
        <v>0</v>
      </c>
      <c r="M30" s="21">
        <f t="shared" si="5"/>
        <v>1</v>
      </c>
      <c r="N30" s="21">
        <f t="shared" si="6"/>
        <v>1</v>
      </c>
    </row>
    <row r="31" spans="1:16" x14ac:dyDescent="0.25">
      <c r="A31" s="18" t="s">
        <v>102</v>
      </c>
      <c r="B31" s="19">
        <f>VLOOKUP(A31,Sheet1!$A$1:$B$350,2,FALSE)</f>
        <v>5237</v>
      </c>
      <c r="C31" s="20" t="s">
        <v>103</v>
      </c>
      <c r="D31" s="19">
        <f>VLOOKUP(C31,Sheet1!$A$1:$B$350,2,FALSE)</f>
        <v>51</v>
      </c>
      <c r="E31" s="20" t="s">
        <v>104</v>
      </c>
      <c r="F31" s="19">
        <f>VLOOKUP(E31,Sheet1!$A$1:$B$350,2,FALSE)</f>
        <v>8</v>
      </c>
      <c r="H31" s="21">
        <f t="shared" si="0"/>
        <v>1</v>
      </c>
      <c r="I31" s="21">
        <f t="shared" si="1"/>
        <v>0</v>
      </c>
      <c r="J31" s="21">
        <f t="shared" si="2"/>
        <v>1</v>
      </c>
      <c r="K31" s="21">
        <f t="shared" si="3"/>
        <v>0</v>
      </c>
      <c r="L31" s="21">
        <f t="shared" si="4"/>
        <v>1</v>
      </c>
      <c r="M31" s="21">
        <f t="shared" si="5"/>
        <v>0</v>
      </c>
      <c r="N31" s="21">
        <f t="shared" si="6"/>
        <v>1</v>
      </c>
      <c r="P31" s="26" t="s">
        <v>438</v>
      </c>
    </row>
    <row r="32" spans="1:16" x14ac:dyDescent="0.25">
      <c r="A32" s="18" t="s">
        <v>111</v>
      </c>
      <c r="B32" s="19">
        <f>VLOOKUP(A32,Sheet1!$A$1:$B$350,2,FALSE)</f>
        <v>8</v>
      </c>
      <c r="C32" s="20" t="s">
        <v>112</v>
      </c>
      <c r="D32" s="19">
        <f>VLOOKUP(C32,Sheet1!$A$1:$B$350,2,FALSE)</f>
        <v>96</v>
      </c>
      <c r="E32" s="20" t="s">
        <v>113</v>
      </c>
      <c r="F32" s="19">
        <f>VLOOKUP(E32,Sheet1!$A$1:$B$350,2,FALSE)</f>
        <v>41</v>
      </c>
      <c r="H32" s="21">
        <f t="shared" si="0"/>
        <v>0</v>
      </c>
      <c r="I32" s="21">
        <f t="shared" si="1"/>
        <v>1</v>
      </c>
      <c r="J32" s="21">
        <f t="shared" si="2"/>
        <v>0</v>
      </c>
      <c r="K32" s="21">
        <f t="shared" si="3"/>
        <v>1</v>
      </c>
      <c r="L32" s="21">
        <f t="shared" si="4"/>
        <v>1</v>
      </c>
      <c r="M32" s="21">
        <f t="shared" si="5"/>
        <v>0</v>
      </c>
      <c r="N32" s="21">
        <f t="shared" si="6"/>
        <v>1</v>
      </c>
    </row>
    <row r="33" spans="1:14" x14ac:dyDescent="0.25">
      <c r="A33" s="38" t="s">
        <v>121</v>
      </c>
      <c r="B33" s="19">
        <f>VLOOKUP(A33,Sheet1!$A$1:$B$350,2,FALSE)</f>
        <v>31</v>
      </c>
      <c r="C33" s="23" t="s">
        <v>455</v>
      </c>
      <c r="D33" s="19">
        <f>VLOOKUP(C33,Sheet1!$A$1:$B$350,2,FALSE)</f>
        <v>79</v>
      </c>
      <c r="E33" s="28" t="s">
        <v>478</v>
      </c>
      <c r="F33" s="19">
        <f>VLOOKUP(E33,Sheet1!$A$1:$B$350,2,FALSE)</f>
        <v>374</v>
      </c>
      <c r="H33" s="21">
        <f t="shared" si="0"/>
        <v>0</v>
      </c>
      <c r="I33" s="21">
        <f t="shared" si="1"/>
        <v>1</v>
      </c>
      <c r="J33" s="21">
        <f t="shared" si="2"/>
        <v>0</v>
      </c>
      <c r="K33" s="21">
        <f t="shared" si="3"/>
        <v>1</v>
      </c>
      <c r="L33" s="21">
        <f t="shared" si="4"/>
        <v>0</v>
      </c>
      <c r="M33" s="21">
        <f t="shared" si="5"/>
        <v>1</v>
      </c>
      <c r="N33" s="21">
        <f t="shared" si="6"/>
        <v>1</v>
      </c>
    </row>
    <row r="34" spans="1:14" x14ac:dyDescent="0.25">
      <c r="A34" s="18" t="s">
        <v>109</v>
      </c>
      <c r="B34" s="19">
        <f>VLOOKUP(A34,Sheet1!$A$1:$B$350,2,FALSE)</f>
        <v>49</v>
      </c>
      <c r="C34" s="20" t="s">
        <v>108</v>
      </c>
      <c r="D34" s="19">
        <f>VLOOKUP(C34,Sheet1!$A$1:$B$350,2,FALSE)</f>
        <v>136</v>
      </c>
      <c r="E34" s="23" t="s">
        <v>474</v>
      </c>
      <c r="F34" s="19">
        <f>VLOOKUP(E34,Sheet1!$A$1:$B$350,2,FALSE)</f>
        <v>429</v>
      </c>
      <c r="H34" s="21">
        <f t="shared" si="0"/>
        <v>0</v>
      </c>
      <c r="I34" s="21">
        <f t="shared" si="1"/>
        <v>1</v>
      </c>
      <c r="J34" s="21">
        <f t="shared" si="2"/>
        <v>0</v>
      </c>
      <c r="K34" s="21">
        <f t="shared" si="3"/>
        <v>1</v>
      </c>
      <c r="L34" s="21">
        <f t="shared" si="4"/>
        <v>0</v>
      </c>
      <c r="M34" s="21">
        <f t="shared" si="5"/>
        <v>1</v>
      </c>
      <c r="N34" s="21">
        <f t="shared" si="6"/>
        <v>1</v>
      </c>
    </row>
    <row r="35" spans="1:14" x14ac:dyDescent="0.25">
      <c r="A35" s="18" t="s">
        <v>115</v>
      </c>
      <c r="B35" s="19">
        <f>VLOOKUP(A35,Sheet1!$A$1:$B$350,2,FALSE)</f>
        <v>1</v>
      </c>
      <c r="C35" s="20" t="s">
        <v>114</v>
      </c>
      <c r="D35" s="19">
        <f>VLOOKUP(C35,Sheet1!$A$1:$B$350,2,FALSE)</f>
        <v>3</v>
      </c>
      <c r="E35" s="20" t="s">
        <v>116</v>
      </c>
      <c r="F35" s="19">
        <f>VLOOKUP(E35,Sheet1!$A$1:$B$350,2,FALSE)</f>
        <v>5</v>
      </c>
      <c r="H35" s="21">
        <f t="shared" si="0"/>
        <v>0</v>
      </c>
      <c r="I35" s="21">
        <f t="shared" si="1"/>
        <v>1</v>
      </c>
      <c r="J35" s="21">
        <f t="shared" si="2"/>
        <v>0</v>
      </c>
      <c r="K35" s="21">
        <f t="shared" si="3"/>
        <v>1</v>
      </c>
      <c r="L35" s="21">
        <f t="shared" si="4"/>
        <v>0</v>
      </c>
      <c r="M35" s="21">
        <f t="shared" si="5"/>
        <v>1</v>
      </c>
      <c r="N35" s="21">
        <f t="shared" si="6"/>
        <v>1</v>
      </c>
    </row>
    <row r="36" spans="1:14" x14ac:dyDescent="0.25">
      <c r="A36" s="18" t="s">
        <v>120</v>
      </c>
      <c r="B36" s="19">
        <f>VLOOKUP(A36,Sheet1!$A$1:$B$350,2,FALSE)</f>
        <v>34</v>
      </c>
      <c r="C36" s="20" t="s">
        <v>119</v>
      </c>
      <c r="D36" s="19">
        <f>VLOOKUP(C36,Sheet1!$A$1:$B$350,2,FALSE)</f>
        <v>123</v>
      </c>
      <c r="E36" s="24" t="s">
        <v>475</v>
      </c>
      <c r="F36" s="19">
        <f>VLOOKUP(E36,Sheet1!$A$1:$B$350,2,FALSE)</f>
        <v>663</v>
      </c>
      <c r="H36" s="21">
        <f t="shared" si="0"/>
        <v>0</v>
      </c>
      <c r="I36" s="21">
        <f t="shared" si="1"/>
        <v>1</v>
      </c>
      <c r="J36" s="21">
        <f t="shared" si="2"/>
        <v>0</v>
      </c>
      <c r="K36" s="21">
        <f t="shared" si="3"/>
        <v>1</v>
      </c>
      <c r="L36" s="21">
        <f t="shared" si="4"/>
        <v>0</v>
      </c>
      <c r="M36" s="21">
        <f t="shared" si="5"/>
        <v>1</v>
      </c>
      <c r="N36" s="21">
        <f t="shared" si="6"/>
        <v>1</v>
      </c>
    </row>
    <row r="37" spans="1:14" x14ac:dyDescent="0.25">
      <c r="A37" s="18" t="s">
        <v>110</v>
      </c>
      <c r="B37" s="19">
        <f>VLOOKUP(A37,Sheet1!$A$1:$B$350,2,FALSE)</f>
        <v>4</v>
      </c>
      <c r="C37" s="20" t="s">
        <v>117</v>
      </c>
      <c r="D37" s="19">
        <f>VLOOKUP(C37,Sheet1!$A$1:$B$350,2,FALSE)</f>
        <v>32</v>
      </c>
      <c r="E37" s="20" t="s">
        <v>118</v>
      </c>
      <c r="F37" s="19">
        <f>VLOOKUP(E37,Sheet1!$A$1:$B$350,2,FALSE)</f>
        <v>9</v>
      </c>
      <c r="H37" s="21">
        <f t="shared" si="0"/>
        <v>0</v>
      </c>
      <c r="I37" s="21">
        <f t="shared" si="1"/>
        <v>1</v>
      </c>
      <c r="J37" s="21">
        <f t="shared" si="2"/>
        <v>0</v>
      </c>
      <c r="K37" s="21">
        <f t="shared" si="3"/>
        <v>1</v>
      </c>
      <c r="L37" s="21">
        <f t="shared" si="4"/>
        <v>1</v>
      </c>
      <c r="M37" s="21">
        <f t="shared" si="5"/>
        <v>0</v>
      </c>
      <c r="N37" s="21">
        <f t="shared" si="6"/>
        <v>1</v>
      </c>
    </row>
    <row r="38" spans="1:14" x14ac:dyDescent="0.25">
      <c r="A38" s="18" t="s">
        <v>122</v>
      </c>
      <c r="B38" s="19">
        <f>VLOOKUP(A38,Sheet1!$A$1:$B$350,2,FALSE)</f>
        <v>759</v>
      </c>
      <c r="C38" s="20" t="s">
        <v>123</v>
      </c>
      <c r="D38" s="19">
        <f>VLOOKUP(C38,Sheet1!$A$1:$B$350,2,FALSE)</f>
        <v>51</v>
      </c>
      <c r="E38" s="20" t="s">
        <v>124</v>
      </c>
      <c r="F38" s="19">
        <f>VLOOKUP(E38,Sheet1!$A$1:$B$350,2,FALSE)</f>
        <v>65</v>
      </c>
      <c r="H38" s="21">
        <f t="shared" si="0"/>
        <v>1</v>
      </c>
      <c r="I38" s="21">
        <f t="shared" si="1"/>
        <v>0</v>
      </c>
      <c r="J38" s="21">
        <f t="shared" si="2"/>
        <v>1</v>
      </c>
      <c r="K38" s="21">
        <f t="shared" si="3"/>
        <v>0</v>
      </c>
      <c r="L38" s="21">
        <f t="shared" si="4"/>
        <v>0</v>
      </c>
      <c r="M38" s="21">
        <f t="shared" si="5"/>
        <v>1</v>
      </c>
      <c r="N38" s="21">
        <f t="shared" si="6"/>
        <v>1</v>
      </c>
    </row>
    <row r="39" spans="1:14" x14ac:dyDescent="0.25">
      <c r="A39" s="18" t="s">
        <v>128</v>
      </c>
      <c r="B39" s="19">
        <f>VLOOKUP(A39,Sheet1!$A$1:$B$350,2,FALSE)</f>
        <v>52</v>
      </c>
      <c r="C39" s="20" t="s">
        <v>129</v>
      </c>
      <c r="D39" s="19">
        <f>VLOOKUP(C39,Sheet1!$A$1:$B$350,2,FALSE)</f>
        <v>143</v>
      </c>
      <c r="E39" s="24" t="s">
        <v>476</v>
      </c>
      <c r="F39" s="19">
        <f>VLOOKUP(E39,Sheet1!$A$1:$B$350,2,FALSE)</f>
        <v>710</v>
      </c>
      <c r="H39" s="21">
        <f t="shared" si="0"/>
        <v>0</v>
      </c>
      <c r="I39" s="21">
        <f t="shared" si="1"/>
        <v>1</v>
      </c>
      <c r="J39" s="21">
        <f t="shared" si="2"/>
        <v>0</v>
      </c>
      <c r="K39" s="21">
        <f t="shared" si="3"/>
        <v>1</v>
      </c>
      <c r="L39" s="21">
        <f t="shared" si="4"/>
        <v>0</v>
      </c>
      <c r="M39" s="21">
        <f t="shared" si="5"/>
        <v>1</v>
      </c>
      <c r="N39" s="21">
        <f t="shared" si="6"/>
        <v>1</v>
      </c>
    </row>
    <row r="40" spans="1:14" x14ac:dyDescent="0.25">
      <c r="A40" s="18" t="s">
        <v>125</v>
      </c>
      <c r="B40" s="19">
        <f>VLOOKUP(A40,Sheet1!$A$1:$B$350,2,FALSE)</f>
        <v>6</v>
      </c>
      <c r="C40" s="20" t="s">
        <v>126</v>
      </c>
      <c r="D40" s="19">
        <f>VLOOKUP(C40,Sheet1!$A$1:$B$350,2,FALSE)</f>
        <v>16</v>
      </c>
      <c r="E40" s="20" t="s">
        <v>127</v>
      </c>
      <c r="F40" s="19">
        <f>VLOOKUP(E40,Sheet1!$A$1:$B$350,2,FALSE)</f>
        <v>12</v>
      </c>
      <c r="H40" s="21">
        <f t="shared" si="0"/>
        <v>0</v>
      </c>
      <c r="I40" s="21">
        <f t="shared" si="1"/>
        <v>1</v>
      </c>
      <c r="J40" s="21">
        <f t="shared" si="2"/>
        <v>0</v>
      </c>
      <c r="K40" s="21">
        <f t="shared" si="3"/>
        <v>1</v>
      </c>
      <c r="L40" s="21">
        <f t="shared" si="4"/>
        <v>1</v>
      </c>
      <c r="M40" s="21">
        <f t="shared" si="5"/>
        <v>0</v>
      </c>
      <c r="N40" s="21">
        <f t="shared" si="6"/>
        <v>1</v>
      </c>
    </row>
    <row r="41" spans="1:14" x14ac:dyDescent="0.25">
      <c r="A41" s="18" t="s">
        <v>130</v>
      </c>
      <c r="B41" s="19">
        <f>VLOOKUP(A41,Sheet1!$A$1:$B$350,2,FALSE)</f>
        <v>143</v>
      </c>
      <c r="C41" s="20" t="s">
        <v>131</v>
      </c>
      <c r="D41" s="19">
        <f>VLOOKUP(C41,Sheet1!$A$1:$B$350,2,FALSE)</f>
        <v>27</v>
      </c>
      <c r="E41" s="20" t="s">
        <v>132</v>
      </c>
      <c r="F41" s="19">
        <f>VLOOKUP(E41,Sheet1!$A$1:$B$350,2,FALSE)</f>
        <v>8</v>
      </c>
      <c r="H41" s="21">
        <f t="shared" si="0"/>
        <v>1</v>
      </c>
      <c r="I41" s="21">
        <f t="shared" si="1"/>
        <v>0</v>
      </c>
      <c r="J41" s="21">
        <f t="shared" si="2"/>
        <v>1</v>
      </c>
      <c r="K41" s="21">
        <f t="shared" si="3"/>
        <v>0</v>
      </c>
      <c r="L41" s="21">
        <f t="shared" si="4"/>
        <v>1</v>
      </c>
      <c r="M41" s="21">
        <f t="shared" si="5"/>
        <v>0</v>
      </c>
      <c r="N41" s="21">
        <f t="shared" si="6"/>
        <v>1</v>
      </c>
    </row>
    <row r="42" spans="1:14" x14ac:dyDescent="0.25">
      <c r="A42" s="18" t="s">
        <v>133</v>
      </c>
      <c r="B42" s="19">
        <f>VLOOKUP(A42,Sheet1!$A$1:$B$350,2,FALSE)</f>
        <v>79</v>
      </c>
      <c r="C42" s="20" t="s">
        <v>134</v>
      </c>
      <c r="D42" s="19">
        <f>VLOOKUP(C42,Sheet1!$A$1:$B$350,2,FALSE)</f>
        <v>72</v>
      </c>
      <c r="E42" s="20" t="s">
        <v>135</v>
      </c>
      <c r="F42" s="19">
        <f>VLOOKUP(E42,Sheet1!$A$1:$B$350,2,FALSE)</f>
        <v>53</v>
      </c>
      <c r="H42" s="21">
        <f t="shared" si="0"/>
        <v>1</v>
      </c>
      <c r="I42" s="21">
        <f t="shared" si="1"/>
        <v>0</v>
      </c>
      <c r="J42" s="21">
        <f t="shared" si="2"/>
        <v>1</v>
      </c>
      <c r="K42" s="21">
        <f t="shared" si="3"/>
        <v>0</v>
      </c>
      <c r="L42" s="21">
        <f t="shared" si="4"/>
        <v>1</v>
      </c>
      <c r="M42" s="21">
        <f t="shared" si="5"/>
        <v>0</v>
      </c>
      <c r="N42" s="21">
        <f t="shared" si="6"/>
        <v>1</v>
      </c>
    </row>
    <row r="43" spans="1:14" x14ac:dyDescent="0.25">
      <c r="A43" s="18" t="s">
        <v>136</v>
      </c>
      <c r="B43" s="19">
        <f>VLOOKUP(A43,Sheet1!$A$1:$B$350,2,FALSE)</f>
        <v>4557</v>
      </c>
      <c r="C43" s="20" t="s">
        <v>137</v>
      </c>
      <c r="D43" s="19">
        <f>VLOOKUP(C43,Sheet1!$A$1:$B$350,2,FALSE)</f>
        <v>655</v>
      </c>
      <c r="E43" s="20" t="s">
        <v>138</v>
      </c>
      <c r="F43" s="19">
        <f>VLOOKUP(E43,Sheet1!$A$1:$B$350,2,FALSE)</f>
        <v>300</v>
      </c>
      <c r="H43" s="21">
        <f t="shared" si="0"/>
        <v>1</v>
      </c>
      <c r="I43" s="21">
        <f t="shared" si="1"/>
        <v>0</v>
      </c>
      <c r="J43" s="21">
        <f t="shared" si="2"/>
        <v>1</v>
      </c>
      <c r="K43" s="21">
        <f t="shared" si="3"/>
        <v>0</v>
      </c>
      <c r="L43" s="21">
        <f t="shared" si="4"/>
        <v>1</v>
      </c>
      <c r="M43" s="21">
        <f t="shared" si="5"/>
        <v>0</v>
      </c>
      <c r="N43" s="21">
        <f t="shared" si="6"/>
        <v>1</v>
      </c>
    </row>
    <row r="44" spans="1:14" x14ac:dyDescent="0.25">
      <c r="A44" s="18" t="s">
        <v>142</v>
      </c>
      <c r="B44" s="19">
        <f>VLOOKUP(A44,Sheet1!$A$1:$B$350,2,FALSE)</f>
        <v>101</v>
      </c>
      <c r="C44" s="20" t="s">
        <v>143</v>
      </c>
      <c r="D44" s="19">
        <f>VLOOKUP(C44,Sheet1!$A$1:$B$350,2,FALSE)</f>
        <v>265</v>
      </c>
      <c r="E44" s="20" t="s">
        <v>144</v>
      </c>
      <c r="F44" s="19">
        <f>VLOOKUP(E44,Sheet1!$A$1:$B$350,2,FALSE)</f>
        <v>197</v>
      </c>
      <c r="H44" s="21">
        <f t="shared" si="0"/>
        <v>0</v>
      </c>
      <c r="I44" s="21">
        <f t="shared" si="1"/>
        <v>1</v>
      </c>
      <c r="J44" s="21">
        <f t="shared" si="2"/>
        <v>0</v>
      </c>
      <c r="K44" s="21">
        <f t="shared" si="3"/>
        <v>1</v>
      </c>
      <c r="L44" s="21">
        <f t="shared" si="4"/>
        <v>1</v>
      </c>
      <c r="M44" s="21">
        <f t="shared" si="5"/>
        <v>0</v>
      </c>
      <c r="N44" s="21">
        <f t="shared" si="6"/>
        <v>1</v>
      </c>
    </row>
    <row r="45" spans="1:14" x14ac:dyDescent="0.25">
      <c r="A45" s="18" t="s">
        <v>145</v>
      </c>
      <c r="B45" s="19">
        <f>VLOOKUP(A45,Sheet1!$A$1:$B$350,2,FALSE)</f>
        <v>19</v>
      </c>
      <c r="C45" s="20" t="s">
        <v>146</v>
      </c>
      <c r="D45" s="19">
        <f>VLOOKUP(C45,Sheet1!$A$1:$B$350,2,FALSE)</f>
        <v>2938</v>
      </c>
      <c r="E45" s="20" t="s">
        <v>147</v>
      </c>
      <c r="F45" s="19">
        <f>VLOOKUP(E45,Sheet1!$A$1:$B$350,2,FALSE)</f>
        <v>1691</v>
      </c>
      <c r="H45" s="21">
        <f t="shared" si="0"/>
        <v>0</v>
      </c>
      <c r="I45" s="21">
        <f t="shared" si="1"/>
        <v>1</v>
      </c>
      <c r="J45" s="21">
        <f t="shared" si="2"/>
        <v>0</v>
      </c>
      <c r="K45" s="21">
        <f t="shared" si="3"/>
        <v>1</v>
      </c>
      <c r="L45" s="21">
        <f t="shared" si="4"/>
        <v>1</v>
      </c>
      <c r="M45" s="21">
        <f t="shared" si="5"/>
        <v>0</v>
      </c>
      <c r="N45" s="21">
        <f t="shared" si="6"/>
        <v>1</v>
      </c>
    </row>
    <row r="46" spans="1:14" x14ac:dyDescent="0.25">
      <c r="A46" s="38" t="s">
        <v>456</v>
      </c>
      <c r="B46" s="19">
        <f>VLOOKUP(A46,Sheet1!$A$1:$B$350,2,FALSE)</f>
        <v>511</v>
      </c>
      <c r="C46" s="23" t="s">
        <v>153</v>
      </c>
      <c r="D46" s="19">
        <f>VLOOKUP(C46,Sheet1!$A$1:$B$350,2,FALSE)</f>
        <v>14692</v>
      </c>
      <c r="E46" s="28" t="s">
        <v>480</v>
      </c>
      <c r="F46" s="19">
        <f>VLOOKUP(E46,Sheet1!$A$1:$B$350,2,FALSE)</f>
        <v>7760</v>
      </c>
      <c r="H46" s="21">
        <f t="shared" si="0"/>
        <v>0</v>
      </c>
      <c r="I46" s="21">
        <f t="shared" si="1"/>
        <v>1</v>
      </c>
      <c r="J46" s="21">
        <f t="shared" si="2"/>
        <v>0</v>
      </c>
      <c r="K46" s="21">
        <f t="shared" si="3"/>
        <v>1</v>
      </c>
      <c r="L46" s="21">
        <f t="shared" si="4"/>
        <v>1</v>
      </c>
      <c r="M46" s="21">
        <f t="shared" si="5"/>
        <v>0</v>
      </c>
      <c r="N46" s="21">
        <f t="shared" si="6"/>
        <v>1</v>
      </c>
    </row>
    <row r="47" spans="1:14" x14ac:dyDescent="0.25">
      <c r="A47" s="18" t="s">
        <v>149</v>
      </c>
      <c r="B47" s="19">
        <f>VLOOKUP(A47,Sheet1!$A$1:$B$350,2,FALSE)</f>
        <v>144</v>
      </c>
      <c r="C47" s="20" t="s">
        <v>148</v>
      </c>
      <c r="D47" s="19">
        <f>VLOOKUP(C47,Sheet1!$A$1:$B$350,2,FALSE)</f>
        <v>478</v>
      </c>
      <c r="E47" s="20" t="s">
        <v>150</v>
      </c>
      <c r="F47" s="19">
        <f>VLOOKUP(E47,Sheet1!$A$1:$B$350,2,FALSE)</f>
        <v>3838</v>
      </c>
      <c r="H47" s="21">
        <f t="shared" si="0"/>
        <v>0</v>
      </c>
      <c r="I47" s="21">
        <f t="shared" si="1"/>
        <v>1</v>
      </c>
      <c r="J47" s="21">
        <f t="shared" si="2"/>
        <v>0</v>
      </c>
      <c r="K47" s="21">
        <f t="shared" si="3"/>
        <v>1</v>
      </c>
      <c r="L47" s="21">
        <f t="shared" si="4"/>
        <v>0</v>
      </c>
      <c r="M47" s="21">
        <f t="shared" si="5"/>
        <v>1</v>
      </c>
      <c r="N47" s="21">
        <f t="shared" si="6"/>
        <v>1</v>
      </c>
    </row>
    <row r="48" spans="1:14" x14ac:dyDescent="0.25">
      <c r="A48" s="18" t="s">
        <v>139</v>
      </c>
      <c r="B48" s="19">
        <f>VLOOKUP(A48,Sheet1!$A$1:$B$350,2,FALSE)</f>
        <v>141</v>
      </c>
      <c r="C48" s="20" t="s">
        <v>140</v>
      </c>
      <c r="D48" s="19">
        <f>VLOOKUP(C48,Sheet1!$A$1:$B$350,2,FALSE)</f>
        <v>12816</v>
      </c>
      <c r="E48" s="20" t="s">
        <v>141</v>
      </c>
      <c r="F48" s="19">
        <f>VLOOKUP(E48,Sheet1!$A$1:$B$350,2,FALSE)</f>
        <v>3756</v>
      </c>
      <c r="H48" s="21">
        <f t="shared" si="0"/>
        <v>0</v>
      </c>
      <c r="I48" s="21">
        <f t="shared" si="1"/>
        <v>1</v>
      </c>
      <c r="J48" s="21">
        <f t="shared" si="2"/>
        <v>0</v>
      </c>
      <c r="K48" s="21">
        <f t="shared" si="3"/>
        <v>1</v>
      </c>
      <c r="L48" s="21">
        <f t="shared" si="4"/>
        <v>1</v>
      </c>
      <c r="M48" s="21">
        <f t="shared" si="5"/>
        <v>0</v>
      </c>
      <c r="N48" s="21">
        <f t="shared" si="6"/>
        <v>1</v>
      </c>
    </row>
    <row r="49" spans="1:16" x14ac:dyDescent="0.25">
      <c r="A49" s="18" t="s">
        <v>152</v>
      </c>
      <c r="B49" s="19">
        <f>VLOOKUP(A49,Sheet1!$A$1:$B$350,2,FALSE)</f>
        <v>5652</v>
      </c>
      <c r="C49" s="20" t="s">
        <v>151</v>
      </c>
      <c r="D49" s="19">
        <f>VLOOKUP(C49,Sheet1!$A$1:$B$350,2,FALSE)</f>
        <v>748</v>
      </c>
      <c r="E49" s="24" t="s">
        <v>479</v>
      </c>
      <c r="F49" s="19">
        <f>VLOOKUP(E49,Sheet1!$A$1:$B$350,2,FALSE)</f>
        <v>438</v>
      </c>
      <c r="H49" s="21">
        <f t="shared" si="0"/>
        <v>1</v>
      </c>
      <c r="I49" s="21">
        <f t="shared" si="1"/>
        <v>0</v>
      </c>
      <c r="J49" s="21">
        <f t="shared" si="2"/>
        <v>1</v>
      </c>
      <c r="K49" s="21">
        <f t="shared" si="3"/>
        <v>0</v>
      </c>
      <c r="L49" s="21">
        <f t="shared" si="4"/>
        <v>1</v>
      </c>
      <c r="M49" s="21">
        <f t="shared" si="5"/>
        <v>0</v>
      </c>
      <c r="N49" s="21">
        <f t="shared" si="6"/>
        <v>1</v>
      </c>
    </row>
    <row r="50" spans="1:16" x14ac:dyDescent="0.25">
      <c r="A50" s="18" t="s">
        <v>163</v>
      </c>
      <c r="B50" s="19">
        <f>VLOOKUP(A50,Sheet1!$A$1:$B$350,2,FALSE)</f>
        <v>17</v>
      </c>
      <c r="C50" s="20" t="s">
        <v>162</v>
      </c>
      <c r="D50" s="19">
        <f>VLOOKUP(C50,Sheet1!$A$1:$B$350,2,FALSE)</f>
        <v>96</v>
      </c>
      <c r="E50" s="20" t="s">
        <v>164</v>
      </c>
      <c r="F50" s="19">
        <f>VLOOKUP(E50,Sheet1!$A$1:$B$350,2,FALSE)</f>
        <v>108</v>
      </c>
      <c r="H50" s="21">
        <f t="shared" si="0"/>
        <v>0</v>
      </c>
      <c r="I50" s="21">
        <f t="shared" si="1"/>
        <v>1</v>
      </c>
      <c r="J50" s="21">
        <f t="shared" si="2"/>
        <v>0</v>
      </c>
      <c r="K50" s="21">
        <f t="shared" si="3"/>
        <v>1</v>
      </c>
      <c r="L50" s="21">
        <f t="shared" si="4"/>
        <v>0</v>
      </c>
      <c r="M50" s="21">
        <f t="shared" si="5"/>
        <v>1</v>
      </c>
      <c r="N50" s="21">
        <f t="shared" si="6"/>
        <v>1</v>
      </c>
    </row>
    <row r="51" spans="1:16" x14ac:dyDescent="0.25">
      <c r="A51" s="18" t="s">
        <v>154</v>
      </c>
      <c r="B51" s="19">
        <f>VLOOKUP(A51,Sheet1!$A$1:$B$350,2,FALSE)</f>
        <v>131</v>
      </c>
      <c r="C51" s="20" t="s">
        <v>155</v>
      </c>
      <c r="D51" s="19">
        <f>VLOOKUP(C51,Sheet1!$A$1:$B$350,2,FALSE)</f>
        <v>277</v>
      </c>
      <c r="E51" s="20" t="s">
        <v>156</v>
      </c>
      <c r="F51" s="19">
        <f>VLOOKUP(E51,Sheet1!$A$1:$B$350,2,FALSE)</f>
        <v>8754</v>
      </c>
      <c r="H51" s="21">
        <f t="shared" si="0"/>
        <v>0</v>
      </c>
      <c r="I51" s="21">
        <f t="shared" si="1"/>
        <v>1</v>
      </c>
      <c r="J51" s="21">
        <f t="shared" si="2"/>
        <v>0</v>
      </c>
      <c r="K51" s="21">
        <f t="shared" si="3"/>
        <v>1</v>
      </c>
      <c r="L51" s="21">
        <f t="shared" si="4"/>
        <v>0</v>
      </c>
      <c r="M51" s="21">
        <f t="shared" si="5"/>
        <v>1</v>
      </c>
      <c r="N51" s="21">
        <f t="shared" si="6"/>
        <v>1</v>
      </c>
    </row>
    <row r="52" spans="1:16" x14ac:dyDescent="0.25">
      <c r="A52" s="18" t="s">
        <v>157</v>
      </c>
      <c r="B52" s="19">
        <f>VLOOKUP(A52,Sheet1!$A$1:$B$350,2,FALSE)</f>
        <v>28039</v>
      </c>
      <c r="C52" s="20" t="s">
        <v>158</v>
      </c>
      <c r="D52" s="19">
        <f>VLOOKUP(C52,Sheet1!$A$1:$B$350,2,FALSE)</f>
        <v>281</v>
      </c>
      <c r="E52" s="20" t="s">
        <v>159</v>
      </c>
      <c r="F52" s="19">
        <f>VLOOKUP(E52,Sheet1!$A$1:$B$350,2,FALSE)</f>
        <v>927</v>
      </c>
      <c r="H52" s="21">
        <f t="shared" si="0"/>
        <v>1</v>
      </c>
      <c r="I52" s="21">
        <f t="shared" si="1"/>
        <v>0</v>
      </c>
      <c r="J52" s="21">
        <f t="shared" si="2"/>
        <v>1</v>
      </c>
      <c r="K52" s="21">
        <f t="shared" si="3"/>
        <v>0</v>
      </c>
      <c r="L52" s="21">
        <f t="shared" si="4"/>
        <v>0</v>
      </c>
      <c r="M52" s="21">
        <f t="shared" si="5"/>
        <v>1</v>
      </c>
      <c r="N52" s="21">
        <f t="shared" si="6"/>
        <v>1</v>
      </c>
    </row>
    <row r="53" spans="1:16" x14ac:dyDescent="0.25">
      <c r="A53" s="18" t="s">
        <v>160</v>
      </c>
      <c r="B53" s="19">
        <f>VLOOKUP(A53,Sheet1!$A$1:$B$350,2,FALSE)</f>
        <v>15140</v>
      </c>
      <c r="C53" s="20" t="s">
        <v>161</v>
      </c>
      <c r="D53" s="19">
        <f>VLOOKUP(C53,Sheet1!$A$1:$B$350,2,FALSE)</f>
        <v>285</v>
      </c>
      <c r="E53" s="20" t="s">
        <v>457</v>
      </c>
      <c r="F53" s="19">
        <f>VLOOKUP(E53,Sheet1!$A$1:$B$350,2,FALSE)</f>
        <v>3436</v>
      </c>
      <c r="H53" s="21">
        <f t="shared" si="0"/>
        <v>1</v>
      </c>
      <c r="I53" s="21">
        <f t="shared" si="1"/>
        <v>0</v>
      </c>
      <c r="J53" s="21">
        <f t="shared" si="2"/>
        <v>1</v>
      </c>
      <c r="K53" s="21">
        <f t="shared" si="3"/>
        <v>0</v>
      </c>
      <c r="L53" s="21">
        <f t="shared" si="4"/>
        <v>0</v>
      </c>
      <c r="M53" s="21">
        <f t="shared" si="5"/>
        <v>1</v>
      </c>
      <c r="N53" s="21">
        <f t="shared" si="6"/>
        <v>1</v>
      </c>
    </row>
    <row r="54" spans="1:16" x14ac:dyDescent="0.25">
      <c r="A54" s="18" t="s">
        <v>147</v>
      </c>
      <c r="B54" s="19">
        <f>VLOOKUP(A54,Sheet1!$A$1:$B$350,2,FALSE)</f>
        <v>1691</v>
      </c>
      <c r="C54" s="20" t="s">
        <v>165</v>
      </c>
      <c r="D54" s="19">
        <f>VLOOKUP(C54,Sheet1!$A$1:$B$350,2,FALSE)</f>
        <v>54</v>
      </c>
      <c r="E54" s="20" t="s">
        <v>145</v>
      </c>
      <c r="F54" s="19">
        <f>VLOOKUP(E54,Sheet1!$A$1:$B$350,2,FALSE)</f>
        <v>19</v>
      </c>
      <c r="H54" s="21">
        <f t="shared" si="0"/>
        <v>1</v>
      </c>
      <c r="I54" s="21">
        <f t="shared" si="1"/>
        <v>0</v>
      </c>
      <c r="J54" s="21">
        <f t="shared" si="2"/>
        <v>1</v>
      </c>
      <c r="K54" s="21">
        <f t="shared" si="3"/>
        <v>0</v>
      </c>
      <c r="L54" s="21">
        <f t="shared" si="4"/>
        <v>1</v>
      </c>
      <c r="M54" s="21">
        <f t="shared" si="5"/>
        <v>0</v>
      </c>
      <c r="N54" s="21">
        <f t="shared" si="6"/>
        <v>1</v>
      </c>
    </row>
    <row r="55" spans="1:16" x14ac:dyDescent="0.25">
      <c r="A55" s="18" t="s">
        <v>167</v>
      </c>
      <c r="B55" s="19">
        <f>VLOOKUP(A55,Sheet1!$A$1:$B$350,2,FALSE)</f>
        <v>4594</v>
      </c>
      <c r="C55" s="20" t="s">
        <v>166</v>
      </c>
      <c r="D55" s="19">
        <f>VLOOKUP(C55,Sheet1!$A$1:$B$350,2,FALSE)</f>
        <v>3479</v>
      </c>
      <c r="E55" s="20" t="s">
        <v>168</v>
      </c>
      <c r="F55" s="19">
        <f>VLOOKUP(E55,Sheet1!$A$1:$B$350,2,FALSE)</f>
        <v>159</v>
      </c>
      <c r="H55" s="21">
        <f t="shared" si="0"/>
        <v>1</v>
      </c>
      <c r="I55" s="21">
        <f t="shared" si="1"/>
        <v>0</v>
      </c>
      <c r="J55" s="21">
        <f t="shared" si="2"/>
        <v>1</v>
      </c>
      <c r="K55" s="21">
        <f t="shared" si="3"/>
        <v>0</v>
      </c>
      <c r="L55" s="21">
        <f t="shared" si="4"/>
        <v>1</v>
      </c>
      <c r="M55" s="21">
        <f t="shared" si="5"/>
        <v>0</v>
      </c>
      <c r="N55" s="21">
        <f t="shared" si="6"/>
        <v>1</v>
      </c>
    </row>
    <row r="56" spans="1:16" x14ac:dyDescent="0.25">
      <c r="A56" s="18" t="s">
        <v>275</v>
      </c>
      <c r="B56" s="19">
        <f>VLOOKUP(A56,Sheet1!$A$1:$B$350,2,FALSE)</f>
        <v>244</v>
      </c>
      <c r="C56" s="20" t="s">
        <v>276</v>
      </c>
      <c r="D56" s="19">
        <f>VLOOKUP(C56,Sheet1!$A$1:$B$350,2,FALSE)</f>
        <v>27173</v>
      </c>
      <c r="E56" s="20" t="s">
        <v>277</v>
      </c>
      <c r="F56" s="19">
        <f>VLOOKUP(E56,Sheet1!$A$1:$B$350,2,FALSE)</f>
        <v>7443</v>
      </c>
      <c r="H56" s="21">
        <f t="shared" si="0"/>
        <v>0</v>
      </c>
      <c r="I56" s="21">
        <f t="shared" si="1"/>
        <v>1</v>
      </c>
      <c r="J56" s="21">
        <f t="shared" si="2"/>
        <v>0</v>
      </c>
      <c r="K56" s="21">
        <f t="shared" si="3"/>
        <v>1</v>
      </c>
      <c r="L56" s="21">
        <f t="shared" si="4"/>
        <v>1</v>
      </c>
      <c r="M56" s="21">
        <f t="shared" si="5"/>
        <v>0</v>
      </c>
      <c r="N56" s="21">
        <f t="shared" si="6"/>
        <v>1</v>
      </c>
    </row>
    <row r="57" spans="1:16" x14ac:dyDescent="0.25">
      <c r="A57" s="18" t="s">
        <v>180</v>
      </c>
      <c r="B57" s="19">
        <f>VLOOKUP(A57,Sheet1!$A$1:$B$350,2,FALSE)</f>
        <v>846</v>
      </c>
      <c r="C57" s="20" t="s">
        <v>181</v>
      </c>
      <c r="D57" s="19">
        <f>VLOOKUP(C57,Sheet1!$A$1:$B$350,2,FALSE)</f>
        <v>1836</v>
      </c>
      <c r="E57" s="20" t="s">
        <v>182</v>
      </c>
      <c r="F57" s="19">
        <f>VLOOKUP(E57,Sheet1!$A$1:$B$350,2,FALSE)</f>
        <v>337</v>
      </c>
      <c r="H57" s="21">
        <f t="shared" si="0"/>
        <v>0</v>
      </c>
      <c r="I57" s="21">
        <f t="shared" si="1"/>
        <v>1</v>
      </c>
      <c r="J57" s="21">
        <f t="shared" si="2"/>
        <v>1</v>
      </c>
      <c r="K57" s="21">
        <f t="shared" si="3"/>
        <v>0</v>
      </c>
      <c r="L57" s="21">
        <f t="shared" si="4"/>
        <v>1</v>
      </c>
      <c r="M57" s="21">
        <f t="shared" si="5"/>
        <v>0</v>
      </c>
      <c r="N57" s="21">
        <f t="shared" si="6"/>
        <v>0</v>
      </c>
    </row>
    <row r="58" spans="1:16" x14ac:dyDescent="0.25">
      <c r="A58" s="18" t="s">
        <v>169</v>
      </c>
      <c r="B58" s="19">
        <f>VLOOKUP(A58,Sheet1!$A$1:$B$350,2,FALSE)</f>
        <v>902</v>
      </c>
      <c r="C58" s="20" t="s">
        <v>170</v>
      </c>
      <c r="D58" s="19">
        <f>VLOOKUP(C58,Sheet1!$A$1:$B$350,2,FALSE)</f>
        <v>273</v>
      </c>
      <c r="E58" s="20" t="s">
        <v>171</v>
      </c>
      <c r="F58" s="19">
        <f>VLOOKUP(E58,Sheet1!$A$1:$B$350,2,FALSE)</f>
        <v>527</v>
      </c>
      <c r="H58" s="21">
        <f t="shared" si="0"/>
        <v>1</v>
      </c>
      <c r="I58" s="21">
        <f t="shared" si="1"/>
        <v>0</v>
      </c>
      <c r="J58" s="21">
        <f t="shared" si="2"/>
        <v>1</v>
      </c>
      <c r="K58" s="21">
        <f t="shared" si="3"/>
        <v>0</v>
      </c>
      <c r="L58" s="21">
        <f t="shared" si="4"/>
        <v>0</v>
      </c>
      <c r="M58" s="21">
        <f t="shared" si="5"/>
        <v>1</v>
      </c>
      <c r="N58" s="21">
        <f t="shared" si="6"/>
        <v>1</v>
      </c>
    </row>
    <row r="59" spans="1:16" x14ac:dyDescent="0.25">
      <c r="A59" s="18" t="s">
        <v>172</v>
      </c>
      <c r="B59" s="19">
        <f>VLOOKUP(A59,Sheet1!$A$1:$B$350,2,FALSE)</f>
        <v>275</v>
      </c>
      <c r="C59" s="20" t="s">
        <v>173</v>
      </c>
      <c r="D59" s="19">
        <f>VLOOKUP(C59,Sheet1!$A$1:$B$350,2,FALSE)</f>
        <v>529</v>
      </c>
      <c r="E59" s="28" t="s">
        <v>498</v>
      </c>
      <c r="F59" s="19">
        <f>VLOOKUP(E59,Sheet1!$A$1:$B$350,2,FALSE)</f>
        <v>546</v>
      </c>
      <c r="H59" s="21">
        <f t="shared" si="0"/>
        <v>0</v>
      </c>
      <c r="I59" s="21">
        <f t="shared" si="1"/>
        <v>1</v>
      </c>
      <c r="J59" s="21">
        <f t="shared" si="2"/>
        <v>0</v>
      </c>
      <c r="K59" s="21">
        <f t="shared" si="3"/>
        <v>1</v>
      </c>
      <c r="L59" s="21">
        <f t="shared" si="4"/>
        <v>0</v>
      </c>
      <c r="M59" s="21">
        <f t="shared" si="5"/>
        <v>1</v>
      </c>
      <c r="N59" s="21">
        <f t="shared" si="6"/>
        <v>1</v>
      </c>
    </row>
    <row r="60" spans="1:16" x14ac:dyDescent="0.25">
      <c r="A60" s="18" t="s">
        <v>175</v>
      </c>
      <c r="B60" s="19">
        <f>VLOOKUP(A60,Sheet1!$A$1:$B$350,2,FALSE)</f>
        <v>361</v>
      </c>
      <c r="C60" s="20" t="s">
        <v>176</v>
      </c>
      <c r="D60" s="19">
        <f>VLOOKUP(C60,Sheet1!$A$1:$B$350,2,FALSE)</f>
        <v>94</v>
      </c>
      <c r="E60" s="20" t="s">
        <v>177</v>
      </c>
      <c r="F60" s="19">
        <f>VLOOKUP(E60,Sheet1!$A$1:$B$350,2,FALSE)</f>
        <v>132</v>
      </c>
      <c r="H60" s="21">
        <f t="shared" si="0"/>
        <v>1</v>
      </c>
      <c r="I60" s="21">
        <f t="shared" si="1"/>
        <v>0</v>
      </c>
      <c r="J60" s="21">
        <f t="shared" si="2"/>
        <v>1</v>
      </c>
      <c r="K60" s="21">
        <f t="shared" si="3"/>
        <v>0</v>
      </c>
      <c r="L60" s="21">
        <f t="shared" si="4"/>
        <v>0</v>
      </c>
      <c r="M60" s="21">
        <f t="shared" si="5"/>
        <v>1</v>
      </c>
      <c r="N60" s="21">
        <f t="shared" si="6"/>
        <v>1</v>
      </c>
    </row>
    <row r="61" spans="1:16" x14ac:dyDescent="0.25">
      <c r="A61" s="18" t="s">
        <v>178</v>
      </c>
      <c r="B61" s="19">
        <f>VLOOKUP(A61,Sheet1!$A$1:$B$350,2,FALSE)</f>
        <v>1282</v>
      </c>
      <c r="C61" s="20" t="s">
        <v>179</v>
      </c>
      <c r="D61" s="19">
        <f>VLOOKUP(C61,Sheet1!$A$1:$B$350,2,FALSE)</f>
        <v>4</v>
      </c>
      <c r="E61" s="23" t="s">
        <v>481</v>
      </c>
      <c r="F61" s="19">
        <f>VLOOKUP(E61,Sheet1!$A$1:$B$350,2,FALSE)</f>
        <v>660</v>
      </c>
      <c r="H61" s="21">
        <f t="shared" si="0"/>
        <v>1</v>
      </c>
      <c r="I61" s="21">
        <f t="shared" si="1"/>
        <v>0</v>
      </c>
      <c r="J61" s="21">
        <f t="shared" si="2"/>
        <v>1</v>
      </c>
      <c r="K61" s="21">
        <f t="shared" si="3"/>
        <v>0</v>
      </c>
      <c r="L61" s="21">
        <f t="shared" si="4"/>
        <v>0</v>
      </c>
      <c r="M61" s="21">
        <f t="shared" si="5"/>
        <v>1</v>
      </c>
      <c r="N61" s="21">
        <f t="shared" si="6"/>
        <v>1</v>
      </c>
    </row>
    <row r="62" spans="1:16" x14ac:dyDescent="0.25">
      <c r="A62" s="18" t="s">
        <v>183</v>
      </c>
      <c r="B62" s="19">
        <f>VLOOKUP(A62,Sheet1!$A$1:$B$350,2,FALSE)</f>
        <v>46</v>
      </c>
      <c r="C62" s="20" t="s">
        <v>184</v>
      </c>
      <c r="D62" s="19">
        <f>VLOOKUP(C62,Sheet1!$A$1:$B$350,2,FALSE)</f>
        <v>1353</v>
      </c>
      <c r="E62" s="20" t="s">
        <v>185</v>
      </c>
      <c r="F62" s="19">
        <f>VLOOKUP(E62,Sheet1!$A$1:$B$350,2,FALSE)</f>
        <v>1297</v>
      </c>
      <c r="H62" s="21">
        <f t="shared" si="0"/>
        <v>0</v>
      </c>
      <c r="I62" s="21">
        <f t="shared" si="1"/>
        <v>1</v>
      </c>
      <c r="J62" s="21">
        <f t="shared" si="2"/>
        <v>0</v>
      </c>
      <c r="K62" s="21">
        <f t="shared" si="3"/>
        <v>1</v>
      </c>
      <c r="L62" s="21">
        <f t="shared" si="4"/>
        <v>1</v>
      </c>
      <c r="M62" s="21">
        <f t="shared" si="5"/>
        <v>0</v>
      </c>
      <c r="N62" s="21">
        <f t="shared" si="6"/>
        <v>1</v>
      </c>
    </row>
    <row r="63" spans="1:16" x14ac:dyDescent="0.25">
      <c r="A63" s="18" t="s">
        <v>189</v>
      </c>
      <c r="B63" s="19">
        <f>VLOOKUP(A63,Sheet1!$A$1:$B$350,2,FALSE)</f>
        <v>719</v>
      </c>
      <c r="C63" s="20" t="s">
        <v>190</v>
      </c>
      <c r="D63" s="19">
        <f>VLOOKUP(C63,Sheet1!$A$1:$B$350,2,FALSE)</f>
        <v>1709</v>
      </c>
      <c r="E63" s="20" t="s">
        <v>191</v>
      </c>
      <c r="F63" s="19">
        <f>VLOOKUP(E63,Sheet1!$A$1:$B$350,2,FALSE)</f>
        <v>6608</v>
      </c>
      <c r="H63" s="21">
        <f t="shared" si="0"/>
        <v>0</v>
      </c>
      <c r="I63" s="21">
        <f t="shared" si="1"/>
        <v>1</v>
      </c>
      <c r="J63" s="21">
        <f t="shared" si="2"/>
        <v>0</v>
      </c>
      <c r="K63" s="21">
        <f t="shared" si="3"/>
        <v>1</v>
      </c>
      <c r="L63" s="21">
        <f t="shared" si="4"/>
        <v>0</v>
      </c>
      <c r="M63" s="21">
        <f t="shared" si="5"/>
        <v>1</v>
      </c>
      <c r="N63" s="21">
        <f t="shared" si="6"/>
        <v>1</v>
      </c>
      <c r="P63" s="29" t="s">
        <v>449</v>
      </c>
    </row>
    <row r="64" spans="1:16" x14ac:dyDescent="0.25">
      <c r="A64" s="18" t="s">
        <v>192</v>
      </c>
      <c r="B64" s="19">
        <f>VLOOKUP(A64,Sheet1!$A$1:$B$350,2,FALSE)</f>
        <v>208</v>
      </c>
      <c r="C64" s="20" t="s">
        <v>193</v>
      </c>
      <c r="D64" s="19">
        <f>VLOOKUP(C64,Sheet1!$A$1:$B$350,2,FALSE)</f>
        <v>2101</v>
      </c>
      <c r="E64" s="20" t="s">
        <v>194</v>
      </c>
      <c r="F64" s="19">
        <f>VLOOKUP(E64,Sheet1!$A$1:$B$350,2,FALSE)</f>
        <v>1537</v>
      </c>
      <c r="H64" s="21">
        <f t="shared" si="0"/>
        <v>0</v>
      </c>
      <c r="I64" s="21">
        <f t="shared" si="1"/>
        <v>1</v>
      </c>
      <c r="J64" s="21">
        <f t="shared" si="2"/>
        <v>0</v>
      </c>
      <c r="K64" s="21">
        <f t="shared" si="3"/>
        <v>1</v>
      </c>
      <c r="L64" s="21">
        <f t="shared" si="4"/>
        <v>1</v>
      </c>
      <c r="M64" s="21">
        <f t="shared" si="5"/>
        <v>0</v>
      </c>
      <c r="N64" s="21">
        <f t="shared" si="6"/>
        <v>1</v>
      </c>
    </row>
    <row r="65" spans="1:16" x14ac:dyDescent="0.25">
      <c r="A65" s="18" t="s">
        <v>198</v>
      </c>
      <c r="B65" s="19">
        <f>VLOOKUP(A65,Sheet1!$A$1:$B$350,2,FALSE)</f>
        <v>77</v>
      </c>
      <c r="C65" s="20" t="s">
        <v>199</v>
      </c>
      <c r="D65" s="19">
        <f>VLOOKUP(C65,Sheet1!$A$1:$B$350,2,FALSE)</f>
        <v>569</v>
      </c>
      <c r="E65" s="20" t="s">
        <v>200</v>
      </c>
      <c r="F65" s="19">
        <f>VLOOKUP(E65,Sheet1!$A$1:$B$350,2,FALSE)</f>
        <v>1119</v>
      </c>
      <c r="H65" s="21">
        <f t="shared" si="0"/>
        <v>0</v>
      </c>
      <c r="I65" s="21">
        <f t="shared" si="1"/>
        <v>1</v>
      </c>
      <c r="J65" s="21">
        <f t="shared" si="2"/>
        <v>0</v>
      </c>
      <c r="K65" s="21">
        <f t="shared" si="3"/>
        <v>1</v>
      </c>
      <c r="L65" s="21">
        <f t="shared" si="4"/>
        <v>0</v>
      </c>
      <c r="M65" s="21">
        <f t="shared" si="5"/>
        <v>1</v>
      </c>
      <c r="N65" s="21">
        <f t="shared" si="6"/>
        <v>1</v>
      </c>
      <c r="P65" s="29" t="s">
        <v>449</v>
      </c>
    </row>
    <row r="66" spans="1:16" x14ac:dyDescent="0.25">
      <c r="A66" s="18" t="s">
        <v>186</v>
      </c>
      <c r="B66" s="19">
        <f>VLOOKUP(A66,Sheet1!$A$1:$B$350,2,FALSE)</f>
        <v>56</v>
      </c>
      <c r="C66" s="20" t="s">
        <v>187</v>
      </c>
      <c r="D66" s="19">
        <f>VLOOKUP(C66,Sheet1!$A$1:$B$350,2,FALSE)</f>
        <v>144</v>
      </c>
      <c r="E66" s="20" t="s">
        <v>188</v>
      </c>
      <c r="F66" s="19">
        <f>VLOOKUP(E66,Sheet1!$A$1:$B$350,2,FALSE)</f>
        <v>582</v>
      </c>
      <c r="H66" s="21">
        <f t="shared" si="0"/>
        <v>0</v>
      </c>
      <c r="I66" s="21">
        <f t="shared" si="1"/>
        <v>1</v>
      </c>
      <c r="J66" s="21">
        <f t="shared" si="2"/>
        <v>0</v>
      </c>
      <c r="K66" s="21">
        <f t="shared" si="3"/>
        <v>1</v>
      </c>
      <c r="L66" s="21">
        <f t="shared" si="4"/>
        <v>0</v>
      </c>
      <c r="M66" s="21">
        <f t="shared" si="5"/>
        <v>1</v>
      </c>
      <c r="N66" s="21">
        <f t="shared" si="6"/>
        <v>1</v>
      </c>
    </row>
    <row r="67" spans="1:16" x14ac:dyDescent="0.25">
      <c r="A67" s="18" t="s">
        <v>193</v>
      </c>
      <c r="B67" s="19">
        <f>VLOOKUP(A67,Sheet1!$A$1:$B$350,2,FALSE)</f>
        <v>2101</v>
      </c>
      <c r="C67" s="20" t="s">
        <v>192</v>
      </c>
      <c r="D67" s="19">
        <f>VLOOKUP(C67,Sheet1!$A$1:$B$350,2,FALSE)</f>
        <v>208</v>
      </c>
      <c r="E67" s="20" t="s">
        <v>201</v>
      </c>
      <c r="F67" s="19">
        <f>VLOOKUP(E67,Sheet1!$A$1:$B$350,2,FALSE)</f>
        <v>454</v>
      </c>
      <c r="H67" s="21">
        <f t="shared" ref="H67:H101" si="7">IF(B67&gt;D67,1,0)</f>
        <v>1</v>
      </c>
      <c r="I67" s="21">
        <f t="shared" ref="I67:I101" si="8">IF(B67&lt;D67,1,0)</f>
        <v>0</v>
      </c>
      <c r="J67" s="21">
        <f t="shared" ref="J67:J101" si="9">IF(B67&gt;F67,1,0)</f>
        <v>1</v>
      </c>
      <c r="K67" s="21">
        <f t="shared" ref="K67:K101" si="10">IF(B67&lt;F67,1,0)</f>
        <v>0</v>
      </c>
      <c r="L67" s="21">
        <f t="shared" ref="L67:L101" si="11">IF(D67&gt;F67,1,0)</f>
        <v>0</v>
      </c>
      <c r="M67" s="21">
        <f t="shared" ref="M67:M101" si="12">IF(D67&lt;F67,1,0)</f>
        <v>1</v>
      </c>
      <c r="N67" s="21">
        <f t="shared" ref="N67:N101" si="13">IF(AND(H67=J67,I67=K67),1,0)</f>
        <v>1</v>
      </c>
    </row>
    <row r="68" spans="1:16" x14ac:dyDescent="0.25">
      <c r="A68" s="18" t="s">
        <v>202</v>
      </c>
      <c r="B68" s="19">
        <f>VLOOKUP(A68,Sheet1!$A$1:$B$350,2,FALSE)</f>
        <v>283</v>
      </c>
      <c r="C68" s="20" t="s">
        <v>203</v>
      </c>
      <c r="D68" s="19">
        <f>VLOOKUP(C68,Sheet1!$A$1:$B$350,2,FALSE)</f>
        <v>523</v>
      </c>
      <c r="E68" s="20" t="s">
        <v>204</v>
      </c>
      <c r="F68" s="19">
        <f>VLOOKUP(E68,Sheet1!$A$1:$B$350,2,FALSE)</f>
        <v>584</v>
      </c>
      <c r="H68" s="21">
        <f t="shared" si="7"/>
        <v>0</v>
      </c>
      <c r="I68" s="21">
        <f t="shared" si="8"/>
        <v>1</v>
      </c>
      <c r="J68" s="21">
        <f t="shared" si="9"/>
        <v>0</v>
      </c>
      <c r="K68" s="21">
        <f t="shared" si="10"/>
        <v>1</v>
      </c>
      <c r="L68" s="21">
        <f t="shared" si="11"/>
        <v>0</v>
      </c>
      <c r="M68" s="21">
        <f t="shared" si="12"/>
        <v>1</v>
      </c>
      <c r="N68" s="21">
        <f t="shared" si="13"/>
        <v>1</v>
      </c>
    </row>
    <row r="69" spans="1:16" x14ac:dyDescent="0.25">
      <c r="A69" s="20" t="s">
        <v>205</v>
      </c>
      <c r="B69" s="19">
        <f>VLOOKUP(A69,Sheet1!$A$1:$B$350,2,FALSE)</f>
        <v>543</v>
      </c>
      <c r="C69" s="20" t="s">
        <v>206</v>
      </c>
      <c r="D69" s="19">
        <f>VLOOKUP(C69,Sheet1!$A$1:$B$350,2,FALSE)</f>
        <v>5</v>
      </c>
      <c r="E69" s="20" t="s">
        <v>207</v>
      </c>
      <c r="F69" s="19">
        <f>VLOOKUP(E69,Sheet1!$A$1:$B$350,2,FALSE)</f>
        <v>51</v>
      </c>
      <c r="H69" s="21">
        <f t="shared" si="7"/>
        <v>1</v>
      </c>
      <c r="I69" s="21">
        <f t="shared" si="8"/>
        <v>0</v>
      </c>
      <c r="J69" s="21">
        <f t="shared" si="9"/>
        <v>1</v>
      </c>
      <c r="K69" s="21">
        <f t="shared" si="10"/>
        <v>0</v>
      </c>
      <c r="L69" s="21">
        <f t="shared" si="11"/>
        <v>0</v>
      </c>
      <c r="M69" s="21">
        <f t="shared" si="12"/>
        <v>1</v>
      </c>
      <c r="N69" s="21">
        <f t="shared" si="13"/>
        <v>1</v>
      </c>
    </row>
    <row r="70" spans="1:16" x14ac:dyDescent="0.25">
      <c r="A70" s="18" t="s">
        <v>208</v>
      </c>
      <c r="B70" s="19">
        <f>VLOOKUP(A70,Sheet1!$A$1:$B$350,2,FALSE)</f>
        <v>199</v>
      </c>
      <c r="C70" s="20" t="s">
        <v>209</v>
      </c>
      <c r="D70" s="19">
        <f>VLOOKUP(C70,Sheet1!$A$1:$B$350,2,FALSE)</f>
        <v>1294</v>
      </c>
      <c r="E70" s="20" t="s">
        <v>210</v>
      </c>
      <c r="F70" s="19">
        <f>VLOOKUP(E70,Sheet1!$A$1:$B$350,2,FALSE)</f>
        <v>615</v>
      </c>
      <c r="H70" s="21">
        <f t="shared" si="7"/>
        <v>0</v>
      </c>
      <c r="I70" s="21">
        <f t="shared" si="8"/>
        <v>1</v>
      </c>
      <c r="J70" s="21">
        <f t="shared" si="9"/>
        <v>0</v>
      </c>
      <c r="K70" s="21">
        <f t="shared" si="10"/>
        <v>1</v>
      </c>
      <c r="L70" s="21">
        <f t="shared" si="11"/>
        <v>1</v>
      </c>
      <c r="M70" s="21">
        <f t="shared" si="12"/>
        <v>0</v>
      </c>
      <c r="N70" s="21">
        <f t="shared" si="13"/>
        <v>1</v>
      </c>
    </row>
    <row r="71" spans="1:16" x14ac:dyDescent="0.25">
      <c r="A71" s="18" t="s">
        <v>212</v>
      </c>
      <c r="B71" s="19">
        <f>VLOOKUP(A71,Sheet1!$A$1:$B$350,2,FALSE)</f>
        <v>82</v>
      </c>
      <c r="C71" s="20" t="s">
        <v>211</v>
      </c>
      <c r="D71" s="19">
        <f>VLOOKUP(C71,Sheet1!$A$1:$B$350,2,FALSE)</f>
        <v>43</v>
      </c>
      <c r="E71" s="20" t="s">
        <v>213</v>
      </c>
      <c r="F71" s="19">
        <f>VLOOKUP(E71,Sheet1!$A$1:$B$350,2,FALSE)</f>
        <v>31</v>
      </c>
      <c r="H71" s="21">
        <f t="shared" si="7"/>
        <v>1</v>
      </c>
      <c r="I71" s="21">
        <f t="shared" si="8"/>
        <v>0</v>
      </c>
      <c r="J71" s="21">
        <f t="shared" si="9"/>
        <v>1</v>
      </c>
      <c r="K71" s="21">
        <f t="shared" si="10"/>
        <v>0</v>
      </c>
      <c r="L71" s="21">
        <f t="shared" si="11"/>
        <v>1</v>
      </c>
      <c r="M71" s="21">
        <f t="shared" si="12"/>
        <v>0</v>
      </c>
      <c r="N71" s="21">
        <f t="shared" si="13"/>
        <v>1</v>
      </c>
    </row>
    <row r="72" spans="1:16" x14ac:dyDescent="0.25">
      <c r="A72" s="18" t="s">
        <v>214</v>
      </c>
      <c r="B72" s="19">
        <f>VLOOKUP(A72,Sheet1!$A$1:$B$350,2,FALSE)</f>
        <v>2698</v>
      </c>
      <c r="C72" s="20" t="s">
        <v>215</v>
      </c>
      <c r="D72" s="19">
        <f>VLOOKUP(C72,Sheet1!$A$1:$B$350,2,FALSE)</f>
        <v>44</v>
      </c>
      <c r="E72" s="20" t="s">
        <v>216</v>
      </c>
      <c r="F72" s="19">
        <f>VLOOKUP(E72,Sheet1!$A$1:$B$350,2,FALSE)</f>
        <v>802</v>
      </c>
      <c r="H72" s="21">
        <f t="shared" si="7"/>
        <v>1</v>
      </c>
      <c r="I72" s="21">
        <f t="shared" si="8"/>
        <v>0</v>
      </c>
      <c r="J72" s="21">
        <f t="shared" si="9"/>
        <v>1</v>
      </c>
      <c r="K72" s="21">
        <f t="shared" si="10"/>
        <v>0</v>
      </c>
      <c r="L72" s="21">
        <f t="shared" si="11"/>
        <v>0</v>
      </c>
      <c r="M72" s="21">
        <f t="shared" si="12"/>
        <v>1</v>
      </c>
      <c r="N72" s="21">
        <f t="shared" si="13"/>
        <v>1</v>
      </c>
    </row>
    <row r="73" spans="1:16" x14ac:dyDescent="0.25">
      <c r="A73" s="18" t="s">
        <v>217</v>
      </c>
      <c r="B73" s="19">
        <f>VLOOKUP(A73,Sheet1!$A$1:$B$350,2,FALSE)</f>
        <v>2473</v>
      </c>
      <c r="C73" s="20" t="s">
        <v>218</v>
      </c>
      <c r="D73" s="19">
        <f>VLOOKUP(C73,Sheet1!$A$1:$B$350,2,FALSE)</f>
        <v>140</v>
      </c>
      <c r="E73" s="20" t="s">
        <v>219</v>
      </c>
      <c r="F73" s="19">
        <f>VLOOKUP(E73,Sheet1!$A$1:$B$350,2,FALSE)</f>
        <v>1272</v>
      </c>
      <c r="H73" s="21">
        <f t="shared" si="7"/>
        <v>1</v>
      </c>
      <c r="I73" s="21">
        <f t="shared" si="8"/>
        <v>0</v>
      </c>
      <c r="J73" s="21">
        <f t="shared" si="9"/>
        <v>1</v>
      </c>
      <c r="K73" s="21">
        <f t="shared" si="10"/>
        <v>0</v>
      </c>
      <c r="L73" s="21">
        <f t="shared" si="11"/>
        <v>0</v>
      </c>
      <c r="M73" s="21">
        <f t="shared" si="12"/>
        <v>1</v>
      </c>
      <c r="N73" s="21">
        <f t="shared" si="13"/>
        <v>1</v>
      </c>
    </row>
    <row r="74" spans="1:16" x14ac:dyDescent="0.25">
      <c r="A74" s="18" t="s">
        <v>221</v>
      </c>
      <c r="B74" s="19">
        <f>VLOOKUP(A74,Sheet1!$A$1:$B$350,2,FALSE)</f>
        <v>4248</v>
      </c>
      <c r="C74" s="20" t="s">
        <v>220</v>
      </c>
      <c r="D74" s="19">
        <f>VLOOKUP(C74,Sheet1!$A$1:$B$350,2,FALSE)</f>
        <v>5157</v>
      </c>
      <c r="E74" s="20" t="s">
        <v>436</v>
      </c>
      <c r="F74" s="19">
        <f>VLOOKUP(E74,Sheet1!$A$1:$B$350,2,FALSE)</f>
        <v>8196</v>
      </c>
      <c r="H74" s="21">
        <f t="shared" si="7"/>
        <v>0</v>
      </c>
      <c r="I74" s="21">
        <f t="shared" si="8"/>
        <v>1</v>
      </c>
      <c r="J74" s="21">
        <f t="shared" si="9"/>
        <v>0</v>
      </c>
      <c r="K74" s="21">
        <f t="shared" si="10"/>
        <v>1</v>
      </c>
      <c r="L74" s="21">
        <f t="shared" si="11"/>
        <v>0</v>
      </c>
      <c r="M74" s="21">
        <f t="shared" si="12"/>
        <v>1</v>
      </c>
      <c r="N74" s="21">
        <f t="shared" si="13"/>
        <v>1</v>
      </c>
    </row>
    <row r="75" spans="1:16" x14ac:dyDescent="0.25">
      <c r="A75" s="18" t="s">
        <v>222</v>
      </c>
      <c r="B75" s="19">
        <f>VLOOKUP(A75,Sheet1!$A$1:$B$350,2,FALSE)</f>
        <v>58</v>
      </c>
      <c r="C75" s="20" t="s">
        <v>223</v>
      </c>
      <c r="D75" s="19">
        <f>VLOOKUP(C75,Sheet1!$A$1:$B$350,2,FALSE)</f>
        <v>988</v>
      </c>
      <c r="E75" s="20" t="s">
        <v>224</v>
      </c>
      <c r="F75" s="19">
        <f>VLOOKUP(E75,Sheet1!$A$1:$B$350,2,FALSE)</f>
        <v>1412</v>
      </c>
      <c r="H75" s="21">
        <f t="shared" si="7"/>
        <v>0</v>
      </c>
      <c r="I75" s="21">
        <f t="shared" si="8"/>
        <v>1</v>
      </c>
      <c r="J75" s="21">
        <f t="shared" si="9"/>
        <v>0</v>
      </c>
      <c r="K75" s="21">
        <f t="shared" si="10"/>
        <v>1</v>
      </c>
      <c r="L75" s="21">
        <f t="shared" si="11"/>
        <v>0</v>
      </c>
      <c r="M75" s="21">
        <f t="shared" si="12"/>
        <v>1</v>
      </c>
      <c r="N75" s="21">
        <f t="shared" si="13"/>
        <v>1</v>
      </c>
    </row>
    <row r="76" spans="1:16" x14ac:dyDescent="0.25">
      <c r="A76" s="18" t="s">
        <v>226</v>
      </c>
      <c r="B76" s="19">
        <f>VLOOKUP(A76,Sheet1!$A$1:$B$350,2,FALSE)</f>
        <v>69</v>
      </c>
      <c r="C76" s="20" t="s">
        <v>225</v>
      </c>
      <c r="D76" s="19">
        <f>VLOOKUP(C76,Sheet1!$A$1:$B$350,2,FALSE)</f>
        <v>40</v>
      </c>
      <c r="E76" s="20" t="s">
        <v>227</v>
      </c>
      <c r="F76" s="19">
        <f>VLOOKUP(E76,Sheet1!$A$1:$B$350,2,FALSE)</f>
        <v>13</v>
      </c>
      <c r="H76" s="21">
        <f t="shared" si="7"/>
        <v>1</v>
      </c>
      <c r="I76" s="21">
        <f t="shared" si="8"/>
        <v>0</v>
      </c>
      <c r="J76" s="21">
        <f t="shared" si="9"/>
        <v>1</v>
      </c>
      <c r="K76" s="21">
        <f t="shared" si="10"/>
        <v>0</v>
      </c>
      <c r="L76" s="21">
        <f t="shared" si="11"/>
        <v>1</v>
      </c>
      <c r="M76" s="21">
        <f t="shared" si="12"/>
        <v>0</v>
      </c>
      <c r="N76" s="21">
        <f t="shared" si="13"/>
        <v>1</v>
      </c>
    </row>
    <row r="77" spans="1:16" x14ac:dyDescent="0.25">
      <c r="A77" s="18" t="s">
        <v>228</v>
      </c>
      <c r="B77" s="19">
        <f>VLOOKUP(A77,Sheet1!$A$1:$B$350,2,FALSE)</f>
        <v>505</v>
      </c>
      <c r="C77" s="20" t="s">
        <v>229</v>
      </c>
      <c r="D77" s="19">
        <f>VLOOKUP(C77,Sheet1!$A$1:$B$350,2,FALSE)</f>
        <v>10</v>
      </c>
      <c r="E77" s="20" t="s">
        <v>230</v>
      </c>
      <c r="F77" s="19">
        <f>VLOOKUP(E77,Sheet1!$A$1:$B$350,2,FALSE)</f>
        <v>155</v>
      </c>
      <c r="H77" s="21">
        <f t="shared" si="7"/>
        <v>1</v>
      </c>
      <c r="I77" s="21">
        <f t="shared" si="8"/>
        <v>0</v>
      </c>
      <c r="J77" s="21">
        <f t="shared" si="9"/>
        <v>1</v>
      </c>
      <c r="K77" s="21">
        <f t="shared" si="10"/>
        <v>0</v>
      </c>
      <c r="L77" s="21">
        <f t="shared" si="11"/>
        <v>0</v>
      </c>
      <c r="M77" s="21">
        <f t="shared" si="12"/>
        <v>1</v>
      </c>
      <c r="N77" s="21">
        <f t="shared" si="13"/>
        <v>1</v>
      </c>
    </row>
    <row r="78" spans="1:16" x14ac:dyDescent="0.25">
      <c r="A78" s="18" t="s">
        <v>231</v>
      </c>
      <c r="B78" s="19">
        <f>VLOOKUP(A78,Sheet1!$A$1:$B$350,2,FALSE)</f>
        <v>529</v>
      </c>
      <c r="C78" s="20" t="s">
        <v>232</v>
      </c>
      <c r="D78" s="19">
        <f>VLOOKUP(C78,Sheet1!$A$1:$B$350,2,FALSE)</f>
        <v>564</v>
      </c>
      <c r="E78" s="30" t="s">
        <v>482</v>
      </c>
      <c r="F78" s="19">
        <f>VLOOKUP(E78,Sheet1!$A$1:$B$350,2,FALSE)</f>
        <v>819</v>
      </c>
      <c r="H78" s="21">
        <f t="shared" si="7"/>
        <v>0</v>
      </c>
      <c r="I78" s="21">
        <f t="shared" si="8"/>
        <v>1</v>
      </c>
      <c r="J78" s="21">
        <f t="shared" si="9"/>
        <v>0</v>
      </c>
      <c r="K78" s="21">
        <f t="shared" si="10"/>
        <v>1</v>
      </c>
      <c r="L78" s="21">
        <f t="shared" si="11"/>
        <v>0</v>
      </c>
      <c r="M78" s="21">
        <f t="shared" si="12"/>
        <v>1</v>
      </c>
      <c r="N78" s="21">
        <f t="shared" si="13"/>
        <v>1</v>
      </c>
      <c r="P78" s="21" t="s">
        <v>448</v>
      </c>
    </row>
    <row r="79" spans="1:16" x14ac:dyDescent="0.25">
      <c r="A79" s="18" t="s">
        <v>233</v>
      </c>
      <c r="B79" s="19">
        <f>VLOOKUP(A79,Sheet1!$A$1:$B$350,2,FALSE)</f>
        <v>25</v>
      </c>
      <c r="C79" s="20" t="s">
        <v>234</v>
      </c>
      <c r="D79" s="19">
        <f>VLOOKUP(C79,Sheet1!$A$1:$B$350,2,FALSE)</f>
        <v>128</v>
      </c>
      <c r="E79" s="20" t="s">
        <v>235</v>
      </c>
      <c r="F79" s="19">
        <f>VLOOKUP(E79,Sheet1!$A$1:$B$350,2,FALSE)</f>
        <v>195</v>
      </c>
      <c r="H79" s="21">
        <f t="shared" si="7"/>
        <v>0</v>
      </c>
      <c r="I79" s="21">
        <f t="shared" si="8"/>
        <v>1</v>
      </c>
      <c r="J79" s="21">
        <f t="shared" si="9"/>
        <v>0</v>
      </c>
      <c r="K79" s="21">
        <f t="shared" si="10"/>
        <v>1</v>
      </c>
      <c r="L79" s="21">
        <f t="shared" si="11"/>
        <v>0</v>
      </c>
      <c r="M79" s="21">
        <f t="shared" si="12"/>
        <v>1</v>
      </c>
      <c r="N79" s="21">
        <f t="shared" si="13"/>
        <v>1</v>
      </c>
    </row>
    <row r="80" spans="1:16" x14ac:dyDescent="0.25">
      <c r="A80" s="18" t="s">
        <v>239</v>
      </c>
      <c r="B80" s="19">
        <f>VLOOKUP(A80,Sheet1!$A$1:$B$350,2,FALSE)</f>
        <v>511</v>
      </c>
      <c r="C80" s="20" t="s">
        <v>240</v>
      </c>
      <c r="D80" s="19">
        <f>VLOOKUP(C80,Sheet1!$A$1:$B$350,2,FALSE)</f>
        <v>369</v>
      </c>
      <c r="E80" s="20" t="s">
        <v>241</v>
      </c>
      <c r="F80" s="19">
        <f>VLOOKUP(E80,Sheet1!$A$1:$B$350,2,FALSE)</f>
        <v>46</v>
      </c>
      <c r="H80" s="21">
        <f t="shared" si="7"/>
        <v>1</v>
      </c>
      <c r="I80" s="21">
        <f t="shared" si="8"/>
        <v>0</v>
      </c>
      <c r="J80" s="21">
        <f t="shared" si="9"/>
        <v>1</v>
      </c>
      <c r="K80" s="21">
        <f t="shared" si="10"/>
        <v>0</v>
      </c>
      <c r="L80" s="21">
        <f t="shared" si="11"/>
        <v>1</v>
      </c>
      <c r="M80" s="21">
        <f t="shared" si="12"/>
        <v>0</v>
      </c>
      <c r="N80" s="21">
        <f t="shared" si="13"/>
        <v>1</v>
      </c>
    </row>
    <row r="81" spans="1:16" x14ac:dyDescent="0.25">
      <c r="A81" s="18" t="s">
        <v>236</v>
      </c>
      <c r="B81" s="19">
        <f>VLOOKUP(A81,Sheet1!$A$1:$B$350,2,FALSE)</f>
        <v>67</v>
      </c>
      <c r="C81" s="20" t="s">
        <v>237</v>
      </c>
      <c r="D81" s="19">
        <f>VLOOKUP(C81,Sheet1!$A$1:$B$350,2,FALSE)</f>
        <v>2072</v>
      </c>
      <c r="E81" s="24" t="s">
        <v>483</v>
      </c>
      <c r="F81" s="19">
        <f>VLOOKUP(E81,Sheet1!$A$1:$B$350,2,FALSE)</f>
        <v>338</v>
      </c>
      <c r="H81" s="21">
        <f t="shared" si="7"/>
        <v>0</v>
      </c>
      <c r="I81" s="21">
        <f t="shared" si="8"/>
        <v>1</v>
      </c>
      <c r="J81" s="21">
        <f t="shared" si="9"/>
        <v>0</v>
      </c>
      <c r="K81" s="21">
        <f t="shared" si="10"/>
        <v>1</v>
      </c>
      <c r="L81" s="21">
        <f t="shared" si="11"/>
        <v>1</v>
      </c>
      <c r="M81" s="21">
        <f t="shared" si="12"/>
        <v>0</v>
      </c>
      <c r="N81" s="21">
        <f t="shared" si="13"/>
        <v>1</v>
      </c>
    </row>
    <row r="82" spans="1:16" x14ac:dyDescent="0.25">
      <c r="A82" s="18" t="s">
        <v>242</v>
      </c>
      <c r="B82" s="19">
        <f>VLOOKUP(A82,Sheet1!$A$1:$B$350,2,FALSE)</f>
        <v>1253</v>
      </c>
      <c r="C82" s="20" t="s">
        <v>243</v>
      </c>
      <c r="D82" s="19">
        <f>VLOOKUP(C82,Sheet1!$A$1:$B$350,2,FALSE)</f>
        <v>666</v>
      </c>
      <c r="E82" s="20" t="s">
        <v>244</v>
      </c>
      <c r="F82" s="19">
        <f>VLOOKUP(E82,Sheet1!$A$1:$B$350,2,FALSE)</f>
        <v>14</v>
      </c>
      <c r="H82" s="21">
        <f t="shared" si="7"/>
        <v>1</v>
      </c>
      <c r="I82" s="21">
        <f t="shared" si="8"/>
        <v>0</v>
      </c>
      <c r="J82" s="21">
        <f t="shared" si="9"/>
        <v>1</v>
      </c>
      <c r="K82" s="21">
        <f t="shared" si="10"/>
        <v>0</v>
      </c>
      <c r="L82" s="21">
        <f t="shared" si="11"/>
        <v>1</v>
      </c>
      <c r="M82" s="21">
        <f t="shared" si="12"/>
        <v>0</v>
      </c>
      <c r="N82" s="21">
        <f t="shared" si="13"/>
        <v>1</v>
      </c>
    </row>
    <row r="83" spans="1:16" x14ac:dyDescent="0.25">
      <c r="A83" s="18" t="s">
        <v>245</v>
      </c>
      <c r="B83" s="19">
        <f>VLOOKUP(A83,Sheet1!$A$1:$B$350,2,FALSE)</f>
        <v>766</v>
      </c>
      <c r="C83" s="20" t="s">
        <v>238</v>
      </c>
      <c r="D83" s="19">
        <f>VLOOKUP(C83,Sheet1!$A$1:$B$350,2,FALSE)</f>
        <v>4821</v>
      </c>
      <c r="E83" s="20" t="s">
        <v>246</v>
      </c>
      <c r="F83" s="19">
        <f>VLOOKUP(E83,Sheet1!$A$1:$B$350,2,FALSE)</f>
        <v>1126</v>
      </c>
      <c r="H83" s="21">
        <f t="shared" si="7"/>
        <v>0</v>
      </c>
      <c r="I83" s="21">
        <f t="shared" si="8"/>
        <v>1</v>
      </c>
      <c r="J83" s="21">
        <f t="shared" si="9"/>
        <v>0</v>
      </c>
      <c r="K83" s="21">
        <f t="shared" si="10"/>
        <v>1</v>
      </c>
      <c r="L83" s="21">
        <f t="shared" si="11"/>
        <v>1</v>
      </c>
      <c r="M83" s="21">
        <f t="shared" si="12"/>
        <v>0</v>
      </c>
      <c r="N83" s="21">
        <f t="shared" si="13"/>
        <v>1</v>
      </c>
      <c r="P83" s="31" t="s">
        <v>440</v>
      </c>
    </row>
    <row r="84" spans="1:16" x14ac:dyDescent="0.25">
      <c r="A84" s="18" t="s">
        <v>247</v>
      </c>
      <c r="B84" s="19">
        <f>VLOOKUP(A84,Sheet1!$A$1:$B$350,2,FALSE)</f>
        <v>1685</v>
      </c>
      <c r="C84" s="20" t="s">
        <v>248</v>
      </c>
      <c r="D84" s="19">
        <f>VLOOKUP(C84,Sheet1!$A$1:$B$350,2,FALSE)</f>
        <v>200</v>
      </c>
      <c r="E84" s="23" t="s">
        <v>484</v>
      </c>
      <c r="F84" s="19">
        <f>VLOOKUP(E84,Sheet1!$A$1:$B$350,2,FALSE)</f>
        <v>1505</v>
      </c>
      <c r="H84" s="21">
        <f t="shared" si="7"/>
        <v>1</v>
      </c>
      <c r="I84" s="21">
        <f t="shared" si="8"/>
        <v>0</v>
      </c>
      <c r="J84" s="21">
        <f t="shared" si="9"/>
        <v>1</v>
      </c>
      <c r="K84" s="21">
        <f t="shared" si="10"/>
        <v>0</v>
      </c>
      <c r="L84" s="21">
        <f t="shared" si="11"/>
        <v>0</v>
      </c>
      <c r="M84" s="21">
        <f t="shared" si="12"/>
        <v>1</v>
      </c>
      <c r="N84" s="21">
        <f t="shared" si="13"/>
        <v>1</v>
      </c>
    </row>
    <row r="85" spans="1:16" x14ac:dyDescent="0.25">
      <c r="A85" s="18" t="s">
        <v>249</v>
      </c>
      <c r="B85" s="19">
        <f>VLOOKUP(A85,Sheet1!$A$1:$B$350,2,FALSE)</f>
        <v>282</v>
      </c>
      <c r="C85" s="20" t="s">
        <v>250</v>
      </c>
      <c r="D85" s="19">
        <f>VLOOKUP(C85,Sheet1!$A$1:$B$350,2,FALSE)</f>
        <v>1094</v>
      </c>
      <c r="E85" s="20" t="s">
        <v>251</v>
      </c>
      <c r="F85" s="19">
        <f>VLOOKUP(E85,Sheet1!$A$1:$B$350,2,FALSE)</f>
        <v>370</v>
      </c>
      <c r="H85" s="21">
        <f t="shared" si="7"/>
        <v>0</v>
      </c>
      <c r="I85" s="21">
        <f t="shared" si="8"/>
        <v>1</v>
      </c>
      <c r="J85" s="21">
        <f t="shared" si="9"/>
        <v>0</v>
      </c>
      <c r="K85" s="21">
        <f t="shared" si="10"/>
        <v>1</v>
      </c>
      <c r="L85" s="21">
        <f t="shared" si="11"/>
        <v>1</v>
      </c>
      <c r="M85" s="21">
        <f t="shared" si="12"/>
        <v>0</v>
      </c>
      <c r="N85" s="21">
        <f t="shared" si="13"/>
        <v>1</v>
      </c>
    </row>
    <row r="86" spans="1:16" x14ac:dyDescent="0.25">
      <c r="A86" s="32" t="s">
        <v>451</v>
      </c>
      <c r="B86" s="19">
        <f>VLOOKUP(A86,Sheet1!$A$1:$B$350,2,FALSE)</f>
        <v>31</v>
      </c>
      <c r="C86" s="33" t="s">
        <v>452</v>
      </c>
      <c r="D86" s="19">
        <f>VLOOKUP(C86,Sheet1!$A$1:$B$350,2,FALSE)</f>
        <v>214</v>
      </c>
      <c r="E86" s="28" t="s">
        <v>453</v>
      </c>
      <c r="F86" s="19">
        <f>VLOOKUP(E86,Sheet1!$A$1:$B$350,2,FALSE)</f>
        <v>64</v>
      </c>
      <c r="H86" s="21">
        <f t="shared" si="7"/>
        <v>0</v>
      </c>
      <c r="I86" s="21">
        <f t="shared" si="8"/>
        <v>1</v>
      </c>
      <c r="J86" s="21">
        <f t="shared" si="9"/>
        <v>0</v>
      </c>
      <c r="K86" s="21">
        <f t="shared" si="10"/>
        <v>1</v>
      </c>
      <c r="L86" s="21">
        <f t="shared" si="11"/>
        <v>1</v>
      </c>
      <c r="M86" s="21">
        <f t="shared" si="12"/>
        <v>0</v>
      </c>
      <c r="N86" s="21">
        <f t="shared" si="13"/>
        <v>1</v>
      </c>
    </row>
    <row r="87" spans="1:16" x14ac:dyDescent="0.25">
      <c r="A87" s="18" t="s">
        <v>252</v>
      </c>
      <c r="B87" s="19">
        <f>VLOOKUP(A87,Sheet1!$A$1:$B$350,2,FALSE)</f>
        <v>444</v>
      </c>
      <c r="C87" s="20" t="s">
        <v>253</v>
      </c>
      <c r="D87" s="19">
        <f>VLOOKUP(C87,Sheet1!$A$1:$B$350,2,FALSE)</f>
        <v>475</v>
      </c>
      <c r="E87" s="20" t="s">
        <v>254</v>
      </c>
      <c r="F87" s="19">
        <f>VLOOKUP(E87,Sheet1!$A$1:$B$350,2,FALSE)</f>
        <v>622</v>
      </c>
      <c r="G87" s="19"/>
      <c r="H87" s="21">
        <f t="shared" si="7"/>
        <v>0</v>
      </c>
      <c r="I87" s="21">
        <f t="shared" si="8"/>
        <v>1</v>
      </c>
      <c r="J87" s="21">
        <f t="shared" si="9"/>
        <v>0</v>
      </c>
      <c r="K87" s="21">
        <f t="shared" si="10"/>
        <v>1</v>
      </c>
      <c r="L87" s="21">
        <f t="shared" si="11"/>
        <v>0</v>
      </c>
      <c r="M87" s="21">
        <f t="shared" si="12"/>
        <v>1</v>
      </c>
      <c r="N87" s="21">
        <f t="shared" si="13"/>
        <v>1</v>
      </c>
    </row>
    <row r="88" spans="1:16" x14ac:dyDescent="0.25">
      <c r="A88" s="18" t="s">
        <v>255</v>
      </c>
      <c r="B88" s="19">
        <f>VLOOKUP(A88,Sheet1!$A$1:$B$350,2,FALSE)</f>
        <v>73</v>
      </c>
      <c r="C88" s="20" t="s">
        <v>256</v>
      </c>
      <c r="D88" s="19">
        <f>VLOOKUP(C88,Sheet1!$A$1:$B$350,2,FALSE)</f>
        <v>15</v>
      </c>
      <c r="E88" s="20" t="s">
        <v>257</v>
      </c>
      <c r="F88" s="19">
        <f>VLOOKUP(E88,Sheet1!$A$1:$B$350,2,FALSE)</f>
        <v>2</v>
      </c>
      <c r="H88" s="21">
        <f t="shared" si="7"/>
        <v>1</v>
      </c>
      <c r="I88" s="21">
        <f t="shared" si="8"/>
        <v>0</v>
      </c>
      <c r="J88" s="21">
        <f t="shared" si="9"/>
        <v>1</v>
      </c>
      <c r="K88" s="21">
        <f t="shared" si="10"/>
        <v>0</v>
      </c>
      <c r="L88" s="21">
        <f t="shared" si="11"/>
        <v>1</v>
      </c>
      <c r="M88" s="21">
        <f t="shared" si="12"/>
        <v>0</v>
      </c>
      <c r="N88" s="21">
        <f t="shared" si="13"/>
        <v>1</v>
      </c>
    </row>
    <row r="89" spans="1:16" x14ac:dyDescent="0.25">
      <c r="A89" s="18" t="s">
        <v>258</v>
      </c>
      <c r="B89" s="19">
        <f>VLOOKUP(A89,Sheet1!$A$1:$B$350,2,FALSE)</f>
        <v>3141</v>
      </c>
      <c r="C89" s="20" t="s">
        <v>259</v>
      </c>
      <c r="D89" s="19">
        <f>VLOOKUP(C89,Sheet1!$A$1:$B$350,2,FALSE)</f>
        <v>2763</v>
      </c>
      <c r="E89" s="20" t="s">
        <v>260</v>
      </c>
      <c r="F89" s="19">
        <f>VLOOKUP(E89,Sheet1!$A$1:$B$350,2,FALSE)</f>
        <v>860</v>
      </c>
      <c r="H89" s="21">
        <f t="shared" si="7"/>
        <v>1</v>
      </c>
      <c r="I89" s="21">
        <f t="shared" si="8"/>
        <v>0</v>
      </c>
      <c r="J89" s="21">
        <f t="shared" si="9"/>
        <v>1</v>
      </c>
      <c r="K89" s="21">
        <f t="shared" si="10"/>
        <v>0</v>
      </c>
      <c r="L89" s="21">
        <f t="shared" si="11"/>
        <v>1</v>
      </c>
      <c r="M89" s="21">
        <f t="shared" si="12"/>
        <v>0</v>
      </c>
      <c r="N89" s="21">
        <f t="shared" si="13"/>
        <v>1</v>
      </c>
    </row>
    <row r="90" spans="1:16" x14ac:dyDescent="0.25">
      <c r="A90" s="18" t="s">
        <v>261</v>
      </c>
      <c r="B90" s="19">
        <f>VLOOKUP(A90,Sheet1!$A$1:$B$350,2,FALSE)</f>
        <v>1</v>
      </c>
      <c r="C90" s="20" t="s">
        <v>262</v>
      </c>
      <c r="D90" s="19">
        <f>VLOOKUP(C90,Sheet1!$A$1:$B$350,2,FALSE)</f>
        <v>29</v>
      </c>
      <c r="E90" s="24" t="s">
        <v>485</v>
      </c>
      <c r="F90" s="19">
        <f>VLOOKUP(E90,Sheet1!$A$1:$B$350,2,FALSE)</f>
        <v>159</v>
      </c>
      <c r="H90" s="21">
        <f t="shared" si="7"/>
        <v>0</v>
      </c>
      <c r="I90" s="21">
        <f t="shared" si="8"/>
        <v>1</v>
      </c>
      <c r="J90" s="21">
        <f t="shared" si="9"/>
        <v>0</v>
      </c>
      <c r="K90" s="21">
        <f t="shared" si="10"/>
        <v>1</v>
      </c>
      <c r="L90" s="21">
        <f t="shared" si="11"/>
        <v>0</v>
      </c>
      <c r="M90" s="21">
        <f t="shared" si="12"/>
        <v>1</v>
      </c>
      <c r="N90" s="21">
        <f t="shared" si="13"/>
        <v>1</v>
      </c>
    </row>
    <row r="91" spans="1:16" x14ac:dyDescent="0.25">
      <c r="A91" s="18" t="s">
        <v>263</v>
      </c>
      <c r="B91" s="19">
        <f>VLOOKUP(A91,Sheet1!$A$1:$B$350,2,FALSE)</f>
        <v>0</v>
      </c>
      <c r="C91" s="20" t="s">
        <v>264</v>
      </c>
      <c r="D91" s="19">
        <f>VLOOKUP(C91,Sheet1!$A$1:$B$350,2,FALSE)</f>
        <v>161</v>
      </c>
      <c r="E91" s="20" t="s">
        <v>265</v>
      </c>
      <c r="F91" s="19">
        <f>VLOOKUP(E91,Sheet1!$A$1:$B$350,2,FALSE)</f>
        <v>435</v>
      </c>
      <c r="H91" s="21">
        <f t="shared" si="7"/>
        <v>0</v>
      </c>
      <c r="I91" s="21">
        <f t="shared" si="8"/>
        <v>1</v>
      </c>
      <c r="J91" s="21">
        <f t="shared" si="9"/>
        <v>0</v>
      </c>
      <c r="K91" s="21">
        <f t="shared" si="10"/>
        <v>1</v>
      </c>
      <c r="L91" s="21">
        <f t="shared" si="11"/>
        <v>0</v>
      </c>
      <c r="M91" s="21">
        <f t="shared" si="12"/>
        <v>1</v>
      </c>
      <c r="N91" s="21">
        <f t="shared" si="13"/>
        <v>1</v>
      </c>
    </row>
    <row r="92" spans="1:16" x14ac:dyDescent="0.25">
      <c r="A92" s="18" t="s">
        <v>267</v>
      </c>
      <c r="B92" s="19">
        <f>VLOOKUP(A92,Sheet1!$A$1:$B$350,2,FALSE)</f>
        <v>1</v>
      </c>
      <c r="C92" s="20" t="s">
        <v>266</v>
      </c>
      <c r="D92" s="19">
        <f>VLOOKUP(C92,Sheet1!$A$1:$B$350,2,FALSE)</f>
        <v>7</v>
      </c>
      <c r="E92" s="20" t="s">
        <v>268</v>
      </c>
      <c r="F92" s="19">
        <f>VLOOKUP(E92,Sheet1!$A$1:$B$350,2,FALSE)</f>
        <v>13</v>
      </c>
      <c r="H92" s="21">
        <f t="shared" si="7"/>
        <v>0</v>
      </c>
      <c r="I92" s="21">
        <f t="shared" si="8"/>
        <v>1</v>
      </c>
      <c r="J92" s="21">
        <f t="shared" si="9"/>
        <v>0</v>
      </c>
      <c r="K92" s="21">
        <f t="shared" si="10"/>
        <v>1</v>
      </c>
      <c r="L92" s="21">
        <f t="shared" si="11"/>
        <v>0</v>
      </c>
      <c r="M92" s="21">
        <f t="shared" si="12"/>
        <v>1</v>
      </c>
      <c r="N92" s="21">
        <f t="shared" si="13"/>
        <v>1</v>
      </c>
    </row>
    <row r="93" spans="1:16" x14ac:dyDescent="0.25">
      <c r="A93" s="18" t="s">
        <v>269</v>
      </c>
      <c r="B93" s="19">
        <f>VLOOKUP(A93,Sheet1!$A$1:$B$350,2,FALSE)</f>
        <v>0</v>
      </c>
      <c r="C93" s="20" t="s">
        <v>270</v>
      </c>
      <c r="D93" s="19">
        <f>VLOOKUP(C93,Sheet1!$A$1:$B$350,2,FALSE)</f>
        <v>0</v>
      </c>
      <c r="E93" s="20" t="s">
        <v>271</v>
      </c>
      <c r="F93" s="19">
        <f>VLOOKUP(E93,Sheet1!$A$1:$B$350,2,FALSE)</f>
        <v>63</v>
      </c>
      <c r="H93" s="21">
        <f t="shared" si="7"/>
        <v>0</v>
      </c>
      <c r="I93" s="21">
        <f t="shared" si="8"/>
        <v>0</v>
      </c>
      <c r="J93" s="21">
        <f t="shared" si="9"/>
        <v>0</v>
      </c>
      <c r="K93" s="21">
        <f t="shared" si="10"/>
        <v>1</v>
      </c>
      <c r="L93" s="21">
        <f t="shared" si="11"/>
        <v>0</v>
      </c>
      <c r="M93" s="21">
        <f t="shared" si="12"/>
        <v>1</v>
      </c>
      <c r="N93" s="21">
        <f t="shared" si="13"/>
        <v>0</v>
      </c>
    </row>
    <row r="94" spans="1:16" x14ac:dyDescent="0.25">
      <c r="A94" s="20" t="s">
        <v>272</v>
      </c>
      <c r="B94" s="19">
        <f>VLOOKUP(A94,Sheet1!$A$1:$B$350,2,FALSE)</f>
        <v>6</v>
      </c>
      <c r="C94" s="20" t="s">
        <v>273</v>
      </c>
      <c r="D94" s="19">
        <f>VLOOKUP(C94,Sheet1!$A$1:$B$350,2,FALSE)</f>
        <v>113</v>
      </c>
      <c r="E94" s="20" t="s">
        <v>274</v>
      </c>
      <c r="F94" s="19">
        <f>VLOOKUP(E94,Sheet1!$A$1:$B$350,2,FALSE)</f>
        <v>190</v>
      </c>
      <c r="H94" s="21">
        <f t="shared" si="7"/>
        <v>0</v>
      </c>
      <c r="I94" s="21">
        <f t="shared" si="8"/>
        <v>1</v>
      </c>
      <c r="J94" s="21">
        <f t="shared" si="9"/>
        <v>0</v>
      </c>
      <c r="K94" s="21">
        <f t="shared" si="10"/>
        <v>1</v>
      </c>
      <c r="L94" s="21">
        <f t="shared" si="11"/>
        <v>0</v>
      </c>
      <c r="M94" s="21">
        <f t="shared" si="12"/>
        <v>1</v>
      </c>
      <c r="N94" s="21">
        <f t="shared" si="13"/>
        <v>1</v>
      </c>
    </row>
    <row r="95" spans="1:16" x14ac:dyDescent="0.25">
      <c r="A95" s="37" t="s">
        <v>458</v>
      </c>
      <c r="B95" s="19">
        <f>VLOOKUP(A95,Sheet1!$A$1:$B$350,2,FALSE)</f>
        <v>315</v>
      </c>
      <c r="C95" s="36" t="s">
        <v>459</v>
      </c>
      <c r="D95" s="19">
        <f>VLOOKUP(C95,Sheet1!$A$1:$B$350,2,FALSE)</f>
        <v>550</v>
      </c>
      <c r="E95" s="35" t="s">
        <v>486</v>
      </c>
      <c r="F95" s="19">
        <f>VLOOKUP(E95,Sheet1!$A$1:$B$350,2,FALSE)</f>
        <v>919</v>
      </c>
      <c r="H95" s="21">
        <f t="shared" si="7"/>
        <v>0</v>
      </c>
      <c r="I95" s="21">
        <f t="shared" si="8"/>
        <v>1</v>
      </c>
      <c r="J95" s="21">
        <f t="shared" si="9"/>
        <v>0</v>
      </c>
      <c r="K95" s="21">
        <f t="shared" si="10"/>
        <v>1</v>
      </c>
      <c r="L95" s="21">
        <f t="shared" si="11"/>
        <v>0</v>
      </c>
      <c r="M95" s="21">
        <f t="shared" si="12"/>
        <v>1</v>
      </c>
      <c r="N95" s="21">
        <f t="shared" si="13"/>
        <v>1</v>
      </c>
    </row>
    <row r="96" spans="1:16" x14ac:dyDescent="0.25">
      <c r="A96" s="35" t="s">
        <v>461</v>
      </c>
      <c r="B96" s="19">
        <f>VLOOKUP(A96,Sheet1!$A$1:$B$350,2,FALSE)</f>
        <v>82</v>
      </c>
      <c r="C96" s="36" t="s">
        <v>460</v>
      </c>
      <c r="D96" s="19">
        <f>VLOOKUP(C96,Sheet1!$A$1:$B$350,2,FALSE)</f>
        <v>1519</v>
      </c>
      <c r="E96" s="35" t="s">
        <v>487</v>
      </c>
      <c r="F96" s="19">
        <f>VLOOKUP(E96,Sheet1!$A$1:$B$350,2,FALSE)</f>
        <v>37293</v>
      </c>
      <c r="H96" s="21">
        <f t="shared" si="7"/>
        <v>0</v>
      </c>
      <c r="I96" s="21">
        <f t="shared" si="8"/>
        <v>1</v>
      </c>
      <c r="J96" s="21">
        <f t="shared" si="9"/>
        <v>0</v>
      </c>
      <c r="K96" s="21">
        <f t="shared" si="10"/>
        <v>1</v>
      </c>
      <c r="L96" s="21">
        <f t="shared" si="11"/>
        <v>0</v>
      </c>
      <c r="M96" s="21">
        <f t="shared" si="12"/>
        <v>1</v>
      </c>
      <c r="N96" s="21">
        <f t="shared" si="13"/>
        <v>1</v>
      </c>
    </row>
    <row r="97" spans="1:14" x14ac:dyDescent="0.25">
      <c r="A97" s="36" t="s">
        <v>463</v>
      </c>
      <c r="B97" s="19">
        <f>VLOOKUP(A97,Sheet1!$A$1:$B$350,2,FALSE)</f>
        <v>163</v>
      </c>
      <c r="C97" s="37" t="s">
        <v>462</v>
      </c>
      <c r="D97" s="19">
        <f>VLOOKUP(C97,Sheet1!$A$1:$B$350,2,FALSE)</f>
        <v>218</v>
      </c>
      <c r="E97" s="35" t="s">
        <v>488</v>
      </c>
      <c r="F97" s="19">
        <f>VLOOKUP(E97,Sheet1!$A$1:$B$350,2,FALSE)</f>
        <v>62</v>
      </c>
      <c r="H97" s="21">
        <f t="shared" si="7"/>
        <v>0</v>
      </c>
      <c r="I97" s="21">
        <f t="shared" si="8"/>
        <v>1</v>
      </c>
      <c r="J97" s="21">
        <f t="shared" si="9"/>
        <v>1</v>
      </c>
      <c r="K97" s="21">
        <f t="shared" si="10"/>
        <v>0</v>
      </c>
      <c r="L97" s="21">
        <f t="shared" si="11"/>
        <v>1</v>
      </c>
      <c r="M97" s="21">
        <f t="shared" si="12"/>
        <v>0</v>
      </c>
      <c r="N97" s="21">
        <f t="shared" si="13"/>
        <v>0</v>
      </c>
    </row>
    <row r="98" spans="1:14" x14ac:dyDescent="0.25">
      <c r="A98" s="37" t="s">
        <v>464</v>
      </c>
      <c r="B98" s="19">
        <f>VLOOKUP(A98,Sheet1!$A$1:$B$350,2,FALSE)</f>
        <v>474</v>
      </c>
      <c r="C98" s="36" t="s">
        <v>465</v>
      </c>
      <c r="D98" s="19">
        <f>VLOOKUP(C98,Sheet1!$A$1:$B$350,2,FALSE)</f>
        <v>925</v>
      </c>
      <c r="E98" s="35" t="s">
        <v>489</v>
      </c>
      <c r="F98" s="19">
        <f>VLOOKUP(E98,Sheet1!$A$1:$B$350,2,FALSE)</f>
        <v>2893</v>
      </c>
      <c r="H98" s="21">
        <f t="shared" si="7"/>
        <v>0</v>
      </c>
      <c r="I98" s="21">
        <f t="shared" si="8"/>
        <v>1</v>
      </c>
      <c r="J98" s="21">
        <f t="shared" si="9"/>
        <v>0</v>
      </c>
      <c r="K98" s="21">
        <f t="shared" si="10"/>
        <v>1</v>
      </c>
      <c r="L98" s="21">
        <f t="shared" si="11"/>
        <v>0</v>
      </c>
      <c r="M98" s="21">
        <f t="shared" si="12"/>
        <v>1</v>
      </c>
      <c r="N98" s="21">
        <f t="shared" si="13"/>
        <v>1</v>
      </c>
    </row>
    <row r="99" spans="1:14" x14ac:dyDescent="0.25">
      <c r="A99" s="36" t="s">
        <v>467</v>
      </c>
      <c r="B99" s="19">
        <f>VLOOKUP(A99,Sheet1!$A$1:$B$350,2,FALSE)</f>
        <v>97</v>
      </c>
      <c r="C99" s="37" t="s">
        <v>466</v>
      </c>
      <c r="D99" s="19">
        <f>VLOOKUP(C99,Sheet1!$A$1:$B$350,2,FALSE)</f>
        <v>380</v>
      </c>
      <c r="E99" s="35" t="s">
        <v>490</v>
      </c>
      <c r="F99" s="19">
        <f>VLOOKUP(E99,Sheet1!$A$1:$B$350,2,FALSE)</f>
        <v>688</v>
      </c>
      <c r="H99" s="21">
        <f t="shared" si="7"/>
        <v>0</v>
      </c>
      <c r="I99" s="21">
        <f t="shared" si="8"/>
        <v>1</v>
      </c>
      <c r="J99" s="21">
        <f t="shared" si="9"/>
        <v>0</v>
      </c>
      <c r="K99" s="21">
        <f t="shared" si="10"/>
        <v>1</v>
      </c>
      <c r="L99" s="21">
        <f t="shared" si="11"/>
        <v>0</v>
      </c>
      <c r="M99" s="21">
        <f t="shared" si="12"/>
        <v>1</v>
      </c>
      <c r="N99" s="21">
        <f t="shared" si="13"/>
        <v>1</v>
      </c>
    </row>
    <row r="100" spans="1:14" x14ac:dyDescent="0.25">
      <c r="A100" s="37" t="s">
        <v>468</v>
      </c>
      <c r="B100" s="19">
        <f>VLOOKUP(A100,Sheet1!$A$1:$B$350,2,FALSE)</f>
        <v>155</v>
      </c>
      <c r="C100" s="36" t="s">
        <v>469</v>
      </c>
      <c r="D100" s="19">
        <f>VLOOKUP(C100,Sheet1!$A$1:$B$350,2,FALSE)</f>
        <v>176</v>
      </c>
      <c r="E100" s="35" t="s">
        <v>491</v>
      </c>
      <c r="F100" s="19">
        <f>VLOOKUP(E100,Sheet1!$A$1:$B$350,2,FALSE)</f>
        <v>764</v>
      </c>
      <c r="H100" s="21">
        <f t="shared" si="7"/>
        <v>0</v>
      </c>
      <c r="I100" s="21">
        <f t="shared" si="8"/>
        <v>1</v>
      </c>
      <c r="J100" s="21">
        <f t="shared" si="9"/>
        <v>0</v>
      </c>
      <c r="K100" s="21">
        <f t="shared" si="10"/>
        <v>1</v>
      </c>
      <c r="L100" s="21">
        <f t="shared" si="11"/>
        <v>0</v>
      </c>
      <c r="M100" s="21">
        <f t="shared" si="12"/>
        <v>1</v>
      </c>
      <c r="N100" s="21">
        <f t="shared" si="13"/>
        <v>1</v>
      </c>
    </row>
    <row r="101" spans="1:14" x14ac:dyDescent="0.25">
      <c r="A101" s="35" t="s">
        <v>495</v>
      </c>
      <c r="B101" s="19">
        <f>VLOOKUP(A101,Sheet1!$A$1:$B$350,2,FALSE)</f>
        <v>328</v>
      </c>
      <c r="C101" s="35" t="s">
        <v>494</v>
      </c>
      <c r="D101" s="19">
        <f>VLOOKUP(C101,Sheet1!$A$1:$B$350,2,FALSE)</f>
        <v>3143</v>
      </c>
      <c r="E101" s="35" t="s">
        <v>496</v>
      </c>
      <c r="F101" s="19">
        <f>VLOOKUP(E101,Sheet1!$A$1:$B$350,2,FALSE)</f>
        <v>107</v>
      </c>
      <c r="H101" s="21">
        <f t="shared" si="7"/>
        <v>0</v>
      </c>
      <c r="I101" s="21">
        <f t="shared" si="8"/>
        <v>1</v>
      </c>
      <c r="J101" s="21">
        <f t="shared" si="9"/>
        <v>1</v>
      </c>
      <c r="K101" s="21">
        <f t="shared" si="10"/>
        <v>0</v>
      </c>
      <c r="L101" s="21">
        <f t="shared" si="11"/>
        <v>1</v>
      </c>
      <c r="M101" s="21">
        <f t="shared" si="12"/>
        <v>0</v>
      </c>
      <c r="N101" s="21">
        <f t="shared" si="13"/>
        <v>0</v>
      </c>
    </row>
    <row r="103" spans="1:14" x14ac:dyDescent="0.25">
      <c r="C103" s="34"/>
    </row>
  </sheetData>
  <sheetProtection selectLockedCells="1" selectUnlockedCells="1"/>
  <sortState ref="A2:F94">
    <sortCondition ref="A2"/>
  </sortState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09"/>
  <sheetViews>
    <sheetView topLeftCell="A287" workbookViewId="0">
      <selection activeCell="B310" sqref="B310"/>
    </sheetView>
  </sheetViews>
  <sheetFormatPr defaultRowHeight="13.2" x14ac:dyDescent="0.25"/>
  <sheetData>
    <row r="1" spans="1:2" x14ac:dyDescent="0.25">
      <c r="A1" s="7" t="s">
        <v>35</v>
      </c>
      <c r="B1" s="7">
        <v>10951</v>
      </c>
    </row>
    <row r="2" spans="1:2" x14ac:dyDescent="0.25">
      <c r="A2" s="7" t="s">
        <v>36</v>
      </c>
      <c r="B2" s="7">
        <v>95</v>
      </c>
    </row>
    <row r="3" spans="1:2" x14ac:dyDescent="0.25">
      <c r="A3" s="7" t="s">
        <v>37</v>
      </c>
      <c r="B3" s="7">
        <v>26</v>
      </c>
    </row>
    <row r="4" spans="1:2" x14ac:dyDescent="0.25">
      <c r="A4" s="7" t="s">
        <v>55</v>
      </c>
      <c r="B4" s="7">
        <v>25</v>
      </c>
    </row>
    <row r="5" spans="1:2" x14ac:dyDescent="0.25">
      <c r="A5" s="7" t="s">
        <v>56</v>
      </c>
      <c r="B5" s="7">
        <v>1</v>
      </c>
    </row>
    <row r="6" spans="1:2" x14ac:dyDescent="0.25">
      <c r="A6" s="7" t="s">
        <v>57</v>
      </c>
      <c r="B6" s="7">
        <v>7</v>
      </c>
    </row>
    <row r="7" spans="1:2" x14ac:dyDescent="0.25">
      <c r="A7" s="7" t="s">
        <v>130</v>
      </c>
      <c r="B7" s="7">
        <v>143</v>
      </c>
    </row>
    <row r="8" spans="1:2" x14ac:dyDescent="0.25">
      <c r="A8" s="7" t="s">
        <v>131</v>
      </c>
      <c r="B8" s="7">
        <v>27</v>
      </c>
    </row>
    <row r="9" spans="1:2" x14ac:dyDescent="0.25">
      <c r="A9" s="7" t="s">
        <v>132</v>
      </c>
      <c r="B9" s="7">
        <v>8</v>
      </c>
    </row>
    <row r="10" spans="1:2" x14ac:dyDescent="0.25">
      <c r="A10" s="7" t="s">
        <v>266</v>
      </c>
      <c r="B10" s="7">
        <v>7</v>
      </c>
    </row>
    <row r="11" spans="1:2" x14ac:dyDescent="0.25">
      <c r="A11" s="7" t="s">
        <v>267</v>
      </c>
      <c r="B11" s="7">
        <v>1</v>
      </c>
    </row>
    <row r="12" spans="1:2" x14ac:dyDescent="0.25">
      <c r="A12" s="7" t="s">
        <v>268</v>
      </c>
      <c r="B12" s="7">
        <v>13</v>
      </c>
    </row>
    <row r="13" spans="1:2" x14ac:dyDescent="0.25">
      <c r="A13" s="7" t="s">
        <v>41</v>
      </c>
      <c r="B13" s="7">
        <v>800</v>
      </c>
    </row>
    <row r="14" spans="1:2" x14ac:dyDescent="0.25">
      <c r="A14" s="7" t="s">
        <v>42</v>
      </c>
      <c r="B14" s="7">
        <v>12</v>
      </c>
    </row>
    <row r="15" spans="1:2" x14ac:dyDescent="0.25">
      <c r="A15" s="7" t="s">
        <v>43</v>
      </c>
      <c r="B15" s="7">
        <v>94</v>
      </c>
    </row>
    <row r="16" spans="1:2" x14ac:dyDescent="0.25">
      <c r="A16" s="7" t="s">
        <v>52</v>
      </c>
      <c r="B16" s="7">
        <v>3</v>
      </c>
    </row>
    <row r="17" spans="1:2" x14ac:dyDescent="0.25">
      <c r="A17" s="7" t="s">
        <v>53</v>
      </c>
      <c r="B17" s="7">
        <v>19</v>
      </c>
    </row>
    <row r="18" spans="1:2" x14ac:dyDescent="0.25">
      <c r="A18" s="7" t="s">
        <v>54</v>
      </c>
      <c r="B18" s="7">
        <v>44</v>
      </c>
    </row>
    <row r="19" spans="1:2" x14ac:dyDescent="0.25">
      <c r="A19" s="7" t="s">
        <v>60</v>
      </c>
      <c r="B19" s="7">
        <v>435</v>
      </c>
    </row>
    <row r="20" spans="1:2" x14ac:dyDescent="0.25">
      <c r="A20" s="7" t="s">
        <v>61</v>
      </c>
      <c r="B20" s="7">
        <v>249</v>
      </c>
    </row>
    <row r="21" spans="1:2" x14ac:dyDescent="0.25">
      <c r="A21" s="7" t="s">
        <v>62</v>
      </c>
      <c r="B21" s="7">
        <v>7</v>
      </c>
    </row>
    <row r="22" spans="1:2" x14ac:dyDescent="0.25">
      <c r="A22" s="7" t="s">
        <v>66</v>
      </c>
      <c r="B22" s="7">
        <v>179</v>
      </c>
    </row>
    <row r="23" spans="1:2" x14ac:dyDescent="0.25">
      <c r="A23" s="7" t="s">
        <v>67</v>
      </c>
      <c r="B23" s="7">
        <v>16</v>
      </c>
    </row>
    <row r="24" spans="1:2" x14ac:dyDescent="0.25">
      <c r="A24" s="7" t="s">
        <v>68</v>
      </c>
      <c r="B24" s="7">
        <v>3</v>
      </c>
    </row>
    <row r="25" spans="1:2" x14ac:dyDescent="0.25">
      <c r="A25" s="7" t="s">
        <v>72</v>
      </c>
      <c r="B25" s="7">
        <v>32</v>
      </c>
    </row>
    <row r="26" spans="1:2" x14ac:dyDescent="0.25">
      <c r="A26" s="7" t="s">
        <v>73</v>
      </c>
      <c r="B26" s="7">
        <v>18</v>
      </c>
    </row>
    <row r="27" spans="1:2" x14ac:dyDescent="0.25">
      <c r="A27" s="7" t="s">
        <v>74</v>
      </c>
      <c r="B27" s="7">
        <v>78</v>
      </c>
    </row>
    <row r="28" spans="1:2" x14ac:dyDescent="0.25">
      <c r="A28" s="7" t="s">
        <v>75</v>
      </c>
      <c r="B28" s="7">
        <v>2434</v>
      </c>
    </row>
    <row r="29" spans="1:2" x14ac:dyDescent="0.25">
      <c r="A29" s="7" t="s">
        <v>76</v>
      </c>
      <c r="B29" s="7">
        <v>789</v>
      </c>
    </row>
    <row r="30" spans="1:2" x14ac:dyDescent="0.25">
      <c r="A30" s="7" t="s">
        <v>77</v>
      </c>
      <c r="B30" s="7">
        <v>52</v>
      </c>
    </row>
    <row r="31" spans="1:2" x14ac:dyDescent="0.25">
      <c r="A31" s="7" t="s">
        <v>81</v>
      </c>
      <c r="B31" s="7">
        <v>637</v>
      </c>
    </row>
    <row r="32" spans="1:2" x14ac:dyDescent="0.25">
      <c r="A32" s="7" t="s">
        <v>82</v>
      </c>
      <c r="B32" s="7">
        <v>212</v>
      </c>
    </row>
    <row r="33" spans="1:2" x14ac:dyDescent="0.25">
      <c r="A33" s="7" t="s">
        <v>83</v>
      </c>
      <c r="B33" s="7">
        <v>21</v>
      </c>
    </row>
    <row r="34" spans="1:2" x14ac:dyDescent="0.25">
      <c r="A34" s="7" t="s">
        <v>84</v>
      </c>
      <c r="B34" s="7">
        <v>35096</v>
      </c>
    </row>
    <row r="35" spans="1:2" x14ac:dyDescent="0.25">
      <c r="A35" s="7" t="s">
        <v>85</v>
      </c>
      <c r="B35" s="7">
        <v>176</v>
      </c>
    </row>
    <row r="36" spans="1:2" x14ac:dyDescent="0.25">
      <c r="A36" s="7" t="s">
        <v>86</v>
      </c>
      <c r="B36" s="7">
        <v>254</v>
      </c>
    </row>
    <row r="37" spans="1:2" x14ac:dyDescent="0.25">
      <c r="A37" s="7" t="s">
        <v>87</v>
      </c>
      <c r="B37" s="7">
        <v>6</v>
      </c>
    </row>
    <row r="38" spans="1:2" x14ac:dyDescent="0.25">
      <c r="A38" s="7" t="s">
        <v>88</v>
      </c>
      <c r="B38" s="7">
        <v>9637</v>
      </c>
    </row>
    <row r="39" spans="1:2" x14ac:dyDescent="0.25">
      <c r="A39" s="7" t="s">
        <v>89</v>
      </c>
      <c r="B39" s="7">
        <v>28</v>
      </c>
    </row>
    <row r="40" spans="1:2" x14ac:dyDescent="0.25">
      <c r="A40" s="7" t="s">
        <v>90</v>
      </c>
      <c r="B40" s="7">
        <v>405</v>
      </c>
    </row>
    <row r="41" spans="1:2" x14ac:dyDescent="0.25">
      <c r="A41" s="7" t="s">
        <v>91</v>
      </c>
      <c r="B41" s="7">
        <v>113</v>
      </c>
    </row>
    <row r="42" spans="1:2" x14ac:dyDescent="0.25">
      <c r="A42" s="7" t="s">
        <v>92</v>
      </c>
      <c r="B42" s="7">
        <v>27</v>
      </c>
    </row>
    <row r="43" spans="1:2" x14ac:dyDescent="0.25">
      <c r="A43" s="7" t="s">
        <v>100</v>
      </c>
      <c r="B43" s="7">
        <v>24565</v>
      </c>
    </row>
    <row r="44" spans="1:2" x14ac:dyDescent="0.25">
      <c r="A44" s="7" t="s">
        <v>80</v>
      </c>
      <c r="B44" s="7">
        <v>519</v>
      </c>
    </row>
    <row r="45" spans="1:2" x14ac:dyDescent="0.25">
      <c r="A45" s="7" t="s">
        <v>101</v>
      </c>
      <c r="B45" s="7">
        <v>790</v>
      </c>
    </row>
    <row r="46" spans="1:2" x14ac:dyDescent="0.25">
      <c r="A46" s="7" t="s">
        <v>102</v>
      </c>
      <c r="B46" s="7">
        <v>5237</v>
      </c>
    </row>
    <row r="47" spans="1:2" x14ac:dyDescent="0.25">
      <c r="A47" s="7" t="s">
        <v>103</v>
      </c>
      <c r="B47" s="7">
        <v>51</v>
      </c>
    </row>
    <row r="48" spans="1:2" x14ac:dyDescent="0.25">
      <c r="A48" s="7" t="s">
        <v>104</v>
      </c>
      <c r="B48" s="7">
        <v>8</v>
      </c>
    </row>
    <row r="49" spans="1:2" x14ac:dyDescent="0.25">
      <c r="A49" s="7" t="s">
        <v>111</v>
      </c>
      <c r="B49" s="7">
        <v>8</v>
      </c>
    </row>
    <row r="50" spans="1:2" x14ac:dyDescent="0.25">
      <c r="A50" s="7" t="s">
        <v>112</v>
      </c>
      <c r="B50" s="7">
        <v>96</v>
      </c>
    </row>
    <row r="51" spans="1:2" x14ac:dyDescent="0.25">
      <c r="A51" s="7" t="s">
        <v>113</v>
      </c>
      <c r="B51" s="7">
        <v>41</v>
      </c>
    </row>
    <row r="52" spans="1:2" x14ac:dyDescent="0.25">
      <c r="A52" s="7" t="s">
        <v>114</v>
      </c>
      <c r="B52" s="7">
        <v>3</v>
      </c>
    </row>
    <row r="53" spans="1:2" x14ac:dyDescent="0.25">
      <c r="A53" s="7" t="s">
        <v>115</v>
      </c>
      <c r="B53" s="7">
        <v>1</v>
      </c>
    </row>
    <row r="54" spans="1:2" x14ac:dyDescent="0.25">
      <c r="A54" s="7" t="s">
        <v>116</v>
      </c>
      <c r="B54" s="7">
        <v>5</v>
      </c>
    </row>
    <row r="55" spans="1:2" x14ac:dyDescent="0.25">
      <c r="A55" s="7" t="s">
        <v>110</v>
      </c>
      <c r="B55" s="7">
        <v>4</v>
      </c>
    </row>
    <row r="56" spans="1:2" x14ac:dyDescent="0.25">
      <c r="A56" s="7" t="s">
        <v>117</v>
      </c>
      <c r="B56" s="7">
        <v>32</v>
      </c>
    </row>
    <row r="57" spans="1:2" x14ac:dyDescent="0.25">
      <c r="A57" s="7" t="s">
        <v>118</v>
      </c>
      <c r="B57" s="7">
        <v>9</v>
      </c>
    </row>
    <row r="58" spans="1:2" x14ac:dyDescent="0.25">
      <c r="A58" s="7" t="s">
        <v>122</v>
      </c>
      <c r="B58" s="7">
        <v>759</v>
      </c>
    </row>
    <row r="59" spans="1:2" x14ac:dyDescent="0.25">
      <c r="A59" s="7" t="s">
        <v>123</v>
      </c>
      <c r="B59" s="7">
        <v>51</v>
      </c>
    </row>
    <row r="60" spans="1:2" x14ac:dyDescent="0.25">
      <c r="A60" s="7" t="s">
        <v>124</v>
      </c>
      <c r="B60" s="7">
        <v>65</v>
      </c>
    </row>
    <row r="61" spans="1:2" x14ac:dyDescent="0.25">
      <c r="A61" s="7" t="s">
        <v>125</v>
      </c>
      <c r="B61" s="7">
        <v>6</v>
      </c>
    </row>
    <row r="62" spans="1:2" x14ac:dyDescent="0.25">
      <c r="A62" s="7" t="s">
        <v>126</v>
      </c>
      <c r="B62" s="7">
        <v>16</v>
      </c>
    </row>
    <row r="63" spans="1:2" x14ac:dyDescent="0.25">
      <c r="A63" s="7" t="s">
        <v>127</v>
      </c>
      <c r="B63" s="7">
        <v>12</v>
      </c>
    </row>
    <row r="64" spans="1:2" x14ac:dyDescent="0.25">
      <c r="A64" s="7" t="s">
        <v>133</v>
      </c>
      <c r="B64" s="7">
        <v>79</v>
      </c>
    </row>
    <row r="65" spans="1:2" x14ac:dyDescent="0.25">
      <c r="A65" s="7" t="s">
        <v>134</v>
      </c>
      <c r="B65" s="7">
        <v>72</v>
      </c>
    </row>
    <row r="66" spans="1:2" x14ac:dyDescent="0.25">
      <c r="A66" s="7" t="s">
        <v>135</v>
      </c>
      <c r="B66" s="7">
        <v>53</v>
      </c>
    </row>
    <row r="67" spans="1:2" x14ac:dyDescent="0.25">
      <c r="A67" s="7" t="s">
        <v>160</v>
      </c>
      <c r="B67" s="7">
        <v>15140</v>
      </c>
    </row>
    <row r="68" spans="1:2" x14ac:dyDescent="0.25">
      <c r="A68" s="7" t="s">
        <v>161</v>
      </c>
      <c r="B68" s="7">
        <v>285</v>
      </c>
    </row>
    <row r="69" spans="1:2" x14ac:dyDescent="0.25">
      <c r="A69" s="7" t="s">
        <v>457</v>
      </c>
      <c r="B69" s="7">
        <v>3436</v>
      </c>
    </row>
    <row r="70" spans="1:2" x14ac:dyDescent="0.25">
      <c r="A70" s="7" t="s">
        <v>162</v>
      </c>
      <c r="B70" s="7">
        <v>96</v>
      </c>
    </row>
    <row r="71" spans="1:2" x14ac:dyDescent="0.25">
      <c r="A71" s="7" t="s">
        <v>163</v>
      </c>
      <c r="B71" s="7">
        <v>17</v>
      </c>
    </row>
    <row r="72" spans="1:2" x14ac:dyDescent="0.25">
      <c r="A72" s="7" t="s">
        <v>164</v>
      </c>
      <c r="B72" s="7">
        <v>108</v>
      </c>
    </row>
    <row r="73" spans="1:2" x14ac:dyDescent="0.25">
      <c r="A73" s="7" t="s">
        <v>147</v>
      </c>
      <c r="B73" s="7">
        <v>1691</v>
      </c>
    </row>
    <row r="74" spans="1:2" x14ac:dyDescent="0.25">
      <c r="A74" s="7" t="s">
        <v>165</v>
      </c>
      <c r="B74" s="7">
        <v>54</v>
      </c>
    </row>
    <row r="75" spans="1:2" x14ac:dyDescent="0.25">
      <c r="A75" s="7" t="s">
        <v>145</v>
      </c>
      <c r="B75" s="7">
        <v>19</v>
      </c>
    </row>
    <row r="76" spans="1:2" x14ac:dyDescent="0.25">
      <c r="A76" s="7" t="s">
        <v>166</v>
      </c>
      <c r="B76" s="7">
        <v>3479</v>
      </c>
    </row>
    <row r="77" spans="1:2" x14ac:dyDescent="0.25">
      <c r="A77" s="7" t="s">
        <v>167</v>
      </c>
      <c r="B77" s="7">
        <v>4594</v>
      </c>
    </row>
    <row r="78" spans="1:2" x14ac:dyDescent="0.25">
      <c r="A78" s="7" t="s">
        <v>168</v>
      </c>
      <c r="B78" s="7">
        <v>159</v>
      </c>
    </row>
    <row r="79" spans="1:2" x14ac:dyDescent="0.25">
      <c r="A79" s="7" t="s">
        <v>195</v>
      </c>
      <c r="B79" s="7">
        <v>32</v>
      </c>
    </row>
    <row r="80" spans="1:2" x14ac:dyDescent="0.25">
      <c r="A80" s="7" t="s">
        <v>196</v>
      </c>
      <c r="B80" s="7">
        <v>10</v>
      </c>
    </row>
    <row r="81" spans="1:2" x14ac:dyDescent="0.25">
      <c r="A81" s="7" t="s">
        <v>197</v>
      </c>
      <c r="B81" s="7">
        <v>58</v>
      </c>
    </row>
    <row r="82" spans="1:2" x14ac:dyDescent="0.25">
      <c r="A82" s="7" t="s">
        <v>205</v>
      </c>
      <c r="B82" s="7">
        <v>543</v>
      </c>
    </row>
    <row r="83" spans="1:2" x14ac:dyDescent="0.25">
      <c r="A83" s="7" t="s">
        <v>206</v>
      </c>
      <c r="B83" s="7">
        <v>5</v>
      </c>
    </row>
    <row r="84" spans="1:2" x14ac:dyDescent="0.25">
      <c r="A84" s="7" t="s">
        <v>207</v>
      </c>
      <c r="B84" s="7">
        <v>51</v>
      </c>
    </row>
    <row r="85" spans="1:2" x14ac:dyDescent="0.25">
      <c r="A85" s="7" t="s">
        <v>211</v>
      </c>
      <c r="B85" s="7">
        <v>43</v>
      </c>
    </row>
    <row r="86" spans="1:2" x14ac:dyDescent="0.25">
      <c r="A86" s="7" t="s">
        <v>212</v>
      </c>
      <c r="B86" s="7">
        <v>82</v>
      </c>
    </row>
    <row r="87" spans="1:2" x14ac:dyDescent="0.25">
      <c r="A87" s="7" t="s">
        <v>213</v>
      </c>
      <c r="B87" s="7">
        <v>31</v>
      </c>
    </row>
    <row r="88" spans="1:2" x14ac:dyDescent="0.25">
      <c r="A88" s="7" t="s">
        <v>214</v>
      </c>
      <c r="B88" s="7">
        <v>2698</v>
      </c>
    </row>
    <row r="89" spans="1:2" x14ac:dyDescent="0.25">
      <c r="A89" s="7" t="s">
        <v>215</v>
      </c>
      <c r="B89" s="7">
        <v>44</v>
      </c>
    </row>
    <row r="90" spans="1:2" x14ac:dyDescent="0.25">
      <c r="A90" s="7" t="s">
        <v>216</v>
      </c>
      <c r="B90" s="7">
        <v>802</v>
      </c>
    </row>
    <row r="91" spans="1:2" x14ac:dyDescent="0.25">
      <c r="A91" s="7" t="s">
        <v>217</v>
      </c>
      <c r="B91" s="7">
        <v>2473</v>
      </c>
    </row>
    <row r="92" spans="1:2" x14ac:dyDescent="0.25">
      <c r="A92" s="7" t="s">
        <v>218</v>
      </c>
      <c r="B92" s="7">
        <v>140</v>
      </c>
    </row>
    <row r="93" spans="1:2" x14ac:dyDescent="0.25">
      <c r="A93" s="7" t="s">
        <v>219</v>
      </c>
      <c r="B93" s="7">
        <v>1272</v>
      </c>
    </row>
    <row r="94" spans="1:2" x14ac:dyDescent="0.25">
      <c r="A94" s="7" t="s">
        <v>225</v>
      </c>
      <c r="B94" s="7">
        <v>40</v>
      </c>
    </row>
    <row r="95" spans="1:2" x14ac:dyDescent="0.25">
      <c r="A95" s="7" t="s">
        <v>226</v>
      </c>
      <c r="B95" s="7">
        <v>69</v>
      </c>
    </row>
    <row r="96" spans="1:2" x14ac:dyDescent="0.25">
      <c r="A96" s="7" t="s">
        <v>227</v>
      </c>
      <c r="B96" s="7">
        <v>13</v>
      </c>
    </row>
    <row r="97" spans="1:2" x14ac:dyDescent="0.25">
      <c r="A97" s="7" t="s">
        <v>228</v>
      </c>
      <c r="B97" s="7">
        <v>505</v>
      </c>
    </row>
    <row r="98" spans="1:2" x14ac:dyDescent="0.25">
      <c r="A98" s="7" t="s">
        <v>229</v>
      </c>
      <c r="B98" s="7">
        <v>10</v>
      </c>
    </row>
    <row r="99" spans="1:2" x14ac:dyDescent="0.25">
      <c r="A99" s="7" t="s">
        <v>230</v>
      </c>
      <c r="B99" s="7">
        <v>155</v>
      </c>
    </row>
    <row r="100" spans="1:2" x14ac:dyDescent="0.25">
      <c r="A100" s="7" t="s">
        <v>239</v>
      </c>
      <c r="B100" s="7">
        <v>511</v>
      </c>
    </row>
    <row r="101" spans="1:2" x14ac:dyDescent="0.25">
      <c r="A101" s="7" t="s">
        <v>240</v>
      </c>
      <c r="B101" s="7">
        <v>369</v>
      </c>
    </row>
    <row r="102" spans="1:2" x14ac:dyDescent="0.25">
      <c r="A102" s="7" t="s">
        <v>241</v>
      </c>
      <c r="B102" s="7">
        <v>46</v>
      </c>
    </row>
    <row r="103" spans="1:2" x14ac:dyDescent="0.25">
      <c r="A103" s="7" t="s">
        <v>242</v>
      </c>
      <c r="B103" s="7">
        <v>1253</v>
      </c>
    </row>
    <row r="104" spans="1:2" x14ac:dyDescent="0.25">
      <c r="A104" s="7" t="s">
        <v>243</v>
      </c>
      <c r="B104" s="7">
        <v>666</v>
      </c>
    </row>
    <row r="105" spans="1:2" x14ac:dyDescent="0.25">
      <c r="A105" s="7" t="s">
        <v>244</v>
      </c>
      <c r="B105" s="7">
        <v>14</v>
      </c>
    </row>
    <row r="106" spans="1:2" x14ac:dyDescent="0.25">
      <c r="A106" s="7" t="s">
        <v>252</v>
      </c>
      <c r="B106" s="7">
        <v>444</v>
      </c>
    </row>
    <row r="107" spans="1:2" x14ac:dyDescent="0.25">
      <c r="A107" s="7" t="s">
        <v>253</v>
      </c>
      <c r="B107" s="7">
        <v>475</v>
      </c>
    </row>
    <row r="108" spans="1:2" x14ac:dyDescent="0.25">
      <c r="A108" s="7" t="s">
        <v>254</v>
      </c>
      <c r="B108" s="7">
        <v>622</v>
      </c>
    </row>
    <row r="109" spans="1:2" x14ac:dyDescent="0.25">
      <c r="A109" s="7" t="s">
        <v>255</v>
      </c>
      <c r="B109" s="7">
        <v>73</v>
      </c>
    </row>
    <row r="110" spans="1:2" x14ac:dyDescent="0.25">
      <c r="A110" s="7" t="s">
        <v>256</v>
      </c>
      <c r="B110" s="7">
        <v>15</v>
      </c>
    </row>
    <row r="111" spans="1:2" x14ac:dyDescent="0.25">
      <c r="A111" s="7" t="s">
        <v>257</v>
      </c>
      <c r="B111" s="7">
        <v>2</v>
      </c>
    </row>
    <row r="112" spans="1:2" x14ac:dyDescent="0.25">
      <c r="A112" s="7" t="s">
        <v>269</v>
      </c>
      <c r="B112" s="7">
        <v>0</v>
      </c>
    </row>
    <row r="113" spans="1:2" x14ac:dyDescent="0.25">
      <c r="A113" s="7" t="s">
        <v>270</v>
      </c>
      <c r="B113" s="7">
        <v>0</v>
      </c>
    </row>
    <row r="114" spans="1:2" x14ac:dyDescent="0.25">
      <c r="A114" s="7" t="s">
        <v>271</v>
      </c>
      <c r="B114" s="7">
        <v>63</v>
      </c>
    </row>
    <row r="115" spans="1:2" x14ac:dyDescent="0.25">
      <c r="A115" s="7" t="s">
        <v>46</v>
      </c>
      <c r="B115" s="7">
        <v>4537</v>
      </c>
    </row>
    <row r="116" spans="1:2" x14ac:dyDescent="0.25">
      <c r="A116" s="7" t="s">
        <v>47</v>
      </c>
      <c r="B116" s="7">
        <v>4573</v>
      </c>
    </row>
    <row r="117" spans="1:2" x14ac:dyDescent="0.25">
      <c r="A117" s="7" t="s">
        <v>48</v>
      </c>
      <c r="B117" s="7">
        <v>410</v>
      </c>
    </row>
    <row r="118" spans="1:2" x14ac:dyDescent="0.25">
      <c r="A118" s="7" t="s">
        <v>69</v>
      </c>
      <c r="B118" s="7">
        <v>2254</v>
      </c>
    </row>
    <row r="119" spans="1:2" x14ac:dyDescent="0.25">
      <c r="A119" s="7" t="s">
        <v>70</v>
      </c>
      <c r="B119" s="7">
        <v>27</v>
      </c>
    </row>
    <row r="120" spans="1:2" x14ac:dyDescent="0.25">
      <c r="A120" s="7" t="s">
        <v>71</v>
      </c>
      <c r="B120" s="7">
        <v>183</v>
      </c>
    </row>
    <row r="121" spans="1:2" x14ac:dyDescent="0.25">
      <c r="A121" s="7" t="s">
        <v>142</v>
      </c>
      <c r="B121" s="7">
        <v>101</v>
      </c>
    </row>
    <row r="122" spans="1:2" x14ac:dyDescent="0.25">
      <c r="A122" s="7" t="s">
        <v>143</v>
      </c>
      <c r="B122" s="7">
        <v>265</v>
      </c>
    </row>
    <row r="123" spans="1:2" x14ac:dyDescent="0.25">
      <c r="A123" s="7" t="s">
        <v>144</v>
      </c>
      <c r="B123" s="7">
        <v>197</v>
      </c>
    </row>
    <row r="124" spans="1:2" x14ac:dyDescent="0.25">
      <c r="A124" s="7" t="s">
        <v>175</v>
      </c>
      <c r="B124" s="7">
        <v>361</v>
      </c>
    </row>
    <row r="125" spans="1:2" x14ac:dyDescent="0.25">
      <c r="A125" s="7" t="s">
        <v>176</v>
      </c>
      <c r="B125" s="7">
        <v>94</v>
      </c>
    </row>
    <row r="126" spans="1:2" x14ac:dyDescent="0.25">
      <c r="A126" s="7" t="s">
        <v>177</v>
      </c>
      <c r="B126" s="7">
        <v>132</v>
      </c>
    </row>
    <row r="127" spans="1:2" x14ac:dyDescent="0.25">
      <c r="A127" s="7" t="s">
        <v>192</v>
      </c>
      <c r="B127" s="7">
        <v>208</v>
      </c>
    </row>
    <row r="128" spans="1:2" x14ac:dyDescent="0.25">
      <c r="A128" s="7" t="s">
        <v>193</v>
      </c>
      <c r="B128" s="7">
        <v>2101</v>
      </c>
    </row>
    <row r="129" spans="1:2" x14ac:dyDescent="0.25">
      <c r="A129" s="7" t="s">
        <v>194</v>
      </c>
      <c r="B129" s="7">
        <v>1537</v>
      </c>
    </row>
    <row r="130" spans="1:2" x14ac:dyDescent="0.25">
      <c r="A130" s="7" t="s">
        <v>193</v>
      </c>
      <c r="B130" s="7">
        <v>2101</v>
      </c>
    </row>
    <row r="131" spans="1:2" x14ac:dyDescent="0.25">
      <c r="A131" s="7" t="s">
        <v>192</v>
      </c>
      <c r="B131" s="7">
        <v>208</v>
      </c>
    </row>
    <row r="132" spans="1:2" x14ac:dyDescent="0.25">
      <c r="A132" s="7" t="s">
        <v>201</v>
      </c>
      <c r="B132" s="7">
        <v>454</v>
      </c>
    </row>
    <row r="133" spans="1:2" x14ac:dyDescent="0.25">
      <c r="A133" s="7" t="s">
        <v>233</v>
      </c>
      <c r="B133" s="7">
        <v>25</v>
      </c>
    </row>
    <row r="134" spans="1:2" x14ac:dyDescent="0.25">
      <c r="A134" s="7" t="s">
        <v>234</v>
      </c>
      <c r="B134" s="7">
        <v>128</v>
      </c>
    </row>
    <row r="135" spans="1:2" x14ac:dyDescent="0.25">
      <c r="A135" s="7" t="s">
        <v>235</v>
      </c>
      <c r="B135" s="7">
        <v>195</v>
      </c>
    </row>
    <row r="136" spans="1:2" x14ac:dyDescent="0.25">
      <c r="A136" s="7" t="s">
        <v>263</v>
      </c>
      <c r="B136" s="7">
        <v>0</v>
      </c>
    </row>
    <row r="137" spans="1:2" x14ac:dyDescent="0.25">
      <c r="A137" s="7" t="s">
        <v>264</v>
      </c>
      <c r="B137" s="7">
        <v>161</v>
      </c>
    </row>
    <row r="138" spans="1:2" x14ac:dyDescent="0.25">
      <c r="A138" s="7" t="s">
        <v>265</v>
      </c>
      <c r="B138" s="7">
        <v>435</v>
      </c>
    </row>
    <row r="139" spans="1:2" x14ac:dyDescent="0.25">
      <c r="A139" s="7" t="s">
        <v>272</v>
      </c>
      <c r="B139" s="7">
        <v>6</v>
      </c>
    </row>
    <row r="140" spans="1:2" x14ac:dyDescent="0.25">
      <c r="A140" s="7" t="s">
        <v>273</v>
      </c>
      <c r="B140" s="7">
        <v>113</v>
      </c>
    </row>
    <row r="141" spans="1:2" x14ac:dyDescent="0.25">
      <c r="A141" s="7" t="s">
        <v>274</v>
      </c>
      <c r="B141" s="7">
        <v>190</v>
      </c>
    </row>
    <row r="142" spans="1:2" x14ac:dyDescent="0.25">
      <c r="A142" s="7" t="s">
        <v>78</v>
      </c>
      <c r="B142" s="7">
        <v>14071</v>
      </c>
    </row>
    <row r="143" spans="1:2" x14ac:dyDescent="0.25">
      <c r="A143" s="7" t="s">
        <v>79</v>
      </c>
      <c r="B143" s="7">
        <v>226</v>
      </c>
    </row>
    <row r="144" spans="1:2" x14ac:dyDescent="0.25">
      <c r="A144" s="7" t="s">
        <v>80</v>
      </c>
      <c r="B144" s="7">
        <v>519</v>
      </c>
    </row>
    <row r="145" spans="1:2" x14ac:dyDescent="0.25">
      <c r="A145" s="7" t="s">
        <v>105</v>
      </c>
      <c r="B145" s="7">
        <v>6</v>
      </c>
    </row>
    <row r="146" spans="1:2" x14ac:dyDescent="0.25">
      <c r="A146" s="7" t="s">
        <v>106</v>
      </c>
      <c r="B146" s="7">
        <v>126</v>
      </c>
    </row>
    <row r="147" spans="1:2" x14ac:dyDescent="0.25">
      <c r="A147" s="7" t="s">
        <v>107</v>
      </c>
      <c r="B147" s="7">
        <v>15</v>
      </c>
    </row>
    <row r="148" spans="1:2" x14ac:dyDescent="0.25">
      <c r="A148" s="7" t="s">
        <v>145</v>
      </c>
      <c r="B148" s="7">
        <v>19</v>
      </c>
    </row>
    <row r="149" spans="1:2" x14ac:dyDescent="0.25">
      <c r="A149" s="7" t="s">
        <v>146</v>
      </c>
      <c r="B149" s="7">
        <v>2938</v>
      </c>
    </row>
    <row r="150" spans="1:2" x14ac:dyDescent="0.25">
      <c r="A150" s="7" t="s">
        <v>147</v>
      </c>
      <c r="B150" s="7">
        <v>1691</v>
      </c>
    </row>
    <row r="151" spans="1:2" x14ac:dyDescent="0.25">
      <c r="A151" s="7" t="s">
        <v>180</v>
      </c>
      <c r="B151" s="7">
        <v>846</v>
      </c>
    </row>
    <row r="152" spans="1:2" x14ac:dyDescent="0.25">
      <c r="A152" s="7" t="s">
        <v>181</v>
      </c>
      <c r="B152" s="7">
        <v>1836</v>
      </c>
    </row>
    <row r="153" spans="1:2" x14ac:dyDescent="0.25">
      <c r="A153" s="7" t="s">
        <v>182</v>
      </c>
      <c r="B153" s="7">
        <v>337</v>
      </c>
    </row>
    <row r="154" spans="1:2" x14ac:dyDescent="0.25">
      <c r="A154" s="7" t="s">
        <v>186</v>
      </c>
      <c r="B154" s="7">
        <v>56</v>
      </c>
    </row>
    <row r="155" spans="1:2" x14ac:dyDescent="0.25">
      <c r="A155" s="7" t="s">
        <v>187</v>
      </c>
      <c r="B155" s="7">
        <v>144</v>
      </c>
    </row>
    <row r="156" spans="1:2" x14ac:dyDescent="0.25">
      <c r="A156" s="7" t="s">
        <v>188</v>
      </c>
      <c r="B156" s="7">
        <v>582</v>
      </c>
    </row>
    <row r="157" spans="1:2" x14ac:dyDescent="0.25">
      <c r="A157" s="7" t="s">
        <v>208</v>
      </c>
      <c r="B157" s="7">
        <v>199</v>
      </c>
    </row>
    <row r="158" spans="1:2" x14ac:dyDescent="0.25">
      <c r="A158" s="7" t="s">
        <v>209</v>
      </c>
      <c r="B158" s="7">
        <v>1294</v>
      </c>
    </row>
    <row r="159" spans="1:2" x14ac:dyDescent="0.25">
      <c r="A159" s="7" t="s">
        <v>210</v>
      </c>
      <c r="B159" s="7">
        <v>615</v>
      </c>
    </row>
    <row r="160" spans="1:2" x14ac:dyDescent="0.25">
      <c r="A160" s="7" t="s">
        <v>249</v>
      </c>
      <c r="B160" s="7">
        <v>282</v>
      </c>
    </row>
    <row r="161" spans="1:2" x14ac:dyDescent="0.25">
      <c r="A161" s="7" t="s">
        <v>250</v>
      </c>
      <c r="B161" s="7">
        <v>1094</v>
      </c>
    </row>
    <row r="162" spans="1:2" x14ac:dyDescent="0.25">
      <c r="A162" s="7" t="s">
        <v>251</v>
      </c>
      <c r="B162" s="7">
        <v>370</v>
      </c>
    </row>
    <row r="163" spans="1:2" x14ac:dyDescent="0.25">
      <c r="A163" s="7" t="s">
        <v>32</v>
      </c>
      <c r="B163" s="7">
        <v>36</v>
      </c>
    </row>
    <row r="164" spans="1:2" x14ac:dyDescent="0.25">
      <c r="A164" s="7" t="s">
        <v>33</v>
      </c>
      <c r="B164" s="7">
        <v>566</v>
      </c>
    </row>
    <row r="165" spans="1:2" x14ac:dyDescent="0.25">
      <c r="A165" s="7" t="s">
        <v>34</v>
      </c>
      <c r="B165" s="7">
        <v>386</v>
      </c>
    </row>
    <row r="166" spans="1:2" x14ac:dyDescent="0.25">
      <c r="A166" s="7" t="s">
        <v>189</v>
      </c>
      <c r="B166" s="7">
        <v>719</v>
      </c>
    </row>
    <row r="167" spans="1:2" x14ac:dyDescent="0.25">
      <c r="A167" s="7" t="s">
        <v>190</v>
      </c>
      <c r="B167" s="7">
        <v>1709</v>
      </c>
    </row>
    <row r="168" spans="1:2" x14ac:dyDescent="0.25">
      <c r="A168" s="7" t="s">
        <v>191</v>
      </c>
      <c r="B168" s="7">
        <v>6608</v>
      </c>
    </row>
    <row r="169" spans="1:2" x14ac:dyDescent="0.25">
      <c r="A169" s="7" t="s">
        <v>198</v>
      </c>
      <c r="B169" s="7">
        <v>77</v>
      </c>
    </row>
    <row r="170" spans="1:2" x14ac:dyDescent="0.25">
      <c r="A170" s="7" t="s">
        <v>199</v>
      </c>
      <c r="B170" s="7">
        <v>569</v>
      </c>
    </row>
    <row r="171" spans="1:2" x14ac:dyDescent="0.25">
      <c r="A171" s="7" t="s">
        <v>200</v>
      </c>
      <c r="B171" s="7">
        <v>1119</v>
      </c>
    </row>
    <row r="172" spans="1:2" x14ac:dyDescent="0.25">
      <c r="A172" s="7" t="s">
        <v>154</v>
      </c>
      <c r="B172" s="7">
        <v>131</v>
      </c>
    </row>
    <row r="173" spans="1:2" x14ac:dyDescent="0.25">
      <c r="A173" s="7" t="s">
        <v>155</v>
      </c>
      <c r="B173" s="7">
        <v>277</v>
      </c>
    </row>
    <row r="174" spans="1:2" x14ac:dyDescent="0.25">
      <c r="A174" s="7" t="s">
        <v>156</v>
      </c>
      <c r="B174" s="7">
        <v>8754</v>
      </c>
    </row>
    <row r="175" spans="1:2" x14ac:dyDescent="0.25">
      <c r="A175" s="7" t="s">
        <v>157</v>
      </c>
      <c r="B175" s="7">
        <v>28039</v>
      </c>
    </row>
    <row r="176" spans="1:2" x14ac:dyDescent="0.25">
      <c r="A176" s="7" t="s">
        <v>158</v>
      </c>
      <c r="B176" s="7">
        <v>281</v>
      </c>
    </row>
    <row r="177" spans="1:2" x14ac:dyDescent="0.25">
      <c r="A177" s="7" t="s">
        <v>159</v>
      </c>
      <c r="B177" s="7">
        <v>927</v>
      </c>
    </row>
    <row r="178" spans="1:2" x14ac:dyDescent="0.25">
      <c r="A178" s="7" t="s">
        <v>172</v>
      </c>
      <c r="B178" s="7">
        <v>275</v>
      </c>
    </row>
    <row r="179" spans="1:2" x14ac:dyDescent="0.25">
      <c r="A179" s="7" t="s">
        <v>173</v>
      </c>
      <c r="B179" s="7">
        <v>529</v>
      </c>
    </row>
    <row r="180" spans="1:2" x14ac:dyDescent="0.25">
      <c r="A180" s="7" t="s">
        <v>174</v>
      </c>
      <c r="B180" s="7">
        <v>220</v>
      </c>
    </row>
    <row r="181" spans="1:2" x14ac:dyDescent="0.25">
      <c r="A181" s="7" t="s">
        <v>183</v>
      </c>
      <c r="B181" s="7">
        <v>46</v>
      </c>
    </row>
    <row r="182" spans="1:2" x14ac:dyDescent="0.25">
      <c r="A182" s="7" t="s">
        <v>184</v>
      </c>
      <c r="B182" s="7">
        <v>1353</v>
      </c>
    </row>
    <row r="183" spans="1:2" x14ac:dyDescent="0.25">
      <c r="A183" s="7" t="s">
        <v>185</v>
      </c>
      <c r="B183" s="7">
        <v>1297</v>
      </c>
    </row>
    <row r="184" spans="1:2" x14ac:dyDescent="0.25">
      <c r="A184" s="7" t="s">
        <v>63</v>
      </c>
      <c r="B184" s="7">
        <v>3</v>
      </c>
    </row>
    <row r="185" spans="1:2" x14ac:dyDescent="0.25">
      <c r="A185" s="7" t="s">
        <v>64</v>
      </c>
      <c r="B185" s="7">
        <v>150</v>
      </c>
    </row>
    <row r="186" spans="1:2" x14ac:dyDescent="0.25">
      <c r="A186" s="7" t="s">
        <v>65</v>
      </c>
      <c r="B186" s="7">
        <v>1765</v>
      </c>
    </row>
    <row r="187" spans="1:2" x14ac:dyDescent="0.25">
      <c r="A187" s="7" t="s">
        <v>49</v>
      </c>
      <c r="B187" s="7">
        <v>530</v>
      </c>
    </row>
    <row r="188" spans="1:2" x14ac:dyDescent="0.25">
      <c r="A188" s="7" t="s">
        <v>50</v>
      </c>
      <c r="B188" s="7">
        <v>50</v>
      </c>
    </row>
    <row r="189" spans="1:2" x14ac:dyDescent="0.25">
      <c r="A189" s="7" t="s">
        <v>51</v>
      </c>
      <c r="B189" s="7">
        <v>294</v>
      </c>
    </row>
    <row r="190" spans="1:2" x14ac:dyDescent="0.25">
      <c r="A190" s="7" t="s">
        <v>136</v>
      </c>
      <c r="B190" s="7">
        <v>4557</v>
      </c>
    </row>
    <row r="191" spans="1:2" x14ac:dyDescent="0.25">
      <c r="A191" s="7" t="s">
        <v>137</v>
      </c>
      <c r="B191" s="7">
        <v>655</v>
      </c>
    </row>
    <row r="192" spans="1:2" x14ac:dyDescent="0.25">
      <c r="A192" s="7" t="s">
        <v>138</v>
      </c>
      <c r="B192" s="7">
        <v>300</v>
      </c>
    </row>
    <row r="193" spans="1:2" x14ac:dyDescent="0.25">
      <c r="A193" s="7" t="s">
        <v>202</v>
      </c>
      <c r="B193" s="7">
        <v>283</v>
      </c>
    </row>
    <row r="194" spans="1:2" x14ac:dyDescent="0.25">
      <c r="A194" s="7" t="s">
        <v>203</v>
      </c>
      <c r="B194" s="7">
        <v>523</v>
      </c>
    </row>
    <row r="195" spans="1:2" x14ac:dyDescent="0.25">
      <c r="A195" s="7" t="s">
        <v>204</v>
      </c>
      <c r="B195" s="7">
        <v>584</v>
      </c>
    </row>
    <row r="196" spans="1:2" x14ac:dyDescent="0.25">
      <c r="A196" s="7" t="s">
        <v>95</v>
      </c>
      <c r="B196" s="7">
        <v>343</v>
      </c>
    </row>
    <row r="197" spans="1:2" x14ac:dyDescent="0.25">
      <c r="A197" s="7" t="s">
        <v>96</v>
      </c>
      <c r="B197" s="7">
        <v>109189</v>
      </c>
    </row>
    <row r="198" spans="1:2" x14ac:dyDescent="0.25">
      <c r="A198" s="7" t="s">
        <v>93</v>
      </c>
      <c r="B198" s="7">
        <v>499</v>
      </c>
    </row>
    <row r="199" spans="1:2" x14ac:dyDescent="0.25">
      <c r="A199" s="7" t="s">
        <v>245</v>
      </c>
      <c r="B199" s="7">
        <v>766</v>
      </c>
    </row>
    <row r="200" spans="1:2" x14ac:dyDescent="0.25">
      <c r="A200" s="7" t="s">
        <v>238</v>
      </c>
      <c r="B200" s="7">
        <v>4821</v>
      </c>
    </row>
    <row r="201" spans="1:2" x14ac:dyDescent="0.25">
      <c r="A201" s="7" t="s">
        <v>246</v>
      </c>
      <c r="B201" s="7">
        <v>1126</v>
      </c>
    </row>
    <row r="202" spans="1:2" x14ac:dyDescent="0.25">
      <c r="A202" s="7" t="s">
        <v>139</v>
      </c>
      <c r="B202" s="7">
        <v>141</v>
      </c>
    </row>
    <row r="203" spans="1:2" x14ac:dyDescent="0.25">
      <c r="A203" s="7" t="s">
        <v>140</v>
      </c>
      <c r="B203" s="7">
        <v>12816</v>
      </c>
    </row>
    <row r="204" spans="1:2" x14ac:dyDescent="0.25">
      <c r="A204" s="7" t="s">
        <v>141</v>
      </c>
      <c r="B204" s="7">
        <v>3756</v>
      </c>
    </row>
    <row r="205" spans="1:2" x14ac:dyDescent="0.25">
      <c r="A205" s="7" t="s">
        <v>39</v>
      </c>
      <c r="B205" s="7">
        <v>603</v>
      </c>
    </row>
    <row r="206" spans="1:2" x14ac:dyDescent="0.25">
      <c r="A206" s="7" t="s">
        <v>38</v>
      </c>
      <c r="B206" s="7">
        <v>5</v>
      </c>
    </row>
    <row r="207" spans="1:2" x14ac:dyDescent="0.25">
      <c r="A207" s="7" t="s">
        <v>40</v>
      </c>
      <c r="B207" s="7">
        <v>333</v>
      </c>
    </row>
    <row r="208" spans="1:2" x14ac:dyDescent="0.25">
      <c r="A208" s="7" t="s">
        <v>169</v>
      </c>
      <c r="B208" s="7">
        <v>902</v>
      </c>
    </row>
    <row r="209" spans="1:2" x14ac:dyDescent="0.25">
      <c r="A209" s="7" t="s">
        <v>170</v>
      </c>
      <c r="B209" s="7">
        <v>273</v>
      </c>
    </row>
    <row r="210" spans="1:2" x14ac:dyDescent="0.25">
      <c r="A210" s="7" t="s">
        <v>171</v>
      </c>
      <c r="B210" s="7">
        <v>527</v>
      </c>
    </row>
    <row r="211" spans="1:2" x14ac:dyDescent="0.25">
      <c r="A211" s="7" t="s">
        <v>258</v>
      </c>
      <c r="B211" s="7">
        <v>3141</v>
      </c>
    </row>
    <row r="212" spans="1:2" x14ac:dyDescent="0.25">
      <c r="A212" s="7" t="s">
        <v>259</v>
      </c>
      <c r="B212" s="7">
        <v>2763</v>
      </c>
    </row>
    <row r="213" spans="1:2" x14ac:dyDescent="0.25">
      <c r="A213" s="7" t="s">
        <v>260</v>
      </c>
      <c r="B213" s="7">
        <v>860</v>
      </c>
    </row>
    <row r="214" spans="1:2" x14ac:dyDescent="0.25">
      <c r="A214" s="7" t="s">
        <v>29</v>
      </c>
      <c r="B214" s="7">
        <v>1153</v>
      </c>
    </row>
    <row r="215" spans="1:2" x14ac:dyDescent="0.25">
      <c r="A215" s="7" t="s">
        <v>30</v>
      </c>
      <c r="B215" s="7">
        <v>1455</v>
      </c>
    </row>
    <row r="216" spans="1:2" x14ac:dyDescent="0.25">
      <c r="A216" s="7" t="s">
        <v>31</v>
      </c>
      <c r="B216" s="7">
        <v>533</v>
      </c>
    </row>
    <row r="217" spans="1:2" x14ac:dyDescent="0.25">
      <c r="A217" s="7" t="s">
        <v>148</v>
      </c>
      <c r="B217" s="7">
        <v>478</v>
      </c>
    </row>
    <row r="218" spans="1:2" x14ac:dyDescent="0.25">
      <c r="A218" s="7" t="s">
        <v>149</v>
      </c>
      <c r="B218" s="7">
        <v>144</v>
      </c>
    </row>
    <row r="219" spans="1:2" x14ac:dyDescent="0.25">
      <c r="A219" s="7" t="s">
        <v>150</v>
      </c>
      <c r="B219" s="7">
        <v>3838</v>
      </c>
    </row>
    <row r="220" spans="1:2" x14ac:dyDescent="0.25">
      <c r="A220" s="7" t="s">
        <v>222</v>
      </c>
      <c r="B220" s="7">
        <v>58</v>
      </c>
    </row>
    <row r="221" spans="1:2" x14ac:dyDescent="0.25">
      <c r="A221" s="7" t="s">
        <v>223</v>
      </c>
      <c r="B221" s="7">
        <v>988</v>
      </c>
    </row>
    <row r="222" spans="1:2" x14ac:dyDescent="0.25">
      <c r="A222" s="7" t="s">
        <v>224</v>
      </c>
      <c r="B222" s="7">
        <v>1412</v>
      </c>
    </row>
    <row r="223" spans="1:2" x14ac:dyDescent="0.25">
      <c r="A223" s="7" t="s">
        <v>220</v>
      </c>
      <c r="B223" s="7">
        <v>5157</v>
      </c>
    </row>
    <row r="224" spans="1:2" x14ac:dyDescent="0.25">
      <c r="A224" s="7" t="s">
        <v>221</v>
      </c>
      <c r="B224" s="7">
        <v>4248</v>
      </c>
    </row>
    <row r="225" spans="1:2" x14ac:dyDescent="0.25">
      <c r="A225" s="7" t="s">
        <v>436</v>
      </c>
      <c r="B225" s="7">
        <v>8196</v>
      </c>
    </row>
    <row r="226" spans="1:2" x14ac:dyDescent="0.25">
      <c r="A226" s="7" t="s">
        <v>26</v>
      </c>
      <c r="B226" s="7">
        <v>387</v>
      </c>
    </row>
    <row r="227" spans="1:2" x14ac:dyDescent="0.25">
      <c r="A227" s="7" t="s">
        <v>27</v>
      </c>
      <c r="B227" s="7">
        <v>946</v>
      </c>
    </row>
    <row r="228" spans="1:2" x14ac:dyDescent="0.25">
      <c r="A228" s="7" t="s">
        <v>28</v>
      </c>
      <c r="B228" s="7">
        <v>19088</v>
      </c>
    </row>
    <row r="229" spans="1:2" x14ac:dyDescent="0.25">
      <c r="A229" s="7" t="s">
        <v>275</v>
      </c>
      <c r="B229" s="7">
        <v>244</v>
      </c>
    </row>
    <row r="230" spans="1:2" x14ac:dyDescent="0.25">
      <c r="A230" s="7" t="s">
        <v>276</v>
      </c>
      <c r="B230" s="7">
        <v>27173</v>
      </c>
    </row>
    <row r="231" spans="1:2" x14ac:dyDescent="0.25">
      <c r="A231" s="7" t="s">
        <v>277</v>
      </c>
      <c r="B231" s="7">
        <v>7443</v>
      </c>
    </row>
    <row r="232" spans="1:2" x14ac:dyDescent="0.25">
      <c r="A232" s="7" t="s">
        <v>44</v>
      </c>
      <c r="B232" s="7">
        <v>710</v>
      </c>
    </row>
    <row r="233" spans="1:2" x14ac:dyDescent="0.25">
      <c r="A233" s="7" t="s">
        <v>45</v>
      </c>
      <c r="B233" s="7">
        <v>476</v>
      </c>
    </row>
    <row r="234" spans="1:2" x14ac:dyDescent="0.25">
      <c r="A234" s="7" t="s">
        <v>58</v>
      </c>
      <c r="B234" s="7">
        <v>10</v>
      </c>
    </row>
    <row r="235" spans="1:2" x14ac:dyDescent="0.25">
      <c r="A235" s="7" t="s">
        <v>59</v>
      </c>
      <c r="B235" s="7">
        <v>76</v>
      </c>
    </row>
    <row r="236" spans="1:2" x14ac:dyDescent="0.25">
      <c r="A236" s="7" t="s">
        <v>451</v>
      </c>
      <c r="B236" s="7">
        <v>31</v>
      </c>
    </row>
    <row r="237" spans="1:2" x14ac:dyDescent="0.25">
      <c r="A237" s="7" t="s">
        <v>452</v>
      </c>
      <c r="B237" s="7">
        <v>214</v>
      </c>
    </row>
    <row r="238" spans="1:2" x14ac:dyDescent="0.25">
      <c r="A238" s="7" t="s">
        <v>453</v>
      </c>
      <c r="B238" s="7">
        <v>64</v>
      </c>
    </row>
    <row r="239" spans="1:2" x14ac:dyDescent="0.25">
      <c r="A239" s="7" t="s">
        <v>93</v>
      </c>
      <c r="B239" s="7">
        <v>499</v>
      </c>
    </row>
    <row r="240" spans="1:2" x14ac:dyDescent="0.25">
      <c r="A240" s="7" t="s">
        <v>94</v>
      </c>
      <c r="B240" s="7">
        <v>244</v>
      </c>
    </row>
    <row r="241" spans="1:2" x14ac:dyDescent="0.25">
      <c r="A241" s="7" t="s">
        <v>97</v>
      </c>
      <c r="B241" s="7">
        <v>1</v>
      </c>
    </row>
    <row r="242" spans="1:2" x14ac:dyDescent="0.25">
      <c r="A242" s="7" t="s">
        <v>98</v>
      </c>
      <c r="B242" s="7">
        <v>55</v>
      </c>
    </row>
    <row r="243" spans="1:2" x14ac:dyDescent="0.25">
      <c r="A243" s="7" t="s">
        <v>108</v>
      </c>
      <c r="B243" s="7">
        <v>136</v>
      </c>
    </row>
    <row r="244" spans="1:2" x14ac:dyDescent="0.25">
      <c r="A244" s="7" t="s">
        <v>109</v>
      </c>
      <c r="B244" s="7">
        <v>49</v>
      </c>
    </row>
    <row r="245" spans="1:2" x14ac:dyDescent="0.25">
      <c r="A245" s="7" t="s">
        <v>119</v>
      </c>
      <c r="B245" s="7">
        <v>123</v>
      </c>
    </row>
    <row r="246" spans="1:2" x14ac:dyDescent="0.25">
      <c r="A246" s="7" t="s">
        <v>120</v>
      </c>
      <c r="B246" s="7">
        <v>34</v>
      </c>
    </row>
    <row r="247" spans="1:2" x14ac:dyDescent="0.25">
      <c r="A247" s="7" t="s">
        <v>128</v>
      </c>
      <c r="B247" s="7">
        <v>52</v>
      </c>
    </row>
    <row r="248" spans="1:2" x14ac:dyDescent="0.25">
      <c r="A248" s="7" t="s">
        <v>129</v>
      </c>
      <c r="B248" s="7">
        <v>143</v>
      </c>
    </row>
    <row r="249" spans="1:2" x14ac:dyDescent="0.25">
      <c r="A249" s="7" t="s">
        <v>99</v>
      </c>
      <c r="B249" s="7">
        <v>166</v>
      </c>
    </row>
    <row r="250" spans="1:2" x14ac:dyDescent="0.25">
      <c r="A250" s="7" t="s">
        <v>454</v>
      </c>
      <c r="B250" s="7">
        <v>0</v>
      </c>
    </row>
    <row r="251" spans="1:2" x14ac:dyDescent="0.25">
      <c r="A251" s="7" t="s">
        <v>121</v>
      </c>
      <c r="B251" s="7">
        <v>31</v>
      </c>
    </row>
    <row r="252" spans="1:2" x14ac:dyDescent="0.25">
      <c r="A252" s="7" t="s">
        <v>455</v>
      </c>
      <c r="B252" s="7">
        <v>79</v>
      </c>
    </row>
    <row r="253" spans="1:2" x14ac:dyDescent="0.25">
      <c r="A253" s="7" t="s">
        <v>151</v>
      </c>
      <c r="B253" s="7">
        <v>748</v>
      </c>
    </row>
    <row r="254" spans="1:2" x14ac:dyDescent="0.25">
      <c r="A254" s="7" t="s">
        <v>152</v>
      </c>
      <c r="B254" s="7">
        <v>5652</v>
      </c>
    </row>
    <row r="255" spans="1:2" x14ac:dyDescent="0.25">
      <c r="A255" s="7" t="s">
        <v>456</v>
      </c>
      <c r="B255" s="7">
        <v>511</v>
      </c>
    </row>
    <row r="256" spans="1:2" x14ac:dyDescent="0.25">
      <c r="A256" s="7" t="s">
        <v>153</v>
      </c>
      <c r="B256" s="7">
        <v>14692</v>
      </c>
    </row>
    <row r="257" spans="1:2" x14ac:dyDescent="0.25">
      <c r="A257" s="7" t="s">
        <v>178</v>
      </c>
      <c r="B257" s="7">
        <v>1282</v>
      </c>
    </row>
    <row r="258" spans="1:2" x14ac:dyDescent="0.25">
      <c r="A258" s="7" t="s">
        <v>179</v>
      </c>
      <c r="B258" s="7">
        <v>4</v>
      </c>
    </row>
    <row r="259" spans="1:2" x14ac:dyDescent="0.25">
      <c r="A259" s="7" t="s">
        <v>231</v>
      </c>
      <c r="B259" s="7">
        <v>529</v>
      </c>
    </row>
    <row r="260" spans="1:2" x14ac:dyDescent="0.25">
      <c r="A260" s="7" t="s">
        <v>232</v>
      </c>
      <c r="B260" s="7">
        <v>564</v>
      </c>
    </row>
    <row r="261" spans="1:2" x14ac:dyDescent="0.25">
      <c r="A261" s="7" t="s">
        <v>236</v>
      </c>
      <c r="B261" s="7">
        <v>67</v>
      </c>
    </row>
    <row r="262" spans="1:2" x14ac:dyDescent="0.25">
      <c r="A262" s="7" t="s">
        <v>237</v>
      </c>
      <c r="B262" s="7">
        <v>2072</v>
      </c>
    </row>
    <row r="263" spans="1:2" x14ac:dyDescent="0.25">
      <c r="A263" s="7" t="s">
        <v>247</v>
      </c>
      <c r="B263" s="7">
        <v>1685</v>
      </c>
    </row>
    <row r="264" spans="1:2" x14ac:dyDescent="0.25">
      <c r="A264" s="7" t="s">
        <v>248</v>
      </c>
      <c r="B264" s="7">
        <v>200</v>
      </c>
    </row>
    <row r="265" spans="1:2" x14ac:dyDescent="0.25">
      <c r="A265" s="7" t="s">
        <v>261</v>
      </c>
      <c r="B265" s="7">
        <v>1</v>
      </c>
    </row>
    <row r="266" spans="1:2" x14ac:dyDescent="0.25">
      <c r="A266" s="7" t="s">
        <v>262</v>
      </c>
      <c r="B266" s="7">
        <v>29</v>
      </c>
    </row>
    <row r="267" spans="1:2" x14ac:dyDescent="0.25">
      <c r="A267" s="7" t="s">
        <v>458</v>
      </c>
      <c r="B267" s="7">
        <v>315</v>
      </c>
    </row>
    <row r="268" spans="1:2" x14ac:dyDescent="0.25">
      <c r="A268" s="7" t="s">
        <v>459</v>
      </c>
      <c r="B268" s="7">
        <v>550</v>
      </c>
    </row>
    <row r="269" spans="1:2" x14ac:dyDescent="0.25">
      <c r="A269" s="7" t="s">
        <v>460</v>
      </c>
      <c r="B269" s="7">
        <v>1519</v>
      </c>
    </row>
    <row r="270" spans="1:2" x14ac:dyDescent="0.25">
      <c r="A270" s="7" t="s">
        <v>461</v>
      </c>
      <c r="B270" s="7">
        <v>82</v>
      </c>
    </row>
    <row r="271" spans="1:2" x14ac:dyDescent="0.25">
      <c r="A271" s="7" t="s">
        <v>463</v>
      </c>
      <c r="B271" s="7">
        <v>163</v>
      </c>
    </row>
    <row r="272" spans="1:2" x14ac:dyDescent="0.25">
      <c r="A272" s="7" t="s">
        <v>462</v>
      </c>
      <c r="B272" s="7">
        <v>218</v>
      </c>
    </row>
    <row r="273" spans="1:2" x14ac:dyDescent="0.25">
      <c r="A273" s="7" t="s">
        <v>464</v>
      </c>
      <c r="B273" s="7">
        <v>474</v>
      </c>
    </row>
    <row r="274" spans="1:2" x14ac:dyDescent="0.25">
      <c r="A274" s="7" t="s">
        <v>465</v>
      </c>
      <c r="B274" s="7">
        <v>925</v>
      </c>
    </row>
    <row r="275" spans="1:2" x14ac:dyDescent="0.25">
      <c r="A275" s="7" t="s">
        <v>467</v>
      </c>
      <c r="B275" s="7">
        <v>97</v>
      </c>
    </row>
    <row r="276" spans="1:2" x14ac:dyDescent="0.25">
      <c r="A276" s="7" t="s">
        <v>466</v>
      </c>
      <c r="B276" s="7">
        <v>380</v>
      </c>
    </row>
    <row r="277" spans="1:2" x14ac:dyDescent="0.25">
      <c r="A277" s="7" t="s">
        <v>468</v>
      </c>
      <c r="B277" s="7">
        <v>155</v>
      </c>
    </row>
    <row r="278" spans="1:2" x14ac:dyDescent="0.25">
      <c r="A278" s="7" t="s">
        <v>469</v>
      </c>
      <c r="B278" s="7">
        <v>176</v>
      </c>
    </row>
    <row r="279" spans="1:2" x14ac:dyDescent="0.25">
      <c r="A279" s="10" t="s">
        <v>470</v>
      </c>
      <c r="B279" s="10">
        <v>1663</v>
      </c>
    </row>
    <row r="280" spans="1:2" x14ac:dyDescent="0.25">
      <c r="A280" s="10" t="s">
        <v>471</v>
      </c>
      <c r="B280" s="10">
        <v>341</v>
      </c>
    </row>
    <row r="281" spans="1:2" x14ac:dyDescent="0.25">
      <c r="A281" s="10" t="s">
        <v>453</v>
      </c>
      <c r="B281" s="10">
        <v>64</v>
      </c>
    </row>
    <row r="282" spans="1:2" x14ac:dyDescent="0.25">
      <c r="A282" s="10" t="s">
        <v>472</v>
      </c>
      <c r="B282" s="10">
        <v>1327</v>
      </c>
    </row>
    <row r="283" spans="1:2" x14ac:dyDescent="0.25">
      <c r="A283" s="10" t="s">
        <v>473</v>
      </c>
      <c r="B283" s="10">
        <v>168</v>
      </c>
    </row>
    <row r="284" spans="1:2" x14ac:dyDescent="0.25">
      <c r="A284" s="10" t="s">
        <v>474</v>
      </c>
      <c r="B284" s="10">
        <v>429</v>
      </c>
    </row>
    <row r="285" spans="1:2" x14ac:dyDescent="0.25">
      <c r="A285" s="10" t="s">
        <v>475</v>
      </c>
      <c r="B285" s="10">
        <v>663</v>
      </c>
    </row>
    <row r="286" spans="1:2" x14ac:dyDescent="0.25">
      <c r="A286" s="10" t="s">
        <v>476</v>
      </c>
      <c r="B286" s="10">
        <v>710</v>
      </c>
    </row>
    <row r="287" spans="1:2" x14ac:dyDescent="0.25">
      <c r="A287" s="10" t="s">
        <v>477</v>
      </c>
      <c r="B287" s="10">
        <v>178</v>
      </c>
    </row>
    <row r="288" spans="1:2" x14ac:dyDescent="0.25">
      <c r="A288" s="10" t="s">
        <v>478</v>
      </c>
      <c r="B288" s="10">
        <v>374</v>
      </c>
    </row>
    <row r="289" spans="1:2" x14ac:dyDescent="0.25">
      <c r="A289" s="10" t="s">
        <v>479</v>
      </c>
      <c r="B289" s="10">
        <v>438</v>
      </c>
    </row>
    <row r="290" spans="1:2" x14ac:dyDescent="0.25">
      <c r="A290" s="10" t="s">
        <v>480</v>
      </c>
      <c r="B290" s="10">
        <v>7760</v>
      </c>
    </row>
    <row r="291" spans="1:2" x14ac:dyDescent="0.25">
      <c r="A291" s="10" t="s">
        <v>481</v>
      </c>
      <c r="B291" s="10">
        <v>660</v>
      </c>
    </row>
    <row r="292" spans="1:2" x14ac:dyDescent="0.25">
      <c r="A292" s="10" t="s">
        <v>482</v>
      </c>
      <c r="B292" s="10">
        <v>819</v>
      </c>
    </row>
    <row r="293" spans="1:2" x14ac:dyDescent="0.25">
      <c r="A293" s="10" t="s">
        <v>483</v>
      </c>
      <c r="B293" s="10">
        <v>338</v>
      </c>
    </row>
    <row r="294" spans="1:2" x14ac:dyDescent="0.25">
      <c r="A294" s="10" t="s">
        <v>484</v>
      </c>
      <c r="B294" s="10">
        <v>1505</v>
      </c>
    </row>
    <row r="295" spans="1:2" x14ac:dyDescent="0.25">
      <c r="A295" s="10" t="s">
        <v>485</v>
      </c>
      <c r="B295" s="10">
        <v>159</v>
      </c>
    </row>
    <row r="296" spans="1:2" x14ac:dyDescent="0.25">
      <c r="A296" s="10" t="s">
        <v>486</v>
      </c>
      <c r="B296" s="10">
        <v>919</v>
      </c>
    </row>
    <row r="297" spans="1:2" x14ac:dyDescent="0.25">
      <c r="A297" s="10" t="s">
        <v>487</v>
      </c>
      <c r="B297" s="10">
        <v>37293</v>
      </c>
    </row>
    <row r="298" spans="1:2" x14ac:dyDescent="0.25">
      <c r="A298" s="10" t="s">
        <v>488</v>
      </c>
      <c r="B298" s="10">
        <v>62</v>
      </c>
    </row>
    <row r="299" spans="1:2" x14ac:dyDescent="0.25">
      <c r="A299" s="10" t="s">
        <v>489</v>
      </c>
      <c r="B299" s="10">
        <v>2893</v>
      </c>
    </row>
    <row r="300" spans="1:2" x14ac:dyDescent="0.25">
      <c r="A300" s="10" t="s">
        <v>490</v>
      </c>
      <c r="B300" s="10">
        <v>688</v>
      </c>
    </row>
    <row r="301" spans="1:2" x14ac:dyDescent="0.25">
      <c r="A301" s="10" t="s">
        <v>491</v>
      </c>
      <c r="B301" s="10">
        <v>764</v>
      </c>
    </row>
    <row r="302" spans="1:2" x14ac:dyDescent="0.25">
      <c r="A302" s="10" t="s">
        <v>492</v>
      </c>
      <c r="B302" s="10">
        <v>513</v>
      </c>
    </row>
    <row r="303" spans="1:2" x14ac:dyDescent="0.25">
      <c r="A303" s="10" t="s">
        <v>493</v>
      </c>
      <c r="B303" s="10">
        <v>97</v>
      </c>
    </row>
    <row r="304" spans="1:2" x14ac:dyDescent="0.25">
      <c r="A304" s="10" t="s">
        <v>495</v>
      </c>
      <c r="B304" s="10">
        <v>328</v>
      </c>
    </row>
    <row r="305" spans="1:2" x14ac:dyDescent="0.25">
      <c r="A305" s="10" t="s">
        <v>494</v>
      </c>
      <c r="B305" s="10">
        <v>3143</v>
      </c>
    </row>
    <row r="306" spans="1:2" x14ac:dyDescent="0.25">
      <c r="A306" s="10" t="s">
        <v>496</v>
      </c>
      <c r="B306" s="10">
        <v>107</v>
      </c>
    </row>
    <row r="307" spans="1:2" x14ac:dyDescent="0.25">
      <c r="A307" s="10" t="s">
        <v>497</v>
      </c>
      <c r="B307" s="10">
        <v>1718</v>
      </c>
    </row>
    <row r="308" spans="1:2" x14ac:dyDescent="0.25">
      <c r="A308" t="s">
        <v>498</v>
      </c>
      <c r="B308" s="10">
        <v>546</v>
      </c>
    </row>
    <row r="309" spans="1:2" x14ac:dyDescent="0.25">
      <c r="A309" s="10" t="s">
        <v>499</v>
      </c>
      <c r="B309" s="10">
        <v>210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96"/>
  <sheetViews>
    <sheetView zoomScale="130" zoomScaleNormal="130" workbookViewId="0">
      <selection activeCell="C12" sqref="C12"/>
    </sheetView>
  </sheetViews>
  <sheetFormatPr defaultColWidth="8.88671875" defaultRowHeight="14.4" x14ac:dyDescent="0.3"/>
  <cols>
    <col min="1" max="1" width="11.6640625" style="1" customWidth="1"/>
    <col min="2" max="2" width="8.88671875" style="1"/>
    <col min="3" max="3" width="18.88671875" style="1" customWidth="1"/>
    <col min="4" max="4" width="12.109375" style="1" customWidth="1"/>
    <col min="5" max="6" width="8.88671875" style="1"/>
    <col min="7" max="7" width="10.33203125" style="2" bestFit="1" customWidth="1"/>
    <col min="8" max="8" width="15.109375" style="1" bestFit="1" customWidth="1"/>
    <col min="9" max="9" width="60.88671875" style="1" bestFit="1" customWidth="1"/>
    <col min="10" max="16384" width="8.88671875" style="1"/>
  </cols>
  <sheetData>
    <row r="1" spans="1:9" x14ac:dyDescent="0.3">
      <c r="A1" s="3" t="s">
        <v>278</v>
      </c>
      <c r="B1" s="3" t="s">
        <v>279</v>
      </c>
      <c r="C1" s="3" t="s">
        <v>280</v>
      </c>
      <c r="D1" s="3" t="s">
        <v>16</v>
      </c>
      <c r="E1" s="3"/>
      <c r="F1" s="3" t="s">
        <v>278</v>
      </c>
      <c r="G1" s="3" t="s">
        <v>281</v>
      </c>
    </row>
    <row r="2" spans="1:9" ht="15" x14ac:dyDescent="0.35">
      <c r="A2" s="4" t="s">
        <v>282</v>
      </c>
      <c r="B2" s="1" t="s">
        <v>283</v>
      </c>
      <c r="C2" s="5"/>
      <c r="F2" s="1" t="s">
        <v>284</v>
      </c>
      <c r="G2" s="1" t="s">
        <v>285</v>
      </c>
    </row>
    <row r="3" spans="1:9" x14ac:dyDescent="0.3">
      <c r="A3" s="2" t="s">
        <v>288</v>
      </c>
      <c r="B3" s="1" t="s">
        <v>289</v>
      </c>
      <c r="C3" s="5"/>
      <c r="F3" s="1" t="s">
        <v>286</v>
      </c>
      <c r="G3" s="1" t="s">
        <v>287</v>
      </c>
    </row>
    <row r="4" spans="1:9" x14ac:dyDescent="0.3">
      <c r="A4" s="2" t="s">
        <v>304</v>
      </c>
      <c r="B4" s="1" t="s">
        <v>305</v>
      </c>
      <c r="C4" s="5"/>
      <c r="F4" s="1" t="s">
        <v>290</v>
      </c>
      <c r="G4" s="1" t="s">
        <v>291</v>
      </c>
    </row>
    <row r="5" spans="1:9" x14ac:dyDescent="0.3">
      <c r="A5" s="2" t="s">
        <v>308</v>
      </c>
      <c r="B5" s="1" t="s">
        <v>309</v>
      </c>
      <c r="C5" s="5"/>
      <c r="F5" s="1" t="s">
        <v>292</v>
      </c>
      <c r="G5" s="1" t="s">
        <v>293</v>
      </c>
    </row>
    <row r="6" spans="1:9" x14ac:dyDescent="0.3">
      <c r="A6" s="2" t="s">
        <v>312</v>
      </c>
      <c r="B6" s="1" t="s">
        <v>313</v>
      </c>
      <c r="C6" s="5"/>
      <c r="F6" s="1" t="s">
        <v>294</v>
      </c>
      <c r="G6" s="1" t="s">
        <v>295</v>
      </c>
    </row>
    <row r="7" spans="1:9" x14ac:dyDescent="0.3">
      <c r="A7" s="2" t="s">
        <v>318</v>
      </c>
      <c r="B7" s="1" t="s">
        <v>319</v>
      </c>
      <c r="C7" s="5"/>
      <c r="F7" s="1" t="s">
        <v>296</v>
      </c>
      <c r="G7" s="1" t="s">
        <v>297</v>
      </c>
    </row>
    <row r="8" spans="1:9" x14ac:dyDescent="0.3">
      <c r="A8" s="2" t="s">
        <v>324</v>
      </c>
      <c r="B8" s="1" t="s">
        <v>325</v>
      </c>
      <c r="C8" s="5"/>
      <c r="F8" s="1" t="s">
        <v>298</v>
      </c>
      <c r="G8" s="1" t="s">
        <v>299</v>
      </c>
    </row>
    <row r="9" spans="1:9" x14ac:dyDescent="0.3">
      <c r="A9" s="2" t="s">
        <v>332</v>
      </c>
      <c r="B9" s="1" t="s">
        <v>333</v>
      </c>
      <c r="C9" s="5"/>
      <c r="D9" s="5"/>
      <c r="F9" s="1" t="s">
        <v>300</v>
      </c>
      <c r="G9" s="1" t="s">
        <v>301</v>
      </c>
    </row>
    <row r="10" spans="1:9" x14ac:dyDescent="0.3">
      <c r="A10" s="2" t="s">
        <v>342</v>
      </c>
      <c r="B10" s="1" t="s">
        <v>343</v>
      </c>
      <c r="C10" s="5"/>
      <c r="F10" s="1" t="s">
        <v>302</v>
      </c>
      <c r="G10" s="1" t="s">
        <v>303</v>
      </c>
    </row>
    <row r="11" spans="1:9" x14ac:dyDescent="0.3">
      <c r="A11" s="2" t="s">
        <v>346</v>
      </c>
      <c r="B11" s="1" t="s">
        <v>347</v>
      </c>
      <c r="C11" s="5"/>
      <c r="D11" s="5"/>
      <c r="F11" s="1" t="s">
        <v>306</v>
      </c>
      <c r="G11" s="1" t="s">
        <v>307</v>
      </c>
    </row>
    <row r="12" spans="1:9" x14ac:dyDescent="0.3">
      <c r="A12" s="2" t="s">
        <v>350</v>
      </c>
      <c r="B12" s="1" t="s">
        <v>351</v>
      </c>
      <c r="C12" s="5"/>
      <c r="F12" s="1" t="s">
        <v>310</v>
      </c>
      <c r="G12" s="1" t="s">
        <v>311</v>
      </c>
      <c r="I12" s="6" t="s">
        <v>442</v>
      </c>
    </row>
    <row r="13" spans="1:9" x14ac:dyDescent="0.3">
      <c r="A13" s="2" t="s">
        <v>354</v>
      </c>
      <c r="B13" s="1" t="s">
        <v>355</v>
      </c>
      <c r="C13" s="5"/>
      <c r="F13" s="1" t="s">
        <v>314</v>
      </c>
      <c r="G13" s="1" t="s">
        <v>315</v>
      </c>
      <c r="I13" s="6" t="s">
        <v>443</v>
      </c>
    </row>
    <row r="14" spans="1:9" x14ac:dyDescent="0.3">
      <c r="A14" s="2" t="s">
        <v>358</v>
      </c>
      <c r="B14" s="1" t="s">
        <v>359</v>
      </c>
      <c r="C14" s="5"/>
      <c r="F14" s="1" t="s">
        <v>316</v>
      </c>
      <c r="G14" s="1" t="s">
        <v>317</v>
      </c>
    </row>
    <row r="15" spans="1:9" x14ac:dyDescent="0.3">
      <c r="A15" s="2" t="s">
        <v>362</v>
      </c>
      <c r="B15" s="1" t="s">
        <v>363</v>
      </c>
      <c r="C15" s="5"/>
      <c r="F15" s="1" t="s">
        <v>320</v>
      </c>
      <c r="G15" s="1" t="s">
        <v>321</v>
      </c>
    </row>
    <row r="16" spans="1:9" x14ac:dyDescent="0.3">
      <c r="A16" s="2" t="s">
        <v>368</v>
      </c>
      <c r="B16" s="1" t="s">
        <v>369</v>
      </c>
      <c r="C16" s="5"/>
      <c r="F16" s="1" t="s">
        <v>507</v>
      </c>
      <c r="G16" s="9" t="s">
        <v>506</v>
      </c>
      <c r="H16" s="6" t="s">
        <v>441</v>
      </c>
    </row>
    <row r="17" spans="1:7" x14ac:dyDescent="0.3">
      <c r="A17" s="2" t="s">
        <v>372</v>
      </c>
      <c r="B17" s="1" t="s">
        <v>373</v>
      </c>
      <c r="C17" s="5"/>
      <c r="F17" s="1" t="s">
        <v>322</v>
      </c>
      <c r="G17" s="1" t="s">
        <v>323</v>
      </c>
    </row>
    <row r="18" spans="1:7" x14ac:dyDescent="0.3">
      <c r="A18" s="2" t="s">
        <v>376</v>
      </c>
      <c r="B18" s="1" t="s">
        <v>377</v>
      </c>
      <c r="C18" s="5"/>
      <c r="F18" s="1" t="s">
        <v>326</v>
      </c>
      <c r="G18" s="1" t="s">
        <v>327</v>
      </c>
    </row>
    <row r="19" spans="1:7" x14ac:dyDescent="0.3">
      <c r="A19" s="2" t="s">
        <v>380</v>
      </c>
      <c r="B19" s="1" t="s">
        <v>381</v>
      </c>
      <c r="C19" s="5"/>
      <c r="F19" s="1" t="s">
        <v>328</v>
      </c>
      <c r="G19" s="1" t="s">
        <v>329</v>
      </c>
    </row>
    <row r="20" spans="1:7" x14ac:dyDescent="0.3">
      <c r="A20" s="2" t="s">
        <v>384</v>
      </c>
      <c r="B20" s="1" t="s">
        <v>385</v>
      </c>
      <c r="C20" s="5"/>
      <c r="F20" s="1" t="s">
        <v>330</v>
      </c>
      <c r="G20" s="1" t="s">
        <v>331</v>
      </c>
    </row>
    <row r="21" spans="1:7" x14ac:dyDescent="0.3">
      <c r="A21" s="2" t="s">
        <v>388</v>
      </c>
      <c r="B21" s="8" t="s">
        <v>389</v>
      </c>
      <c r="C21" s="5"/>
      <c r="F21" s="1" t="s">
        <v>334</v>
      </c>
      <c r="G21" s="1" t="s">
        <v>335</v>
      </c>
    </row>
    <row r="22" spans="1:7" x14ac:dyDescent="0.3">
      <c r="A22" s="2" t="s">
        <v>392</v>
      </c>
      <c r="B22" s="9" t="s">
        <v>393</v>
      </c>
      <c r="C22" s="5"/>
      <c r="F22" s="1" t="s">
        <v>336</v>
      </c>
      <c r="G22" s="1" t="s">
        <v>337</v>
      </c>
    </row>
    <row r="23" spans="1:7" x14ac:dyDescent="0.3">
      <c r="A23" s="2" t="s">
        <v>394</v>
      </c>
      <c r="B23" s="9" t="s">
        <v>395</v>
      </c>
      <c r="C23" s="5"/>
      <c r="F23" s="1" t="s">
        <v>338</v>
      </c>
      <c r="G23" s="1" t="s">
        <v>339</v>
      </c>
    </row>
    <row r="24" spans="1:7" x14ac:dyDescent="0.3">
      <c r="A24" s="2" t="s">
        <v>511</v>
      </c>
      <c r="B24" s="9" t="s">
        <v>505</v>
      </c>
      <c r="C24" s="5"/>
      <c r="D24" s="5"/>
      <c r="F24" s="1" t="s">
        <v>340</v>
      </c>
      <c r="G24" s="1" t="s">
        <v>341</v>
      </c>
    </row>
    <row r="25" spans="1:7" x14ac:dyDescent="0.3">
      <c r="A25" s="2" t="s">
        <v>396</v>
      </c>
      <c r="B25" s="9" t="s">
        <v>397</v>
      </c>
      <c r="C25" s="5"/>
      <c r="F25" s="1" t="s">
        <v>344</v>
      </c>
      <c r="G25" s="1" t="s">
        <v>345</v>
      </c>
    </row>
    <row r="26" spans="1:7" x14ac:dyDescent="0.3">
      <c r="A26" s="2" t="s">
        <v>398</v>
      </c>
      <c r="B26" s="9" t="s">
        <v>399</v>
      </c>
      <c r="C26" s="5"/>
      <c r="F26" s="1" t="s">
        <v>348</v>
      </c>
      <c r="G26" s="1" t="s">
        <v>349</v>
      </c>
    </row>
    <row r="27" spans="1:7" x14ac:dyDescent="0.3">
      <c r="A27" s="2" t="s">
        <v>400</v>
      </c>
      <c r="B27" s="9" t="s">
        <v>401</v>
      </c>
      <c r="C27" s="5"/>
      <c r="F27" s="1" t="s">
        <v>352</v>
      </c>
      <c r="G27" s="1" t="s">
        <v>353</v>
      </c>
    </row>
    <row r="28" spans="1:7" x14ac:dyDescent="0.3">
      <c r="A28" s="1" t="s">
        <v>512</v>
      </c>
      <c r="B28" s="9" t="s">
        <v>500</v>
      </c>
      <c r="C28" s="5"/>
      <c r="F28" s="1" t="s">
        <v>356</v>
      </c>
      <c r="G28" s="1" t="s">
        <v>357</v>
      </c>
    </row>
    <row r="29" spans="1:7" x14ac:dyDescent="0.3">
      <c r="A29" s="1" t="s">
        <v>513</v>
      </c>
      <c r="B29" s="9" t="s">
        <v>501</v>
      </c>
      <c r="C29" s="5"/>
      <c r="F29" s="1" t="s">
        <v>360</v>
      </c>
      <c r="G29" s="1" t="s">
        <v>361</v>
      </c>
    </row>
    <row r="30" spans="1:7" x14ac:dyDescent="0.3">
      <c r="A30" s="1" t="s">
        <v>514</v>
      </c>
      <c r="B30" s="9" t="s">
        <v>502</v>
      </c>
      <c r="C30" s="5"/>
      <c r="F30" s="1" t="s">
        <v>364</v>
      </c>
      <c r="G30" s="1" t="s">
        <v>365</v>
      </c>
    </row>
    <row r="31" spans="1:7" x14ac:dyDescent="0.3">
      <c r="A31" s="1" t="s">
        <v>515</v>
      </c>
      <c r="B31" s="9" t="s">
        <v>503</v>
      </c>
      <c r="C31" s="5"/>
      <c r="F31" s="1" t="s">
        <v>366</v>
      </c>
      <c r="G31" s="1" t="s">
        <v>367</v>
      </c>
    </row>
    <row r="32" spans="1:7" x14ac:dyDescent="0.3">
      <c r="A32" s="1" t="s">
        <v>516</v>
      </c>
      <c r="B32" s="9" t="s">
        <v>504</v>
      </c>
      <c r="C32" s="5"/>
      <c r="F32" s="1" t="s">
        <v>370</v>
      </c>
      <c r="G32" s="1" t="s">
        <v>371</v>
      </c>
    </row>
    <row r="33" spans="1:7" x14ac:dyDescent="0.3">
      <c r="A33" s="1" t="s">
        <v>517</v>
      </c>
      <c r="B33" s="9" t="s">
        <v>508</v>
      </c>
      <c r="C33" s="5"/>
      <c r="D33" s="5"/>
      <c r="F33" s="1" t="s">
        <v>374</v>
      </c>
      <c r="G33" s="1" t="s">
        <v>375</v>
      </c>
    </row>
    <row r="34" spans="1:7" ht="13.8" x14ac:dyDescent="0.25">
      <c r="A34" s="1" t="s">
        <v>518</v>
      </c>
      <c r="B34" s="9" t="s">
        <v>509</v>
      </c>
      <c r="F34" s="1" t="s">
        <v>378</v>
      </c>
      <c r="G34" s="1" t="s">
        <v>379</v>
      </c>
    </row>
    <row r="35" spans="1:7" ht="13.8" x14ac:dyDescent="0.25">
      <c r="A35" s="1" t="s">
        <v>519</v>
      </c>
      <c r="B35" s="9" t="s">
        <v>510</v>
      </c>
      <c r="F35" s="1" t="s">
        <v>382</v>
      </c>
      <c r="G35" s="1" t="s">
        <v>383</v>
      </c>
    </row>
    <row r="36" spans="1:7" ht="13.8" x14ac:dyDescent="0.25">
      <c r="A36" s="1" t="s">
        <v>522</v>
      </c>
      <c r="B36" s="9" t="s">
        <v>520</v>
      </c>
      <c r="F36" s="1" t="s">
        <v>386</v>
      </c>
      <c r="G36" s="1" t="s">
        <v>387</v>
      </c>
    </row>
    <row r="37" spans="1:7" ht="13.8" x14ac:dyDescent="0.25">
      <c r="A37" s="1" t="s">
        <v>523</v>
      </c>
      <c r="B37" s="9" t="s">
        <v>521</v>
      </c>
      <c r="F37" s="1" t="s">
        <v>390</v>
      </c>
      <c r="G37" s="1" t="s">
        <v>391</v>
      </c>
    </row>
    <row r="290" spans="5:7" x14ac:dyDescent="0.3">
      <c r="E290" s="2"/>
      <c r="G290" s="1"/>
    </row>
    <row r="291" spans="5:7" x14ac:dyDescent="0.3">
      <c r="E291" s="2"/>
      <c r="G291" s="1"/>
    </row>
    <row r="292" spans="5:7" x14ac:dyDescent="0.3">
      <c r="E292" s="2"/>
      <c r="G292" s="1"/>
    </row>
    <row r="293" spans="5:7" x14ac:dyDescent="0.3">
      <c r="E293" s="2"/>
      <c r="G293" s="1"/>
    </row>
    <row r="294" spans="5:7" x14ac:dyDescent="0.3">
      <c r="E294" s="2"/>
      <c r="G294" s="1"/>
    </row>
    <row r="295" spans="5:7" x14ac:dyDescent="0.3">
      <c r="E295" s="2"/>
      <c r="G295" s="1"/>
    </row>
    <row r="296" spans="5:7" x14ac:dyDescent="0.3">
      <c r="E296" s="2"/>
      <c r="G296" s="1"/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3"/>
  <sheetViews>
    <sheetView workbookViewId="0">
      <selection activeCell="D44" sqref="D44"/>
    </sheetView>
  </sheetViews>
  <sheetFormatPr defaultRowHeight="13.2" x14ac:dyDescent="0.25"/>
  <sheetData>
    <row r="1" spans="1:1" x14ac:dyDescent="0.25">
      <c r="A1" t="s">
        <v>403</v>
      </c>
    </row>
    <row r="2" spans="1:1" x14ac:dyDescent="0.25">
      <c r="A2" t="s">
        <v>404</v>
      </c>
    </row>
    <row r="3" spans="1:1" x14ac:dyDescent="0.25">
      <c r="A3" t="s">
        <v>405</v>
      </c>
    </row>
    <row r="4" spans="1:1" x14ac:dyDescent="0.25">
      <c r="A4" t="s">
        <v>406</v>
      </c>
    </row>
    <row r="5" spans="1:1" x14ac:dyDescent="0.25">
      <c r="A5" t="s">
        <v>407</v>
      </c>
    </row>
    <row r="6" spans="1:1" x14ac:dyDescent="0.25">
      <c r="A6" t="s">
        <v>408</v>
      </c>
    </row>
    <row r="7" spans="1:1" x14ac:dyDescent="0.25">
      <c r="A7" t="s">
        <v>409</v>
      </c>
    </row>
    <row r="8" spans="1:1" x14ac:dyDescent="0.25">
      <c r="A8" t="s">
        <v>410</v>
      </c>
    </row>
    <row r="9" spans="1:1" x14ac:dyDescent="0.25">
      <c r="A9" t="s">
        <v>411</v>
      </c>
    </row>
    <row r="10" spans="1:1" x14ac:dyDescent="0.25">
      <c r="A10" t="s">
        <v>412</v>
      </c>
    </row>
    <row r="11" spans="1:1" x14ac:dyDescent="0.25">
      <c r="A11" t="s">
        <v>413</v>
      </c>
    </row>
    <row r="12" spans="1:1" x14ac:dyDescent="0.25">
      <c r="A12" t="s">
        <v>414</v>
      </c>
    </row>
    <row r="13" spans="1:1" x14ac:dyDescent="0.25">
      <c r="A13" t="s">
        <v>415</v>
      </c>
    </row>
    <row r="14" spans="1:1" x14ac:dyDescent="0.25">
      <c r="A14" t="s">
        <v>416</v>
      </c>
    </row>
    <row r="15" spans="1:1" x14ac:dyDescent="0.25">
      <c r="A15" t="s">
        <v>417</v>
      </c>
    </row>
    <row r="16" spans="1:1" x14ac:dyDescent="0.25">
      <c r="A16" t="s">
        <v>418</v>
      </c>
    </row>
    <row r="17" spans="1:1" x14ac:dyDescent="0.25">
      <c r="A17" t="s">
        <v>419</v>
      </c>
    </row>
    <row r="18" spans="1:1" x14ac:dyDescent="0.25">
      <c r="A18" t="s">
        <v>420</v>
      </c>
    </row>
    <row r="19" spans="1:1" x14ac:dyDescent="0.25">
      <c r="A19" t="s">
        <v>421</v>
      </c>
    </row>
    <row r="20" spans="1:1" x14ac:dyDescent="0.25">
      <c r="A20" t="s">
        <v>422</v>
      </c>
    </row>
    <row r="21" spans="1:1" x14ac:dyDescent="0.25">
      <c r="A21" t="s">
        <v>423</v>
      </c>
    </row>
    <row r="22" spans="1:1" x14ac:dyDescent="0.25">
      <c r="A22" t="s">
        <v>424</v>
      </c>
    </row>
    <row r="23" spans="1:1" x14ac:dyDescent="0.25">
      <c r="A23" t="s">
        <v>425</v>
      </c>
    </row>
    <row r="24" spans="1:1" x14ac:dyDescent="0.25">
      <c r="A24" t="s">
        <v>426</v>
      </c>
    </row>
    <row r="25" spans="1:1" x14ac:dyDescent="0.25">
      <c r="A25" t="s">
        <v>427</v>
      </c>
    </row>
    <row r="26" spans="1:1" x14ac:dyDescent="0.25">
      <c r="A26" t="s">
        <v>428</v>
      </c>
    </row>
    <row r="27" spans="1:1" x14ac:dyDescent="0.25">
      <c r="A27" t="s">
        <v>429</v>
      </c>
    </row>
    <row r="28" spans="1:1" x14ac:dyDescent="0.25">
      <c r="A28" t="s">
        <v>430</v>
      </c>
    </row>
    <row r="29" spans="1:1" x14ac:dyDescent="0.25">
      <c r="A29" t="s">
        <v>431</v>
      </c>
    </row>
    <row r="30" spans="1:1" x14ac:dyDescent="0.25">
      <c r="A30" t="s">
        <v>432</v>
      </c>
    </row>
    <row r="31" spans="1:1" x14ac:dyDescent="0.25">
      <c r="A31" t="s">
        <v>433</v>
      </c>
    </row>
    <row r="32" spans="1:1" x14ac:dyDescent="0.25">
      <c r="A32" t="s">
        <v>434</v>
      </c>
    </row>
    <row r="33" spans="1:1" x14ac:dyDescent="0.25">
      <c r="A33" t="s">
        <v>435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z2-z3</vt:lpstr>
      <vt:lpstr>Adaptation</vt:lpstr>
      <vt:lpstr>Sheet1</vt:lpstr>
      <vt:lpstr>localizer</vt:lpstr>
      <vt:lpstr>catch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</dc:creator>
  <cp:lastModifiedBy>Roni</cp:lastModifiedBy>
  <dcterms:created xsi:type="dcterms:W3CDTF">2015-01-13T15:27:38Z</dcterms:created>
  <dcterms:modified xsi:type="dcterms:W3CDTF">2015-01-19T11:23:34Z</dcterms:modified>
</cp:coreProperties>
</file>