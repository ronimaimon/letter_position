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C:\Users\Roni\Copy\University\sagol\Thesis\Experiment\letter_position\"/>
    </mc:Choice>
  </mc:AlternateContent>
  <bookViews>
    <workbookView xWindow="4920" yWindow="0" windowWidth="10440" windowHeight="5640"/>
  </bookViews>
  <sheets>
    <sheet name="z2-z3" sheetId="1" r:id="rId1"/>
    <sheet name="Adaptation" sheetId="2" r:id="rId2"/>
    <sheet name="Sheet1" sheetId="5" state="hidden" r:id="rId3"/>
    <sheet name="localizer" sheetId="3" r:id="rId4"/>
    <sheet name="catch" sheetId="4" r:id="rId5"/>
  </sheets>
  <calcPr calcId="152511" iterateDelta="1E-4"/>
</workbook>
</file>

<file path=xl/calcChain.xml><?xml version="1.0" encoding="utf-8"?>
<calcChain xmlns="http://schemas.openxmlformats.org/spreadsheetml/2006/main">
  <c r="AJ7" i="1" l="1"/>
  <c r="AJ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E146" i="1"/>
  <c r="F146" i="1"/>
  <c r="K146" i="1"/>
  <c r="L146" i="1"/>
  <c r="M146" i="1"/>
  <c r="E158" i="1"/>
  <c r="F158" i="1"/>
  <c r="K158" i="1"/>
  <c r="L158" i="1"/>
  <c r="M158" i="1"/>
  <c r="E6" i="1"/>
  <c r="F6" i="1"/>
  <c r="K6" i="1"/>
  <c r="L6" i="1"/>
  <c r="M6" i="1"/>
  <c r="E66" i="1"/>
  <c r="F66" i="1"/>
  <c r="K66" i="1"/>
  <c r="L66" i="1"/>
  <c r="M66" i="1"/>
  <c r="E44" i="1"/>
  <c r="F44" i="1"/>
  <c r="K44" i="1"/>
  <c r="L44" i="1"/>
  <c r="M44" i="1"/>
  <c r="E54" i="1"/>
  <c r="F54" i="1"/>
  <c r="K54" i="1"/>
  <c r="L54" i="1"/>
  <c r="M54" i="1"/>
  <c r="E71" i="1"/>
  <c r="F71" i="1"/>
  <c r="K71" i="1"/>
  <c r="L71" i="1"/>
  <c r="M71" i="1"/>
  <c r="E153" i="1"/>
  <c r="F153" i="1"/>
  <c r="K153" i="1"/>
  <c r="L153" i="1"/>
  <c r="M153" i="1"/>
  <c r="E30" i="1"/>
  <c r="F30" i="1"/>
  <c r="K30" i="1"/>
  <c r="L30" i="1"/>
  <c r="M30" i="1"/>
  <c r="E17" i="1"/>
  <c r="F17" i="1"/>
  <c r="K17" i="1"/>
  <c r="L17" i="1"/>
  <c r="M17" i="1"/>
  <c r="E26" i="1"/>
  <c r="F26" i="1"/>
  <c r="K26" i="1"/>
  <c r="L26" i="1"/>
  <c r="M26" i="1"/>
  <c r="E18" i="1"/>
  <c r="F18" i="1"/>
  <c r="K18" i="1"/>
  <c r="L18" i="1"/>
  <c r="M18" i="1"/>
  <c r="E102" i="1"/>
  <c r="F102" i="1"/>
  <c r="K102" i="1"/>
  <c r="L102" i="1"/>
  <c r="M102" i="1"/>
  <c r="E162" i="1"/>
  <c r="F162" i="1"/>
  <c r="K162" i="1"/>
  <c r="L162" i="1"/>
  <c r="M162" i="1"/>
  <c r="E1" i="1"/>
  <c r="F1" i="1"/>
  <c r="K1" i="1"/>
  <c r="L1" i="1"/>
  <c r="M1" i="1"/>
  <c r="E76" i="1"/>
  <c r="F76" i="1"/>
  <c r="K76" i="1"/>
  <c r="L76" i="1"/>
  <c r="M76" i="1"/>
  <c r="E7" i="1"/>
  <c r="F7" i="1"/>
  <c r="K7" i="1"/>
  <c r="L7" i="1"/>
  <c r="M7" i="1"/>
  <c r="E20" i="1"/>
  <c r="F20" i="1"/>
  <c r="K20" i="1"/>
  <c r="L20" i="1"/>
  <c r="M20" i="1"/>
  <c r="E116" i="1"/>
  <c r="F116" i="1"/>
  <c r="K116" i="1"/>
  <c r="L116" i="1"/>
  <c r="M116" i="1"/>
  <c r="E142" i="1"/>
  <c r="F142" i="1"/>
  <c r="K142" i="1"/>
  <c r="L142" i="1"/>
  <c r="M142" i="1"/>
  <c r="E70" i="1"/>
  <c r="F70" i="1"/>
  <c r="K70" i="1"/>
  <c r="L70" i="1"/>
  <c r="M70" i="1"/>
  <c r="E98" i="1"/>
  <c r="F98" i="1"/>
  <c r="K98" i="1"/>
  <c r="L98" i="1"/>
  <c r="M98" i="1"/>
  <c r="E135" i="1"/>
  <c r="F135" i="1"/>
  <c r="K135" i="1"/>
  <c r="L135" i="1"/>
  <c r="M135" i="1"/>
  <c r="E137" i="1"/>
  <c r="F137" i="1"/>
  <c r="K137" i="1"/>
  <c r="L137" i="1"/>
  <c r="M137" i="1"/>
  <c r="E16" i="1"/>
  <c r="F16" i="1"/>
  <c r="K16" i="1"/>
  <c r="L16" i="1"/>
  <c r="M16" i="1"/>
  <c r="E27" i="1"/>
  <c r="F27" i="1"/>
  <c r="K27" i="1"/>
  <c r="L27" i="1"/>
  <c r="M27" i="1"/>
  <c r="E132" i="1"/>
  <c r="F132" i="1"/>
  <c r="K132" i="1"/>
  <c r="L132" i="1"/>
  <c r="M132" i="1"/>
  <c r="E34" i="1"/>
  <c r="F34" i="1"/>
  <c r="K34" i="1"/>
  <c r="L34" i="1"/>
  <c r="M34" i="1"/>
  <c r="E35" i="1"/>
  <c r="F35" i="1"/>
  <c r="K35" i="1"/>
  <c r="L35" i="1"/>
  <c r="M35" i="1"/>
  <c r="E159" i="1"/>
  <c r="F159" i="1"/>
  <c r="K159" i="1"/>
  <c r="L159" i="1"/>
  <c r="M159" i="1"/>
  <c r="E139" i="1"/>
  <c r="F139" i="1"/>
  <c r="K139" i="1"/>
  <c r="L139" i="1"/>
  <c r="M139" i="1"/>
  <c r="E11" i="1"/>
  <c r="F11" i="1"/>
  <c r="K11" i="1"/>
  <c r="L11" i="1"/>
  <c r="M11" i="1"/>
  <c r="E57" i="1"/>
  <c r="F57" i="1"/>
  <c r="K57" i="1"/>
  <c r="L57" i="1"/>
  <c r="M57" i="1"/>
  <c r="E67" i="1"/>
  <c r="F67" i="1"/>
  <c r="K67" i="1"/>
  <c r="L67" i="1"/>
  <c r="M67" i="1"/>
  <c r="E134" i="1"/>
  <c r="F134" i="1"/>
  <c r="K134" i="1"/>
  <c r="L134" i="1"/>
  <c r="M134" i="1"/>
  <c r="E29" i="1"/>
  <c r="F29" i="1"/>
  <c r="K29" i="1"/>
  <c r="L29" i="1"/>
  <c r="M29" i="1"/>
  <c r="E32" i="1"/>
  <c r="F32" i="1"/>
  <c r="K32" i="1"/>
  <c r="L32" i="1"/>
  <c r="M32" i="1"/>
  <c r="E46" i="1"/>
  <c r="F46" i="1"/>
  <c r="K46" i="1"/>
  <c r="L46" i="1"/>
  <c r="M46" i="1"/>
  <c r="E22" i="1"/>
  <c r="F22" i="1"/>
  <c r="K22" i="1"/>
  <c r="L22" i="1"/>
  <c r="M22" i="1"/>
  <c r="E150" i="1"/>
  <c r="F150" i="1"/>
  <c r="K150" i="1"/>
  <c r="L150" i="1"/>
  <c r="M150" i="1"/>
  <c r="E148" i="1"/>
  <c r="F148" i="1"/>
  <c r="K148" i="1"/>
  <c r="L148" i="1"/>
  <c r="M148" i="1"/>
  <c r="E19" i="1"/>
  <c r="F19" i="1"/>
  <c r="K19" i="1"/>
  <c r="L19" i="1"/>
  <c r="M19" i="1"/>
  <c r="E160" i="1"/>
  <c r="F160" i="1"/>
  <c r="K160" i="1"/>
  <c r="L160" i="1"/>
  <c r="M160" i="1"/>
  <c r="E118" i="1"/>
  <c r="F118" i="1"/>
  <c r="K118" i="1"/>
  <c r="L118" i="1"/>
  <c r="M118" i="1"/>
  <c r="E114" i="1"/>
  <c r="F114" i="1"/>
  <c r="K114" i="1"/>
  <c r="L114" i="1"/>
  <c r="M114" i="1"/>
  <c r="E79" i="1"/>
  <c r="F79" i="1"/>
  <c r="K79" i="1"/>
  <c r="L79" i="1"/>
  <c r="M79" i="1"/>
  <c r="E65" i="1"/>
  <c r="F65" i="1"/>
  <c r="K65" i="1"/>
  <c r="L65" i="1"/>
  <c r="M65" i="1"/>
  <c r="E87" i="1"/>
  <c r="F87" i="1"/>
  <c r="K87" i="1"/>
  <c r="L87" i="1"/>
  <c r="M87" i="1"/>
  <c r="E129" i="1"/>
  <c r="F129" i="1"/>
  <c r="K129" i="1"/>
  <c r="L129" i="1"/>
  <c r="M129" i="1"/>
  <c r="E73" i="1"/>
  <c r="F73" i="1"/>
  <c r="K73" i="1"/>
  <c r="L73" i="1"/>
  <c r="M73" i="1"/>
  <c r="E110" i="1"/>
  <c r="F110" i="1"/>
  <c r="K110" i="1"/>
  <c r="L110" i="1"/>
  <c r="M110" i="1"/>
  <c r="E117" i="1"/>
  <c r="F117" i="1"/>
  <c r="K117" i="1"/>
  <c r="L117" i="1"/>
  <c r="M117" i="1"/>
  <c r="E84" i="1"/>
  <c r="F84" i="1"/>
  <c r="K84" i="1"/>
  <c r="L84" i="1"/>
  <c r="M84" i="1"/>
  <c r="E56" i="1"/>
  <c r="F56" i="1"/>
  <c r="K56" i="1"/>
  <c r="L56" i="1"/>
  <c r="M56" i="1"/>
  <c r="E166" i="1"/>
  <c r="F166" i="1"/>
  <c r="K166" i="1"/>
  <c r="L166" i="1"/>
  <c r="M166" i="1"/>
  <c r="E78" i="1"/>
  <c r="F78" i="1"/>
  <c r="K78" i="1"/>
  <c r="L78" i="1"/>
  <c r="M78" i="1"/>
  <c r="E83" i="1"/>
  <c r="F83" i="1"/>
  <c r="K83" i="1"/>
  <c r="L83" i="1"/>
  <c r="M83" i="1"/>
  <c r="E141" i="1"/>
  <c r="F141" i="1"/>
  <c r="K141" i="1"/>
  <c r="L141" i="1"/>
  <c r="M141" i="1"/>
  <c r="E106" i="1"/>
  <c r="F106" i="1"/>
  <c r="K106" i="1"/>
  <c r="L106" i="1"/>
  <c r="M106" i="1"/>
  <c r="E68" i="1"/>
  <c r="F68" i="1"/>
  <c r="K68" i="1"/>
  <c r="L68" i="1"/>
  <c r="M68" i="1"/>
  <c r="E99" i="1"/>
  <c r="F99" i="1"/>
  <c r="K99" i="1"/>
  <c r="L99" i="1"/>
  <c r="M99" i="1"/>
  <c r="E111" i="1"/>
  <c r="F111" i="1"/>
  <c r="K111" i="1"/>
  <c r="L111" i="1"/>
  <c r="M111" i="1"/>
  <c r="E62" i="1"/>
  <c r="F62" i="1"/>
  <c r="K62" i="1"/>
  <c r="L62" i="1"/>
  <c r="M62" i="1"/>
  <c r="E43" i="1"/>
  <c r="F43" i="1"/>
  <c r="K43" i="1"/>
  <c r="L43" i="1"/>
  <c r="M43" i="1"/>
  <c r="E161" i="1"/>
  <c r="F161" i="1"/>
  <c r="K161" i="1"/>
  <c r="L161" i="1"/>
  <c r="M161" i="1"/>
  <c r="E154" i="1"/>
  <c r="F154" i="1"/>
  <c r="K154" i="1"/>
  <c r="L154" i="1"/>
  <c r="M154" i="1"/>
  <c r="E131" i="1"/>
  <c r="F131" i="1"/>
  <c r="K131" i="1"/>
  <c r="L131" i="1"/>
  <c r="M131" i="1"/>
  <c r="E24" i="1"/>
  <c r="F24" i="1"/>
  <c r="K24" i="1"/>
  <c r="L24" i="1"/>
  <c r="M24" i="1"/>
  <c r="E82" i="1"/>
  <c r="F82" i="1"/>
  <c r="K82" i="1"/>
  <c r="L82" i="1"/>
  <c r="M82" i="1"/>
  <c r="E140" i="1"/>
  <c r="F140" i="1"/>
  <c r="K140" i="1"/>
  <c r="L140" i="1"/>
  <c r="M140" i="1"/>
  <c r="E47" i="1"/>
  <c r="F47" i="1"/>
  <c r="K47" i="1"/>
  <c r="L47" i="1"/>
  <c r="M47" i="1"/>
  <c r="E51" i="1"/>
  <c r="F51" i="1"/>
  <c r="K51" i="1"/>
  <c r="L51" i="1"/>
  <c r="M51" i="1"/>
  <c r="E13" i="1"/>
  <c r="F13" i="1"/>
  <c r="K13" i="1"/>
  <c r="L13" i="1"/>
  <c r="M13" i="1"/>
  <c r="E143" i="1"/>
  <c r="F143" i="1"/>
  <c r="K143" i="1"/>
  <c r="L143" i="1"/>
  <c r="M143" i="1"/>
  <c r="E8" i="1"/>
  <c r="F8" i="1"/>
  <c r="K8" i="1"/>
  <c r="L8" i="1"/>
  <c r="M8" i="1"/>
  <c r="E81" i="1"/>
  <c r="F81" i="1"/>
  <c r="K81" i="1"/>
  <c r="L81" i="1"/>
  <c r="M81" i="1"/>
  <c r="E28" i="1"/>
  <c r="F28" i="1"/>
  <c r="K28" i="1"/>
  <c r="L28" i="1"/>
  <c r="M28" i="1"/>
  <c r="E128" i="1"/>
  <c r="F128" i="1"/>
  <c r="K128" i="1"/>
  <c r="L128" i="1"/>
  <c r="M128" i="1"/>
  <c r="E50" i="1"/>
  <c r="F50" i="1"/>
  <c r="K50" i="1"/>
  <c r="L50" i="1"/>
  <c r="M50" i="1"/>
  <c r="E108" i="1"/>
  <c r="F108" i="1"/>
  <c r="K108" i="1"/>
  <c r="L108" i="1"/>
  <c r="M108" i="1"/>
  <c r="E97" i="1"/>
  <c r="F97" i="1"/>
  <c r="K97" i="1"/>
  <c r="L97" i="1"/>
  <c r="M97" i="1"/>
  <c r="E41" i="1"/>
  <c r="F41" i="1"/>
  <c r="K41" i="1"/>
  <c r="L41" i="1"/>
  <c r="M41" i="1"/>
  <c r="E37" i="1"/>
  <c r="F37" i="1"/>
  <c r="K37" i="1"/>
  <c r="L37" i="1"/>
  <c r="M37" i="1"/>
  <c r="E53" i="1"/>
  <c r="F53" i="1"/>
  <c r="K53" i="1"/>
  <c r="L53" i="1"/>
  <c r="M53" i="1"/>
  <c r="E4" i="1"/>
  <c r="F4" i="1"/>
  <c r="K4" i="1"/>
  <c r="L4" i="1"/>
  <c r="M4" i="1"/>
  <c r="E165" i="1"/>
  <c r="F165" i="1"/>
  <c r="K165" i="1"/>
  <c r="L165" i="1"/>
  <c r="M165" i="1"/>
  <c r="E113" i="1"/>
  <c r="F113" i="1"/>
  <c r="K113" i="1"/>
  <c r="L113" i="1"/>
  <c r="M113" i="1"/>
  <c r="E136" i="1"/>
  <c r="F136" i="1"/>
  <c r="K136" i="1"/>
  <c r="L136" i="1"/>
  <c r="M136" i="1"/>
  <c r="E127" i="1"/>
  <c r="F127" i="1"/>
  <c r="K127" i="1"/>
  <c r="L127" i="1"/>
  <c r="M127" i="1"/>
  <c r="E61" i="1"/>
  <c r="F61" i="1"/>
  <c r="K61" i="1"/>
  <c r="L61" i="1"/>
  <c r="M61" i="1"/>
  <c r="E39" i="1"/>
  <c r="F39" i="1"/>
  <c r="K39" i="1"/>
  <c r="L39" i="1"/>
  <c r="M39" i="1"/>
  <c r="E125" i="1"/>
  <c r="F125" i="1"/>
  <c r="K125" i="1"/>
  <c r="L125" i="1"/>
  <c r="M125" i="1"/>
  <c r="E63" i="1"/>
  <c r="F63" i="1"/>
  <c r="K63" i="1"/>
  <c r="L63" i="1"/>
  <c r="M63" i="1"/>
  <c r="E95" i="1"/>
  <c r="F95" i="1"/>
  <c r="K95" i="1"/>
  <c r="L95" i="1"/>
  <c r="M95" i="1"/>
  <c r="E45" i="1"/>
  <c r="F45" i="1"/>
  <c r="K45" i="1"/>
  <c r="L45" i="1"/>
  <c r="M45" i="1"/>
  <c r="E91" i="1"/>
  <c r="F91" i="1"/>
  <c r="K91" i="1"/>
  <c r="L91" i="1"/>
  <c r="M91" i="1"/>
  <c r="E130" i="1"/>
  <c r="F130" i="1"/>
  <c r="K130" i="1"/>
  <c r="L130" i="1"/>
  <c r="M130" i="1"/>
  <c r="E90" i="1"/>
  <c r="F90" i="1"/>
  <c r="K90" i="1"/>
  <c r="L90" i="1"/>
  <c r="M90" i="1"/>
  <c r="E2" i="1"/>
  <c r="F2" i="1"/>
  <c r="K2" i="1"/>
  <c r="L2" i="1"/>
  <c r="M2" i="1"/>
  <c r="E94" i="1"/>
  <c r="F94" i="1"/>
  <c r="K94" i="1"/>
  <c r="L94" i="1"/>
  <c r="M94" i="1"/>
  <c r="E36" i="1"/>
  <c r="F36" i="1"/>
  <c r="K36" i="1"/>
  <c r="L36" i="1"/>
  <c r="M36" i="1"/>
  <c r="E152" i="1"/>
  <c r="F152" i="1"/>
  <c r="K152" i="1"/>
  <c r="L152" i="1"/>
  <c r="M152" i="1"/>
  <c r="E101" i="1"/>
  <c r="F101" i="1"/>
  <c r="K101" i="1"/>
  <c r="L101" i="1"/>
  <c r="M101" i="1"/>
  <c r="E9" i="1"/>
  <c r="F9" i="1"/>
  <c r="K9" i="1"/>
  <c r="L9" i="1"/>
  <c r="M9" i="1"/>
  <c r="E119" i="1"/>
  <c r="F119" i="1"/>
  <c r="K119" i="1"/>
  <c r="L119" i="1"/>
  <c r="M119" i="1"/>
  <c r="E103" i="1"/>
  <c r="F103" i="1"/>
  <c r="K103" i="1"/>
  <c r="L103" i="1"/>
  <c r="M103" i="1"/>
  <c r="E96" i="1"/>
  <c r="F96" i="1"/>
  <c r="K96" i="1"/>
  <c r="L96" i="1"/>
  <c r="M96" i="1"/>
  <c r="E163" i="1"/>
  <c r="F163" i="1"/>
  <c r="K163" i="1"/>
  <c r="L163" i="1"/>
  <c r="M163" i="1"/>
  <c r="E31" i="1"/>
  <c r="F31" i="1"/>
  <c r="K31" i="1"/>
  <c r="L31" i="1"/>
  <c r="M31" i="1"/>
  <c r="E155" i="1"/>
  <c r="F155" i="1"/>
  <c r="K155" i="1"/>
  <c r="L155" i="1"/>
  <c r="M155" i="1"/>
  <c r="E133" i="1"/>
  <c r="F133" i="1"/>
  <c r="K133" i="1"/>
  <c r="L133" i="1"/>
  <c r="M133" i="1"/>
  <c r="E25" i="1"/>
  <c r="F25" i="1"/>
  <c r="K25" i="1"/>
  <c r="L25" i="1"/>
  <c r="M25" i="1"/>
  <c r="E23" i="1"/>
  <c r="F23" i="1"/>
  <c r="K23" i="1"/>
  <c r="L23" i="1"/>
  <c r="M23" i="1"/>
  <c r="E48" i="1"/>
  <c r="F48" i="1"/>
  <c r="K48" i="1"/>
  <c r="L48" i="1"/>
  <c r="M48" i="1"/>
  <c r="E12" i="1"/>
  <c r="F12" i="1"/>
  <c r="K12" i="1"/>
  <c r="L12" i="1"/>
  <c r="M12" i="1"/>
  <c r="E75" i="1"/>
  <c r="F75" i="1"/>
  <c r="K75" i="1"/>
  <c r="L75" i="1"/>
  <c r="M75" i="1"/>
  <c r="E49" i="1"/>
  <c r="F49" i="1"/>
  <c r="K49" i="1"/>
  <c r="L49" i="1"/>
  <c r="M49" i="1"/>
  <c r="E112" i="1"/>
  <c r="F112" i="1"/>
  <c r="K112" i="1"/>
  <c r="L112" i="1"/>
  <c r="M112" i="1"/>
  <c r="E92" i="1"/>
  <c r="F92" i="1"/>
  <c r="K92" i="1"/>
  <c r="L92" i="1"/>
  <c r="M92" i="1"/>
  <c r="E10" i="1"/>
  <c r="F10" i="1"/>
  <c r="K10" i="1"/>
  <c r="L10" i="1"/>
  <c r="M10" i="1"/>
  <c r="E59" i="1"/>
  <c r="F59" i="1"/>
  <c r="K59" i="1"/>
  <c r="L59" i="1"/>
  <c r="M59" i="1"/>
  <c r="E100" i="1"/>
  <c r="F100" i="1"/>
  <c r="K100" i="1"/>
  <c r="L100" i="1"/>
  <c r="M100" i="1"/>
  <c r="E69" i="1"/>
  <c r="F69" i="1"/>
  <c r="K69" i="1"/>
  <c r="L69" i="1"/>
  <c r="M69" i="1"/>
  <c r="E14" i="1"/>
  <c r="F14" i="1"/>
  <c r="K14" i="1"/>
  <c r="L14" i="1"/>
  <c r="M14" i="1"/>
  <c r="E123" i="1"/>
  <c r="F123" i="1"/>
  <c r="K123" i="1"/>
  <c r="L123" i="1"/>
  <c r="M123" i="1"/>
  <c r="E120" i="1"/>
  <c r="F120" i="1"/>
  <c r="K120" i="1"/>
  <c r="L120" i="1"/>
  <c r="M120" i="1"/>
  <c r="E89" i="1"/>
  <c r="F89" i="1"/>
  <c r="K89" i="1"/>
  <c r="L89" i="1"/>
  <c r="M89" i="1"/>
  <c r="E42" i="1"/>
  <c r="F42" i="1"/>
  <c r="K42" i="1"/>
  <c r="L42" i="1"/>
  <c r="M42" i="1"/>
  <c r="E86" i="1"/>
  <c r="F86" i="1"/>
  <c r="K86" i="1"/>
  <c r="L86" i="1"/>
  <c r="M86" i="1"/>
  <c r="E144" i="1"/>
  <c r="F144" i="1"/>
  <c r="K144" i="1"/>
  <c r="L144" i="1"/>
  <c r="M144" i="1"/>
  <c r="E88" i="1"/>
  <c r="F88" i="1"/>
  <c r="K88" i="1"/>
  <c r="L88" i="1"/>
  <c r="M88" i="1"/>
  <c r="E149" i="1"/>
  <c r="F149" i="1"/>
  <c r="K149" i="1"/>
  <c r="L149" i="1"/>
  <c r="M149" i="1"/>
  <c r="E64" i="1"/>
  <c r="F64" i="1"/>
  <c r="K64" i="1"/>
  <c r="L64" i="1"/>
  <c r="M64" i="1"/>
  <c r="E21" i="1"/>
  <c r="F21" i="1"/>
  <c r="K21" i="1"/>
  <c r="L21" i="1"/>
  <c r="M21" i="1"/>
  <c r="E3" i="1"/>
  <c r="F3" i="1"/>
  <c r="K3" i="1"/>
  <c r="L3" i="1"/>
  <c r="M3" i="1"/>
  <c r="E15" i="1"/>
  <c r="F15" i="1"/>
  <c r="K15" i="1"/>
  <c r="L15" i="1"/>
  <c r="M15" i="1"/>
  <c r="E77" i="1"/>
  <c r="F77" i="1"/>
  <c r="K77" i="1"/>
  <c r="L77" i="1"/>
  <c r="M77" i="1"/>
  <c r="E138" i="1"/>
  <c r="F138" i="1"/>
  <c r="K138" i="1"/>
  <c r="L138" i="1"/>
  <c r="M138" i="1"/>
  <c r="E93" i="1"/>
  <c r="F93" i="1"/>
  <c r="K93" i="1"/>
  <c r="L93" i="1"/>
  <c r="M93" i="1"/>
  <c r="E72" i="1"/>
  <c r="F72" i="1"/>
  <c r="K72" i="1"/>
  <c r="L72" i="1"/>
  <c r="M72" i="1"/>
  <c r="E80" i="1"/>
  <c r="F80" i="1"/>
  <c r="K80" i="1"/>
  <c r="L80" i="1"/>
  <c r="M80" i="1"/>
  <c r="E157" i="1"/>
  <c r="F157" i="1"/>
  <c r="K157" i="1"/>
  <c r="L157" i="1"/>
  <c r="M157" i="1"/>
  <c r="E38" i="1"/>
  <c r="F38" i="1"/>
  <c r="K38" i="1"/>
  <c r="L38" i="1"/>
  <c r="M38" i="1"/>
  <c r="E151" i="1"/>
  <c r="F151" i="1"/>
  <c r="K151" i="1"/>
  <c r="L151" i="1"/>
  <c r="M151" i="1"/>
  <c r="E109" i="1"/>
  <c r="F109" i="1"/>
  <c r="K109" i="1"/>
  <c r="L109" i="1"/>
  <c r="M109" i="1"/>
  <c r="E74" i="1"/>
  <c r="F74" i="1"/>
  <c r="K74" i="1"/>
  <c r="L74" i="1"/>
  <c r="M74" i="1"/>
  <c r="E147" i="1"/>
  <c r="F147" i="1"/>
  <c r="K147" i="1"/>
  <c r="L147" i="1"/>
  <c r="M147" i="1"/>
  <c r="E167" i="1"/>
  <c r="F167" i="1"/>
  <c r="K167" i="1"/>
  <c r="L167" i="1"/>
  <c r="M167" i="1"/>
  <c r="E168" i="1"/>
  <c r="F168" i="1"/>
  <c r="K168" i="1"/>
  <c r="N168" i="1" s="1"/>
  <c r="L168" i="1"/>
  <c r="M168" i="1"/>
  <c r="E169" i="1"/>
  <c r="F169" i="1"/>
  <c r="K169" i="1"/>
  <c r="L169" i="1"/>
  <c r="M169" i="1"/>
  <c r="E170" i="1"/>
  <c r="F170" i="1"/>
  <c r="K170" i="1"/>
  <c r="N170" i="1" s="1"/>
  <c r="L170" i="1"/>
  <c r="M170" i="1"/>
  <c r="E171" i="1"/>
  <c r="F171" i="1"/>
  <c r="K171" i="1"/>
  <c r="L171" i="1"/>
  <c r="M171" i="1"/>
  <c r="E172" i="1"/>
  <c r="F172" i="1"/>
  <c r="K172" i="1"/>
  <c r="L172" i="1"/>
  <c r="M172" i="1"/>
  <c r="E173" i="1"/>
  <c r="F173" i="1"/>
  <c r="K173" i="1"/>
  <c r="L173" i="1"/>
  <c r="M173" i="1"/>
  <c r="E174" i="1"/>
  <c r="F174" i="1"/>
  <c r="K174" i="1"/>
  <c r="L174" i="1"/>
  <c r="M174" i="1"/>
  <c r="E175" i="1"/>
  <c r="F175" i="1"/>
  <c r="K175" i="1"/>
  <c r="L175" i="1"/>
  <c r="M175" i="1"/>
  <c r="E176" i="1"/>
  <c r="F176" i="1"/>
  <c r="K176" i="1"/>
  <c r="L176" i="1"/>
  <c r="M176" i="1"/>
  <c r="E177" i="1"/>
  <c r="F177" i="1"/>
  <c r="K177" i="1"/>
  <c r="L177" i="1"/>
  <c r="M177" i="1"/>
  <c r="E178" i="1"/>
  <c r="F178" i="1"/>
  <c r="K178" i="1"/>
  <c r="L178" i="1"/>
  <c r="M178" i="1"/>
  <c r="E179" i="1"/>
  <c r="F179" i="1"/>
  <c r="K179" i="1"/>
  <c r="L179" i="1"/>
  <c r="M179" i="1"/>
  <c r="E180" i="1"/>
  <c r="F180" i="1"/>
  <c r="K180" i="1"/>
  <c r="L180" i="1"/>
  <c r="M180" i="1"/>
  <c r="E181" i="1"/>
  <c r="F181" i="1"/>
  <c r="K181" i="1"/>
  <c r="L181" i="1"/>
  <c r="M181" i="1"/>
  <c r="E182" i="1"/>
  <c r="F182" i="1"/>
  <c r="K182" i="1"/>
  <c r="L182" i="1"/>
  <c r="M182" i="1"/>
  <c r="E183" i="1"/>
  <c r="F183" i="1"/>
  <c r="K183" i="1"/>
  <c r="L183" i="1"/>
  <c r="M183" i="1"/>
  <c r="E184" i="1"/>
  <c r="F184" i="1"/>
  <c r="K184" i="1"/>
  <c r="L184" i="1"/>
  <c r="M184" i="1"/>
  <c r="E185" i="1"/>
  <c r="F185" i="1"/>
  <c r="K185" i="1"/>
  <c r="L185" i="1"/>
  <c r="M185" i="1"/>
  <c r="E186" i="1"/>
  <c r="F186" i="1"/>
  <c r="K186" i="1"/>
  <c r="L186" i="1"/>
  <c r="M186" i="1"/>
  <c r="E187" i="1"/>
  <c r="F187" i="1"/>
  <c r="K187" i="1"/>
  <c r="L187" i="1"/>
  <c r="M187" i="1"/>
  <c r="E188" i="1"/>
  <c r="F188" i="1"/>
  <c r="K188" i="1"/>
  <c r="L188" i="1"/>
  <c r="M188" i="1"/>
  <c r="E189" i="1"/>
  <c r="F189" i="1"/>
  <c r="K189" i="1"/>
  <c r="N189" i="1" s="1"/>
  <c r="L189" i="1"/>
  <c r="M189" i="1"/>
  <c r="E190" i="1"/>
  <c r="F190" i="1"/>
  <c r="K190" i="1"/>
  <c r="L190" i="1"/>
  <c r="M190" i="1"/>
  <c r="E191" i="1"/>
  <c r="F191" i="1"/>
  <c r="K191" i="1"/>
  <c r="L191" i="1"/>
  <c r="M191" i="1"/>
  <c r="E192" i="1"/>
  <c r="F192" i="1"/>
  <c r="K192" i="1"/>
  <c r="L192" i="1"/>
  <c r="M192" i="1"/>
  <c r="E193" i="1"/>
  <c r="F193" i="1"/>
  <c r="K193" i="1"/>
  <c r="L193" i="1"/>
  <c r="M193" i="1"/>
  <c r="E194" i="1"/>
  <c r="F194" i="1"/>
  <c r="K194" i="1"/>
  <c r="L194" i="1"/>
  <c r="M194" i="1"/>
  <c r="E195" i="1"/>
  <c r="F195" i="1"/>
  <c r="K195" i="1"/>
  <c r="L195" i="1"/>
  <c r="M195" i="1"/>
  <c r="E196" i="1"/>
  <c r="F196" i="1"/>
  <c r="K196" i="1"/>
  <c r="L196" i="1"/>
  <c r="M196" i="1"/>
  <c r="E197" i="1"/>
  <c r="F197" i="1"/>
  <c r="K197" i="1"/>
  <c r="N197" i="1" s="1"/>
  <c r="L197" i="1"/>
  <c r="M197" i="1"/>
  <c r="E198" i="1"/>
  <c r="F198" i="1"/>
  <c r="K198" i="1"/>
  <c r="L198" i="1"/>
  <c r="M198" i="1"/>
  <c r="E199" i="1"/>
  <c r="F199" i="1"/>
  <c r="K199" i="1"/>
  <c r="L199" i="1"/>
  <c r="M199" i="1"/>
  <c r="E200" i="1"/>
  <c r="F200" i="1"/>
  <c r="K200" i="1"/>
  <c r="N200" i="1" s="1"/>
  <c r="L200" i="1"/>
  <c r="M200" i="1"/>
  <c r="E201" i="1"/>
  <c r="F201" i="1"/>
  <c r="K201" i="1"/>
  <c r="L201" i="1"/>
  <c r="M201" i="1"/>
  <c r="E202" i="1"/>
  <c r="F202" i="1"/>
  <c r="K202" i="1"/>
  <c r="L202" i="1"/>
  <c r="M202" i="1"/>
  <c r="E203" i="1"/>
  <c r="F203" i="1"/>
  <c r="K203" i="1"/>
  <c r="L203" i="1"/>
  <c r="M203" i="1"/>
  <c r="E204" i="1"/>
  <c r="F204" i="1"/>
  <c r="K204" i="1"/>
  <c r="L204" i="1"/>
  <c r="M204" i="1"/>
  <c r="E205" i="1"/>
  <c r="F205" i="1"/>
  <c r="K205" i="1"/>
  <c r="N205" i="1" s="1"/>
  <c r="L205" i="1"/>
  <c r="M205" i="1"/>
  <c r="E206" i="1"/>
  <c r="F206" i="1"/>
  <c r="K206" i="1"/>
  <c r="L206" i="1"/>
  <c r="M206" i="1"/>
  <c r="E207" i="1"/>
  <c r="F207" i="1"/>
  <c r="K207" i="1"/>
  <c r="L207" i="1"/>
  <c r="M207" i="1"/>
  <c r="E208" i="1"/>
  <c r="F208" i="1"/>
  <c r="K208" i="1"/>
  <c r="N208" i="1" s="1"/>
  <c r="L208" i="1"/>
  <c r="M208" i="1"/>
  <c r="E209" i="1"/>
  <c r="F209" i="1"/>
  <c r="K209" i="1"/>
  <c r="N209" i="1" s="1"/>
  <c r="L209" i="1"/>
  <c r="M209" i="1"/>
  <c r="E210" i="1"/>
  <c r="F210" i="1"/>
  <c r="K210" i="1"/>
  <c r="L210" i="1"/>
  <c r="M210" i="1"/>
  <c r="E211" i="1"/>
  <c r="F211" i="1"/>
  <c r="K211" i="1"/>
  <c r="L211" i="1"/>
  <c r="M211" i="1"/>
  <c r="E212" i="1"/>
  <c r="F212" i="1"/>
  <c r="K212" i="1"/>
  <c r="N212" i="1" s="1"/>
  <c r="L212" i="1"/>
  <c r="M212" i="1"/>
  <c r="E213" i="1"/>
  <c r="F213" i="1"/>
  <c r="K213" i="1"/>
  <c r="L213" i="1"/>
  <c r="M213" i="1"/>
  <c r="E214" i="1"/>
  <c r="F214" i="1"/>
  <c r="K214" i="1"/>
  <c r="L214" i="1"/>
  <c r="M214" i="1"/>
  <c r="E215" i="1"/>
  <c r="F215" i="1"/>
  <c r="K215" i="1"/>
  <c r="L215" i="1"/>
  <c r="M215" i="1"/>
  <c r="E216" i="1"/>
  <c r="F216" i="1"/>
  <c r="K216" i="1"/>
  <c r="L216" i="1"/>
  <c r="M216" i="1"/>
  <c r="E217" i="1"/>
  <c r="F217" i="1"/>
  <c r="K217" i="1"/>
  <c r="L217" i="1"/>
  <c r="M217" i="1"/>
  <c r="E218" i="1"/>
  <c r="F218" i="1"/>
  <c r="K218" i="1"/>
  <c r="L218" i="1"/>
  <c r="M218" i="1"/>
  <c r="E219" i="1"/>
  <c r="F219" i="1"/>
  <c r="K219" i="1"/>
  <c r="L219" i="1"/>
  <c r="M219" i="1"/>
  <c r="E220" i="1"/>
  <c r="F220" i="1"/>
  <c r="K220" i="1"/>
  <c r="N220" i="1" s="1"/>
  <c r="L220" i="1"/>
  <c r="M220" i="1"/>
  <c r="E221" i="1"/>
  <c r="F221" i="1"/>
  <c r="K221" i="1"/>
  <c r="L221" i="1"/>
  <c r="M221" i="1"/>
  <c r="E222" i="1"/>
  <c r="F222" i="1"/>
  <c r="K222" i="1"/>
  <c r="L222" i="1"/>
  <c r="M222" i="1"/>
  <c r="E223" i="1"/>
  <c r="F223" i="1"/>
  <c r="K223" i="1"/>
  <c r="L223" i="1"/>
  <c r="M223" i="1"/>
  <c r="E224" i="1"/>
  <c r="F224" i="1"/>
  <c r="K224" i="1"/>
  <c r="N224" i="1" s="1"/>
  <c r="L224" i="1"/>
  <c r="M224" i="1"/>
  <c r="E225" i="1"/>
  <c r="F225" i="1"/>
  <c r="K225" i="1"/>
  <c r="L225" i="1"/>
  <c r="M225" i="1"/>
  <c r="E226" i="1"/>
  <c r="F226" i="1"/>
  <c r="K226" i="1"/>
  <c r="L226" i="1"/>
  <c r="M226" i="1"/>
  <c r="E227" i="1"/>
  <c r="F227" i="1"/>
  <c r="K227" i="1"/>
  <c r="L227" i="1"/>
  <c r="M227" i="1"/>
  <c r="E228" i="1"/>
  <c r="F228" i="1"/>
  <c r="K228" i="1"/>
  <c r="L228" i="1"/>
  <c r="M228" i="1"/>
  <c r="E229" i="1"/>
  <c r="F229" i="1"/>
  <c r="K229" i="1"/>
  <c r="L229" i="1"/>
  <c r="M229" i="1"/>
  <c r="E230" i="1"/>
  <c r="F230" i="1"/>
  <c r="K230" i="1"/>
  <c r="N230" i="1" s="1"/>
  <c r="L230" i="1"/>
  <c r="M230" i="1"/>
  <c r="E231" i="1"/>
  <c r="F231" i="1"/>
  <c r="K231" i="1"/>
  <c r="L231" i="1"/>
  <c r="M231" i="1"/>
  <c r="E232" i="1"/>
  <c r="F232" i="1"/>
  <c r="K232" i="1"/>
  <c r="L232" i="1"/>
  <c r="M232" i="1"/>
  <c r="E233" i="1"/>
  <c r="F233" i="1"/>
  <c r="K233" i="1"/>
  <c r="L233" i="1"/>
  <c r="M233" i="1"/>
  <c r="E234" i="1"/>
  <c r="F234" i="1"/>
  <c r="K234" i="1"/>
  <c r="N234" i="1" s="1"/>
  <c r="L234" i="1"/>
  <c r="M234" i="1"/>
  <c r="E235" i="1"/>
  <c r="F235" i="1"/>
  <c r="K235" i="1"/>
  <c r="L235" i="1"/>
  <c r="M235" i="1"/>
  <c r="E236" i="1"/>
  <c r="F236" i="1"/>
  <c r="K236" i="1"/>
  <c r="L236" i="1"/>
  <c r="M236" i="1"/>
  <c r="E237" i="1"/>
  <c r="F237" i="1"/>
  <c r="K237" i="1"/>
  <c r="L237" i="1"/>
  <c r="M237" i="1"/>
  <c r="E238" i="1"/>
  <c r="F238" i="1"/>
  <c r="K238" i="1"/>
  <c r="N238" i="1" s="1"/>
  <c r="L238" i="1"/>
  <c r="M238" i="1"/>
  <c r="E239" i="1"/>
  <c r="F239" i="1"/>
  <c r="K239" i="1"/>
  <c r="L239" i="1"/>
  <c r="M239" i="1"/>
  <c r="E240" i="1"/>
  <c r="F240" i="1"/>
  <c r="K240" i="1"/>
  <c r="L240" i="1"/>
  <c r="M240" i="1"/>
  <c r="E241" i="1"/>
  <c r="F241" i="1"/>
  <c r="K241" i="1"/>
  <c r="L241" i="1"/>
  <c r="M241" i="1"/>
  <c r="E242" i="1"/>
  <c r="F242" i="1"/>
  <c r="K242" i="1"/>
  <c r="N242" i="1" s="1"/>
  <c r="L242" i="1"/>
  <c r="M242" i="1"/>
  <c r="E243" i="1"/>
  <c r="F243" i="1"/>
  <c r="K243" i="1"/>
  <c r="L243" i="1"/>
  <c r="M243" i="1"/>
  <c r="E244" i="1"/>
  <c r="F244" i="1"/>
  <c r="K244" i="1"/>
  <c r="L244" i="1"/>
  <c r="M244" i="1"/>
  <c r="E245" i="1"/>
  <c r="F245" i="1"/>
  <c r="K245" i="1"/>
  <c r="N245" i="1" s="1"/>
  <c r="L245" i="1"/>
  <c r="M245" i="1"/>
  <c r="E246" i="1"/>
  <c r="F246" i="1"/>
  <c r="K246" i="1"/>
  <c r="L246" i="1"/>
  <c r="M246" i="1"/>
  <c r="E247" i="1"/>
  <c r="F247" i="1"/>
  <c r="K247" i="1"/>
  <c r="L247" i="1"/>
  <c r="M247" i="1"/>
  <c r="E248" i="1"/>
  <c r="F248" i="1"/>
  <c r="K248" i="1"/>
  <c r="L248" i="1"/>
  <c r="M248" i="1"/>
  <c r="E249" i="1"/>
  <c r="F249" i="1"/>
  <c r="K249" i="1"/>
  <c r="N249" i="1" s="1"/>
  <c r="L249" i="1"/>
  <c r="M249" i="1"/>
  <c r="E250" i="1"/>
  <c r="F250" i="1"/>
  <c r="K250" i="1"/>
  <c r="L250" i="1"/>
  <c r="M250" i="1"/>
  <c r="E251" i="1"/>
  <c r="F251" i="1"/>
  <c r="K251" i="1"/>
  <c r="L251" i="1"/>
  <c r="M251" i="1"/>
  <c r="E252" i="1"/>
  <c r="F252" i="1"/>
  <c r="K252" i="1"/>
  <c r="L252" i="1"/>
  <c r="M252" i="1"/>
  <c r="E253" i="1"/>
  <c r="F253" i="1"/>
  <c r="K253" i="1"/>
  <c r="N253" i="1" s="1"/>
  <c r="L253" i="1"/>
  <c r="M253" i="1"/>
  <c r="E254" i="1"/>
  <c r="F254" i="1"/>
  <c r="K254" i="1"/>
  <c r="L254" i="1"/>
  <c r="M254" i="1"/>
  <c r="E255" i="1"/>
  <c r="F255" i="1"/>
  <c r="K255" i="1"/>
  <c r="L255" i="1"/>
  <c r="M255" i="1"/>
  <c r="E256" i="1"/>
  <c r="F256" i="1"/>
  <c r="K256" i="1"/>
  <c r="L256" i="1"/>
  <c r="M256" i="1"/>
  <c r="E257" i="1"/>
  <c r="F257" i="1"/>
  <c r="K257" i="1"/>
  <c r="N257" i="1" s="1"/>
  <c r="L257" i="1"/>
  <c r="M257" i="1"/>
  <c r="E258" i="1"/>
  <c r="F258" i="1"/>
  <c r="K258" i="1"/>
  <c r="L258" i="1"/>
  <c r="M258" i="1"/>
  <c r="E259" i="1"/>
  <c r="F259" i="1"/>
  <c r="K259" i="1"/>
  <c r="L259" i="1"/>
  <c r="M259" i="1"/>
  <c r="E260" i="1"/>
  <c r="F260" i="1"/>
  <c r="K260" i="1"/>
  <c r="L260" i="1"/>
  <c r="M260" i="1"/>
  <c r="E261" i="1"/>
  <c r="F261" i="1"/>
  <c r="K261" i="1"/>
  <c r="N261" i="1" s="1"/>
  <c r="L261" i="1"/>
  <c r="M261" i="1"/>
  <c r="E262" i="1"/>
  <c r="F262" i="1"/>
  <c r="K262" i="1"/>
  <c r="L262" i="1"/>
  <c r="M262" i="1"/>
  <c r="E263" i="1"/>
  <c r="F263" i="1"/>
  <c r="K263" i="1"/>
  <c r="L263" i="1"/>
  <c r="M263" i="1"/>
  <c r="E264" i="1"/>
  <c r="F264" i="1"/>
  <c r="K264" i="1"/>
  <c r="L264" i="1"/>
  <c r="M264" i="1"/>
  <c r="E265" i="1"/>
  <c r="F265" i="1"/>
  <c r="K265" i="1"/>
  <c r="L265" i="1"/>
  <c r="M265" i="1"/>
  <c r="E266" i="1"/>
  <c r="F266" i="1"/>
  <c r="K266" i="1"/>
  <c r="L266" i="1"/>
  <c r="M266" i="1"/>
  <c r="E267" i="1"/>
  <c r="F267" i="1"/>
  <c r="K267" i="1"/>
  <c r="L267" i="1"/>
  <c r="M267" i="1"/>
  <c r="E268" i="1"/>
  <c r="F268" i="1"/>
  <c r="K268" i="1"/>
  <c r="L268" i="1"/>
  <c r="M268" i="1"/>
  <c r="E269" i="1"/>
  <c r="F269" i="1"/>
  <c r="K269" i="1"/>
  <c r="L269" i="1"/>
  <c r="M269" i="1"/>
  <c r="E270" i="1"/>
  <c r="F270" i="1"/>
  <c r="K270" i="1"/>
  <c r="L270" i="1"/>
  <c r="M270" i="1"/>
  <c r="E271" i="1"/>
  <c r="F271" i="1"/>
  <c r="K271" i="1"/>
  <c r="L271" i="1"/>
  <c r="M271" i="1"/>
  <c r="E272" i="1"/>
  <c r="F272" i="1"/>
  <c r="K272" i="1"/>
  <c r="N272" i="1" s="1"/>
  <c r="L272" i="1"/>
  <c r="M272" i="1"/>
  <c r="E273" i="1"/>
  <c r="F273" i="1"/>
  <c r="K273" i="1"/>
  <c r="N273" i="1" s="1"/>
  <c r="L273" i="1"/>
  <c r="M273" i="1"/>
  <c r="E274" i="1"/>
  <c r="F274" i="1"/>
  <c r="K274" i="1"/>
  <c r="L274" i="1"/>
  <c r="M274" i="1"/>
  <c r="E275" i="1"/>
  <c r="F275" i="1"/>
  <c r="K275" i="1"/>
  <c r="L275" i="1"/>
  <c r="M275" i="1"/>
  <c r="E276" i="1"/>
  <c r="F276" i="1"/>
  <c r="K276" i="1"/>
  <c r="L276" i="1"/>
  <c r="M276" i="1"/>
  <c r="E277" i="1"/>
  <c r="F277" i="1"/>
  <c r="K277" i="1"/>
  <c r="L277" i="1"/>
  <c r="M277" i="1"/>
  <c r="E278" i="1"/>
  <c r="F278" i="1"/>
  <c r="K278" i="1"/>
  <c r="L278" i="1"/>
  <c r="M278" i="1"/>
  <c r="E279" i="1"/>
  <c r="F279" i="1"/>
  <c r="K279" i="1"/>
  <c r="L279" i="1"/>
  <c r="M279" i="1"/>
  <c r="E280" i="1"/>
  <c r="F280" i="1"/>
  <c r="K280" i="1"/>
  <c r="N280" i="1" s="1"/>
  <c r="L280" i="1"/>
  <c r="M280" i="1"/>
  <c r="E281" i="1"/>
  <c r="F281" i="1"/>
  <c r="K281" i="1"/>
  <c r="L281" i="1"/>
  <c r="M281" i="1"/>
  <c r="E282" i="1"/>
  <c r="F282" i="1"/>
  <c r="K282" i="1"/>
  <c r="L282" i="1"/>
  <c r="M282" i="1"/>
  <c r="E283" i="1"/>
  <c r="F283" i="1"/>
  <c r="K283" i="1"/>
  <c r="L283" i="1"/>
  <c r="M283" i="1"/>
  <c r="E284" i="1"/>
  <c r="F284" i="1"/>
  <c r="K284" i="1"/>
  <c r="L284" i="1"/>
  <c r="M284" i="1"/>
  <c r="E285" i="1"/>
  <c r="F285" i="1"/>
  <c r="K285" i="1"/>
  <c r="L285" i="1"/>
  <c r="M285" i="1"/>
  <c r="E286" i="1"/>
  <c r="F286" i="1"/>
  <c r="K286" i="1"/>
  <c r="L286" i="1"/>
  <c r="M286" i="1"/>
  <c r="E287" i="1"/>
  <c r="F287" i="1"/>
  <c r="K287" i="1"/>
  <c r="L287" i="1"/>
  <c r="M287" i="1"/>
  <c r="E288" i="1"/>
  <c r="F288" i="1"/>
  <c r="K288" i="1"/>
  <c r="L288" i="1"/>
  <c r="M288" i="1"/>
  <c r="E289" i="1"/>
  <c r="F289" i="1"/>
  <c r="K289" i="1"/>
  <c r="L289" i="1"/>
  <c r="M289" i="1"/>
  <c r="E290" i="1"/>
  <c r="F290" i="1"/>
  <c r="K290" i="1"/>
  <c r="L290" i="1"/>
  <c r="M290" i="1"/>
  <c r="E291" i="1"/>
  <c r="F291" i="1"/>
  <c r="K291" i="1"/>
  <c r="L291" i="1"/>
  <c r="M291" i="1"/>
  <c r="E292" i="1"/>
  <c r="F292" i="1"/>
  <c r="K292" i="1"/>
  <c r="L292" i="1"/>
  <c r="M292" i="1"/>
  <c r="E293" i="1"/>
  <c r="F293" i="1"/>
  <c r="K293" i="1"/>
  <c r="L293" i="1"/>
  <c r="M293" i="1"/>
  <c r="E294" i="1"/>
  <c r="F294" i="1"/>
  <c r="K294" i="1"/>
  <c r="N294" i="1" s="1"/>
  <c r="L294" i="1"/>
  <c r="M294" i="1"/>
  <c r="E295" i="1"/>
  <c r="F295" i="1"/>
  <c r="K295" i="1"/>
  <c r="L295" i="1"/>
  <c r="M295" i="1"/>
  <c r="E296" i="1"/>
  <c r="F296" i="1"/>
  <c r="K296" i="1"/>
  <c r="L296" i="1"/>
  <c r="M296" i="1"/>
  <c r="E297" i="1"/>
  <c r="F297" i="1"/>
  <c r="K297" i="1"/>
  <c r="L297" i="1"/>
  <c r="M297" i="1"/>
  <c r="E298" i="1"/>
  <c r="F298" i="1"/>
  <c r="K298" i="1"/>
  <c r="L298" i="1"/>
  <c r="M298" i="1"/>
  <c r="E299" i="1"/>
  <c r="F299" i="1"/>
  <c r="K299" i="1"/>
  <c r="L299" i="1"/>
  <c r="M299" i="1"/>
  <c r="E300" i="1"/>
  <c r="F300" i="1"/>
  <c r="K300" i="1"/>
  <c r="L300" i="1"/>
  <c r="M300" i="1"/>
  <c r="E301" i="1"/>
  <c r="F301" i="1"/>
  <c r="K301" i="1"/>
  <c r="N301" i="1" s="1"/>
  <c r="L301" i="1"/>
  <c r="M301" i="1"/>
  <c r="E302" i="1"/>
  <c r="F302" i="1"/>
  <c r="K302" i="1"/>
  <c r="L302" i="1"/>
  <c r="M302" i="1"/>
  <c r="E303" i="1"/>
  <c r="F303" i="1"/>
  <c r="K303" i="1"/>
  <c r="L303" i="1"/>
  <c r="M303" i="1"/>
  <c r="E304" i="1"/>
  <c r="F304" i="1"/>
  <c r="K304" i="1"/>
  <c r="L304" i="1"/>
  <c r="M304" i="1"/>
  <c r="E305" i="1"/>
  <c r="F305" i="1"/>
  <c r="K305" i="1"/>
  <c r="L305" i="1"/>
  <c r="M305" i="1"/>
  <c r="E306" i="1"/>
  <c r="F306" i="1"/>
  <c r="K306" i="1"/>
  <c r="L306" i="1"/>
  <c r="M306" i="1"/>
  <c r="E307" i="1"/>
  <c r="F307" i="1"/>
  <c r="K307" i="1"/>
  <c r="N307" i="1" s="1"/>
  <c r="L307" i="1"/>
  <c r="M307" i="1"/>
  <c r="E308" i="1"/>
  <c r="F308" i="1"/>
  <c r="K308" i="1"/>
  <c r="N308" i="1" s="1"/>
  <c r="L308" i="1"/>
  <c r="M308" i="1"/>
  <c r="E309" i="1"/>
  <c r="F309" i="1"/>
  <c r="K309" i="1"/>
  <c r="L309" i="1"/>
  <c r="M309" i="1"/>
  <c r="E310" i="1"/>
  <c r="F310" i="1"/>
  <c r="K310" i="1"/>
  <c r="L310" i="1"/>
  <c r="M310" i="1"/>
  <c r="E311" i="1"/>
  <c r="F311" i="1"/>
  <c r="K311" i="1"/>
  <c r="L311" i="1"/>
  <c r="M311" i="1"/>
  <c r="E312" i="1"/>
  <c r="F312" i="1"/>
  <c r="K312" i="1"/>
  <c r="N312" i="1" s="1"/>
  <c r="L312" i="1"/>
  <c r="M312" i="1"/>
  <c r="E313" i="1"/>
  <c r="F313" i="1"/>
  <c r="K313" i="1"/>
  <c r="L313" i="1"/>
  <c r="M313" i="1"/>
  <c r="E314" i="1"/>
  <c r="F314" i="1"/>
  <c r="K314" i="1"/>
  <c r="L314" i="1"/>
  <c r="M314" i="1"/>
  <c r="E315" i="1"/>
  <c r="F315" i="1"/>
  <c r="K315" i="1"/>
  <c r="L315" i="1"/>
  <c r="M315" i="1"/>
  <c r="E316" i="1"/>
  <c r="F316" i="1"/>
  <c r="K316" i="1"/>
  <c r="N316" i="1" s="1"/>
  <c r="L316" i="1"/>
  <c r="M316" i="1"/>
  <c r="E317" i="1"/>
  <c r="F317" i="1"/>
  <c r="K317" i="1"/>
  <c r="L317" i="1"/>
  <c r="M317" i="1"/>
  <c r="E318" i="1"/>
  <c r="F318" i="1"/>
  <c r="K318" i="1"/>
  <c r="L318" i="1"/>
  <c r="M318" i="1"/>
  <c r="E319" i="1"/>
  <c r="F319" i="1"/>
  <c r="K319" i="1"/>
  <c r="L319" i="1"/>
  <c r="M319" i="1"/>
  <c r="E320" i="1"/>
  <c r="F320" i="1"/>
  <c r="K320" i="1"/>
  <c r="L320" i="1"/>
  <c r="M320" i="1"/>
  <c r="E321" i="1"/>
  <c r="F321" i="1"/>
  <c r="K321" i="1"/>
  <c r="L321" i="1"/>
  <c r="M321" i="1"/>
  <c r="E322" i="1"/>
  <c r="F322" i="1"/>
  <c r="K322" i="1"/>
  <c r="L322" i="1"/>
  <c r="M322" i="1"/>
  <c r="E323" i="1"/>
  <c r="F323" i="1"/>
  <c r="K323" i="1"/>
  <c r="L323" i="1"/>
  <c r="M323" i="1"/>
  <c r="E324" i="1"/>
  <c r="F324" i="1"/>
  <c r="K324" i="1"/>
  <c r="L324" i="1"/>
  <c r="M324" i="1"/>
  <c r="E325" i="1"/>
  <c r="F325" i="1"/>
  <c r="K325" i="1"/>
  <c r="L325" i="1"/>
  <c r="M325" i="1"/>
  <c r="E326" i="1"/>
  <c r="F326" i="1"/>
  <c r="K326" i="1"/>
  <c r="L326" i="1"/>
  <c r="M326" i="1"/>
  <c r="E327" i="1"/>
  <c r="F327" i="1"/>
  <c r="K327" i="1"/>
  <c r="L327" i="1"/>
  <c r="M327" i="1"/>
  <c r="E328" i="1"/>
  <c r="F328" i="1"/>
  <c r="K328" i="1"/>
  <c r="L328" i="1"/>
  <c r="M328" i="1"/>
  <c r="E329" i="1"/>
  <c r="F329" i="1"/>
  <c r="K329" i="1"/>
  <c r="L329" i="1"/>
  <c r="M329" i="1"/>
  <c r="E330" i="1"/>
  <c r="F330" i="1"/>
  <c r="K330" i="1"/>
  <c r="L330" i="1"/>
  <c r="M330" i="1"/>
  <c r="E331" i="1"/>
  <c r="F331" i="1"/>
  <c r="K331" i="1"/>
  <c r="L331" i="1"/>
  <c r="M331" i="1"/>
  <c r="E332" i="1"/>
  <c r="F332" i="1"/>
  <c r="K332" i="1"/>
  <c r="L332" i="1"/>
  <c r="M332" i="1"/>
  <c r="E333" i="1"/>
  <c r="F333" i="1"/>
  <c r="K333" i="1"/>
  <c r="L333" i="1"/>
  <c r="M333" i="1"/>
  <c r="E334" i="1"/>
  <c r="F334" i="1"/>
  <c r="K334" i="1"/>
  <c r="L334" i="1"/>
  <c r="M334" i="1"/>
  <c r="E335" i="1"/>
  <c r="F335" i="1"/>
  <c r="K335" i="1"/>
  <c r="L335" i="1"/>
  <c r="M335" i="1"/>
  <c r="E336" i="1"/>
  <c r="F336" i="1"/>
  <c r="K336" i="1"/>
  <c r="N336" i="1" s="1"/>
  <c r="L336" i="1"/>
  <c r="M336" i="1"/>
  <c r="E337" i="1"/>
  <c r="F337" i="1"/>
  <c r="K337" i="1"/>
  <c r="L337" i="1"/>
  <c r="M337" i="1"/>
  <c r="E338" i="1"/>
  <c r="F338" i="1"/>
  <c r="K338" i="1"/>
  <c r="L338" i="1"/>
  <c r="M338" i="1"/>
  <c r="E339" i="1"/>
  <c r="F339" i="1"/>
  <c r="K339" i="1"/>
  <c r="L339" i="1"/>
  <c r="M339" i="1"/>
  <c r="E340" i="1"/>
  <c r="F340" i="1"/>
  <c r="K340" i="1"/>
  <c r="L340" i="1"/>
  <c r="M340" i="1"/>
  <c r="E341" i="1"/>
  <c r="F341" i="1"/>
  <c r="K341" i="1"/>
  <c r="L341" i="1"/>
  <c r="M341" i="1"/>
  <c r="E342" i="1"/>
  <c r="F342" i="1"/>
  <c r="K342" i="1"/>
  <c r="L342" i="1"/>
  <c r="M342" i="1"/>
  <c r="E343" i="1"/>
  <c r="F343" i="1"/>
  <c r="K343" i="1"/>
  <c r="L343" i="1"/>
  <c r="M343" i="1"/>
  <c r="E344" i="1"/>
  <c r="F344" i="1"/>
  <c r="K344" i="1"/>
  <c r="N344" i="1" s="1"/>
  <c r="L344" i="1"/>
  <c r="M344" i="1"/>
  <c r="E345" i="1"/>
  <c r="F345" i="1"/>
  <c r="K345" i="1"/>
  <c r="L345" i="1"/>
  <c r="M345" i="1"/>
  <c r="E346" i="1"/>
  <c r="F346" i="1"/>
  <c r="K346" i="1"/>
  <c r="L346" i="1"/>
  <c r="M346" i="1"/>
  <c r="E347" i="1"/>
  <c r="F347" i="1"/>
  <c r="K347" i="1"/>
  <c r="L347" i="1"/>
  <c r="M347" i="1"/>
  <c r="E348" i="1"/>
  <c r="F348" i="1"/>
  <c r="K348" i="1"/>
  <c r="N348" i="1" s="1"/>
  <c r="L348" i="1"/>
  <c r="M348" i="1"/>
  <c r="E349" i="1"/>
  <c r="F349" i="1"/>
  <c r="K349" i="1"/>
  <c r="L349" i="1"/>
  <c r="M349" i="1"/>
  <c r="E350" i="1"/>
  <c r="F350" i="1"/>
  <c r="K350" i="1"/>
  <c r="L350" i="1"/>
  <c r="M350" i="1"/>
  <c r="E351" i="1"/>
  <c r="F351" i="1"/>
  <c r="K351" i="1"/>
  <c r="L351" i="1"/>
  <c r="M351" i="1"/>
  <c r="E352" i="1"/>
  <c r="F352" i="1"/>
  <c r="K352" i="1"/>
  <c r="L352" i="1"/>
  <c r="M352" i="1"/>
  <c r="E353" i="1"/>
  <c r="F353" i="1"/>
  <c r="K353" i="1"/>
  <c r="L353" i="1"/>
  <c r="M353" i="1"/>
  <c r="E354" i="1"/>
  <c r="F354" i="1"/>
  <c r="K354" i="1"/>
  <c r="L354" i="1"/>
  <c r="M354" i="1"/>
  <c r="E355" i="1"/>
  <c r="F355" i="1"/>
  <c r="K355" i="1"/>
  <c r="L355" i="1"/>
  <c r="M355" i="1"/>
  <c r="E356" i="1"/>
  <c r="F356" i="1"/>
  <c r="K356" i="1"/>
  <c r="L356" i="1"/>
  <c r="M356" i="1"/>
  <c r="E357" i="1"/>
  <c r="F357" i="1"/>
  <c r="K357" i="1"/>
  <c r="L357" i="1"/>
  <c r="M357" i="1"/>
  <c r="E358" i="1"/>
  <c r="F358" i="1"/>
  <c r="K358" i="1"/>
  <c r="L358" i="1"/>
  <c r="M358" i="1"/>
  <c r="E359" i="1"/>
  <c r="F359" i="1"/>
  <c r="K359" i="1"/>
  <c r="L359" i="1"/>
  <c r="M359" i="1"/>
  <c r="E360" i="1"/>
  <c r="F360" i="1"/>
  <c r="K360" i="1"/>
  <c r="N360" i="1" s="1"/>
  <c r="L360" i="1"/>
  <c r="M360" i="1"/>
  <c r="E361" i="1"/>
  <c r="F361" i="1"/>
  <c r="K361" i="1"/>
  <c r="L361" i="1"/>
  <c r="M361" i="1"/>
  <c r="E362" i="1"/>
  <c r="F362" i="1"/>
  <c r="K362" i="1"/>
  <c r="L362" i="1"/>
  <c r="M362" i="1"/>
  <c r="E363" i="1"/>
  <c r="F363" i="1"/>
  <c r="K363" i="1"/>
  <c r="L363" i="1"/>
  <c r="M363" i="1"/>
  <c r="E364" i="1"/>
  <c r="F364" i="1"/>
  <c r="K364" i="1"/>
  <c r="L364" i="1"/>
  <c r="M364" i="1"/>
  <c r="E365" i="1"/>
  <c r="F365" i="1"/>
  <c r="K365" i="1"/>
  <c r="L365" i="1"/>
  <c r="M365" i="1"/>
  <c r="E366" i="1"/>
  <c r="F366" i="1"/>
  <c r="K366" i="1"/>
  <c r="L366" i="1"/>
  <c r="M366" i="1"/>
  <c r="E367" i="1"/>
  <c r="F367" i="1"/>
  <c r="K367" i="1"/>
  <c r="L367" i="1"/>
  <c r="M367" i="1"/>
  <c r="E368" i="1"/>
  <c r="F368" i="1"/>
  <c r="K368" i="1"/>
  <c r="L368" i="1"/>
  <c r="M368" i="1"/>
  <c r="E369" i="1"/>
  <c r="F369" i="1"/>
  <c r="K369" i="1"/>
  <c r="L369" i="1"/>
  <c r="M369" i="1"/>
  <c r="E370" i="1"/>
  <c r="F370" i="1"/>
  <c r="K370" i="1"/>
  <c r="L370" i="1"/>
  <c r="M370" i="1"/>
  <c r="E371" i="1"/>
  <c r="F371" i="1"/>
  <c r="K371" i="1"/>
  <c r="L371" i="1"/>
  <c r="M371" i="1"/>
  <c r="E372" i="1"/>
  <c r="F372" i="1"/>
  <c r="K372" i="1"/>
  <c r="L372" i="1"/>
  <c r="M372" i="1"/>
  <c r="E373" i="1"/>
  <c r="F373" i="1"/>
  <c r="K373" i="1"/>
  <c r="L373" i="1"/>
  <c r="M373" i="1"/>
  <c r="E374" i="1"/>
  <c r="F374" i="1"/>
  <c r="K374" i="1"/>
  <c r="L374" i="1"/>
  <c r="M374" i="1"/>
  <c r="E375" i="1"/>
  <c r="F375" i="1"/>
  <c r="K375" i="1"/>
  <c r="L375" i="1"/>
  <c r="M375" i="1"/>
  <c r="E376" i="1"/>
  <c r="F376" i="1"/>
  <c r="K376" i="1"/>
  <c r="N376" i="1" s="1"/>
  <c r="L376" i="1"/>
  <c r="M376" i="1"/>
  <c r="E377" i="1"/>
  <c r="F377" i="1"/>
  <c r="K377" i="1"/>
  <c r="L377" i="1"/>
  <c r="M377" i="1"/>
  <c r="E378" i="1"/>
  <c r="F378" i="1"/>
  <c r="K378" i="1"/>
  <c r="L378" i="1"/>
  <c r="M378" i="1"/>
  <c r="E379" i="1"/>
  <c r="F379" i="1"/>
  <c r="K379" i="1"/>
  <c r="L379" i="1"/>
  <c r="M379" i="1"/>
  <c r="E380" i="1"/>
  <c r="F380" i="1"/>
  <c r="K380" i="1"/>
  <c r="L380" i="1"/>
  <c r="M380" i="1"/>
  <c r="E381" i="1"/>
  <c r="F381" i="1"/>
  <c r="K381" i="1"/>
  <c r="L381" i="1"/>
  <c r="M381" i="1"/>
  <c r="E382" i="1"/>
  <c r="F382" i="1"/>
  <c r="K382" i="1"/>
  <c r="L382" i="1"/>
  <c r="M382" i="1"/>
  <c r="E383" i="1"/>
  <c r="F383" i="1"/>
  <c r="K383" i="1"/>
  <c r="L383" i="1"/>
  <c r="M383" i="1"/>
  <c r="E384" i="1"/>
  <c r="F384" i="1"/>
  <c r="K384" i="1"/>
  <c r="L384" i="1"/>
  <c r="M384" i="1"/>
  <c r="E385" i="1"/>
  <c r="F385" i="1"/>
  <c r="K385" i="1"/>
  <c r="L385" i="1"/>
  <c r="M385" i="1"/>
  <c r="E386" i="1"/>
  <c r="F386" i="1"/>
  <c r="K386" i="1"/>
  <c r="L386" i="1"/>
  <c r="M386" i="1"/>
  <c r="E387" i="1"/>
  <c r="F387" i="1"/>
  <c r="K387" i="1"/>
  <c r="L387" i="1"/>
  <c r="M387" i="1"/>
  <c r="E388" i="1"/>
  <c r="F388" i="1"/>
  <c r="K388" i="1"/>
  <c r="L388" i="1"/>
  <c r="M388" i="1"/>
  <c r="E389" i="1"/>
  <c r="F389" i="1"/>
  <c r="K389" i="1"/>
  <c r="L389" i="1"/>
  <c r="M389" i="1"/>
  <c r="E390" i="1"/>
  <c r="F390" i="1"/>
  <c r="K390" i="1"/>
  <c r="L390" i="1"/>
  <c r="M390" i="1"/>
  <c r="E391" i="1"/>
  <c r="F391" i="1"/>
  <c r="K391" i="1"/>
  <c r="L391" i="1"/>
  <c r="M391" i="1"/>
  <c r="E392" i="1"/>
  <c r="F392" i="1"/>
  <c r="K392" i="1"/>
  <c r="L392" i="1"/>
  <c r="M392" i="1"/>
  <c r="E393" i="1"/>
  <c r="F393" i="1"/>
  <c r="K393" i="1"/>
  <c r="L393" i="1"/>
  <c r="M393" i="1"/>
  <c r="E394" i="1"/>
  <c r="F394" i="1"/>
  <c r="K394" i="1"/>
  <c r="L394" i="1"/>
  <c r="M394" i="1"/>
  <c r="E395" i="1"/>
  <c r="F395" i="1"/>
  <c r="K395" i="1"/>
  <c r="L395" i="1"/>
  <c r="M395" i="1"/>
  <c r="E396" i="1"/>
  <c r="F396" i="1"/>
  <c r="K396" i="1"/>
  <c r="N396" i="1" s="1"/>
  <c r="L396" i="1"/>
  <c r="M396" i="1"/>
  <c r="E397" i="1"/>
  <c r="F397" i="1"/>
  <c r="K397" i="1"/>
  <c r="L397" i="1"/>
  <c r="M397" i="1"/>
  <c r="E398" i="1"/>
  <c r="F398" i="1"/>
  <c r="K398" i="1"/>
  <c r="L398" i="1"/>
  <c r="M398" i="1"/>
  <c r="E399" i="1"/>
  <c r="F399" i="1"/>
  <c r="K399" i="1"/>
  <c r="L399" i="1"/>
  <c r="M399" i="1"/>
  <c r="E400" i="1"/>
  <c r="F400" i="1"/>
  <c r="K400" i="1"/>
  <c r="L400" i="1"/>
  <c r="M400" i="1"/>
  <c r="E401" i="1"/>
  <c r="F401" i="1"/>
  <c r="K401" i="1"/>
  <c r="L401" i="1"/>
  <c r="M401" i="1"/>
  <c r="E402" i="1"/>
  <c r="F402" i="1"/>
  <c r="K402" i="1"/>
  <c r="L402" i="1"/>
  <c r="M402" i="1"/>
  <c r="E403" i="1"/>
  <c r="F403" i="1"/>
  <c r="K403" i="1"/>
  <c r="L403" i="1"/>
  <c r="M403" i="1"/>
  <c r="E404" i="1"/>
  <c r="F404" i="1"/>
  <c r="K404" i="1"/>
  <c r="L404" i="1"/>
  <c r="M404" i="1"/>
  <c r="E405" i="1"/>
  <c r="F405" i="1"/>
  <c r="K405" i="1"/>
  <c r="L405" i="1"/>
  <c r="M405" i="1"/>
  <c r="E406" i="1"/>
  <c r="F406" i="1"/>
  <c r="K406" i="1"/>
  <c r="L406" i="1"/>
  <c r="M406" i="1"/>
  <c r="E407" i="1"/>
  <c r="F407" i="1"/>
  <c r="K407" i="1"/>
  <c r="L407" i="1"/>
  <c r="M407" i="1"/>
  <c r="E408" i="1"/>
  <c r="F408" i="1"/>
  <c r="K408" i="1"/>
  <c r="N408" i="1" s="1"/>
  <c r="L408" i="1"/>
  <c r="M408" i="1"/>
  <c r="E409" i="1"/>
  <c r="F409" i="1"/>
  <c r="K409" i="1"/>
  <c r="L409" i="1"/>
  <c r="M409" i="1"/>
  <c r="E410" i="1"/>
  <c r="F410" i="1"/>
  <c r="K410" i="1"/>
  <c r="L410" i="1"/>
  <c r="M410" i="1"/>
  <c r="E411" i="1"/>
  <c r="F411" i="1"/>
  <c r="K411" i="1"/>
  <c r="L411" i="1"/>
  <c r="M411" i="1"/>
  <c r="E412" i="1"/>
  <c r="F412" i="1"/>
  <c r="K412" i="1"/>
  <c r="N412" i="1" s="1"/>
  <c r="L412" i="1"/>
  <c r="M412" i="1"/>
  <c r="E413" i="1"/>
  <c r="F413" i="1"/>
  <c r="K413" i="1"/>
  <c r="L413" i="1"/>
  <c r="M413" i="1"/>
  <c r="E414" i="1"/>
  <c r="F414" i="1"/>
  <c r="K414" i="1"/>
  <c r="L414" i="1"/>
  <c r="M414" i="1"/>
  <c r="E415" i="1"/>
  <c r="F415" i="1"/>
  <c r="K415" i="1"/>
  <c r="L415" i="1"/>
  <c r="M415" i="1"/>
  <c r="E416" i="1"/>
  <c r="F416" i="1"/>
  <c r="K416" i="1"/>
  <c r="L416" i="1"/>
  <c r="M416" i="1"/>
  <c r="E417" i="1"/>
  <c r="F417" i="1"/>
  <c r="K417" i="1"/>
  <c r="L417" i="1"/>
  <c r="M417" i="1"/>
  <c r="E418" i="1"/>
  <c r="F418" i="1"/>
  <c r="K418" i="1"/>
  <c r="L418" i="1"/>
  <c r="M418" i="1"/>
  <c r="E419" i="1"/>
  <c r="F419" i="1"/>
  <c r="K419" i="1"/>
  <c r="L419" i="1"/>
  <c r="M419" i="1"/>
  <c r="E420" i="1"/>
  <c r="F420" i="1"/>
  <c r="K420" i="1"/>
  <c r="L420" i="1"/>
  <c r="M420" i="1"/>
  <c r="E421" i="1"/>
  <c r="F421" i="1"/>
  <c r="K421" i="1"/>
  <c r="L421" i="1"/>
  <c r="M421" i="1"/>
  <c r="E422" i="1"/>
  <c r="F422" i="1"/>
  <c r="K422" i="1"/>
  <c r="L422" i="1"/>
  <c r="M422" i="1"/>
  <c r="E423" i="1"/>
  <c r="F423" i="1"/>
  <c r="K423" i="1"/>
  <c r="L423" i="1"/>
  <c r="M423" i="1"/>
  <c r="E424" i="1"/>
  <c r="F424" i="1"/>
  <c r="K424" i="1"/>
  <c r="N424" i="1" s="1"/>
  <c r="L424" i="1"/>
  <c r="M424" i="1"/>
  <c r="E425" i="1"/>
  <c r="F425" i="1"/>
  <c r="K425" i="1"/>
  <c r="L425" i="1"/>
  <c r="M425" i="1"/>
  <c r="E426" i="1"/>
  <c r="F426" i="1"/>
  <c r="K426" i="1"/>
  <c r="L426" i="1"/>
  <c r="M426" i="1"/>
  <c r="E427" i="1"/>
  <c r="F427" i="1"/>
  <c r="K427" i="1"/>
  <c r="L427" i="1"/>
  <c r="M427" i="1"/>
  <c r="E428" i="1"/>
  <c r="F428" i="1"/>
  <c r="K428" i="1"/>
  <c r="L428" i="1"/>
  <c r="M428" i="1"/>
  <c r="E429" i="1"/>
  <c r="F429" i="1"/>
  <c r="K429" i="1"/>
  <c r="L429" i="1"/>
  <c r="M429" i="1"/>
  <c r="E430" i="1"/>
  <c r="F430" i="1"/>
  <c r="K430" i="1"/>
  <c r="L430" i="1"/>
  <c r="M430" i="1"/>
  <c r="E431" i="1"/>
  <c r="F431" i="1"/>
  <c r="K431" i="1"/>
  <c r="L431" i="1"/>
  <c r="M431" i="1"/>
  <c r="E432" i="1"/>
  <c r="F432" i="1"/>
  <c r="K432" i="1"/>
  <c r="L432" i="1"/>
  <c r="M432" i="1"/>
  <c r="E433" i="1"/>
  <c r="F433" i="1"/>
  <c r="K433" i="1"/>
  <c r="L433" i="1"/>
  <c r="M433" i="1"/>
  <c r="E434" i="1"/>
  <c r="F434" i="1"/>
  <c r="K434" i="1"/>
  <c r="L434" i="1"/>
  <c r="M434" i="1"/>
  <c r="E435" i="1"/>
  <c r="F435" i="1"/>
  <c r="K435" i="1"/>
  <c r="L435" i="1"/>
  <c r="M435" i="1"/>
  <c r="E436" i="1"/>
  <c r="F436" i="1"/>
  <c r="K436" i="1"/>
  <c r="L436" i="1"/>
  <c r="M436" i="1"/>
  <c r="E437" i="1"/>
  <c r="F437" i="1"/>
  <c r="K437" i="1"/>
  <c r="L437" i="1"/>
  <c r="M437" i="1"/>
  <c r="E438" i="1"/>
  <c r="F438" i="1"/>
  <c r="K438" i="1"/>
  <c r="L438" i="1"/>
  <c r="M438" i="1"/>
  <c r="E439" i="1"/>
  <c r="F439" i="1"/>
  <c r="K439" i="1"/>
  <c r="L439" i="1"/>
  <c r="M439" i="1"/>
  <c r="E440" i="1"/>
  <c r="F440" i="1"/>
  <c r="K440" i="1"/>
  <c r="N440" i="1" s="1"/>
  <c r="L440" i="1"/>
  <c r="M440" i="1"/>
  <c r="E441" i="1"/>
  <c r="F441" i="1"/>
  <c r="K441" i="1"/>
  <c r="L441" i="1"/>
  <c r="M441" i="1"/>
  <c r="E442" i="1"/>
  <c r="F442" i="1"/>
  <c r="K442" i="1"/>
  <c r="L442" i="1"/>
  <c r="M442" i="1"/>
  <c r="E443" i="1"/>
  <c r="F443" i="1"/>
  <c r="K443" i="1"/>
  <c r="L443" i="1"/>
  <c r="M443" i="1"/>
  <c r="E444" i="1"/>
  <c r="F444" i="1"/>
  <c r="K444" i="1"/>
  <c r="N444" i="1" s="1"/>
  <c r="L444" i="1"/>
  <c r="M444" i="1"/>
  <c r="E445" i="1"/>
  <c r="F445" i="1"/>
  <c r="K445" i="1"/>
  <c r="L445" i="1"/>
  <c r="M445" i="1"/>
  <c r="E446" i="1"/>
  <c r="F446" i="1"/>
  <c r="K446" i="1"/>
  <c r="L446" i="1"/>
  <c r="M446" i="1"/>
  <c r="E447" i="1"/>
  <c r="F447" i="1"/>
  <c r="K447" i="1"/>
  <c r="L447" i="1"/>
  <c r="M447" i="1"/>
  <c r="E448" i="1"/>
  <c r="F448" i="1"/>
  <c r="K448" i="1"/>
  <c r="L448" i="1"/>
  <c r="M448" i="1"/>
  <c r="E449" i="1"/>
  <c r="F449" i="1"/>
  <c r="K449" i="1"/>
  <c r="L449" i="1"/>
  <c r="M449" i="1"/>
  <c r="E450" i="1"/>
  <c r="F450" i="1"/>
  <c r="K450" i="1"/>
  <c r="L450" i="1"/>
  <c r="M450" i="1"/>
  <c r="E451" i="1"/>
  <c r="F451" i="1"/>
  <c r="K451" i="1"/>
  <c r="L451" i="1"/>
  <c r="M451" i="1"/>
  <c r="E452" i="1"/>
  <c r="F452" i="1"/>
  <c r="K452" i="1"/>
  <c r="L452" i="1"/>
  <c r="M452" i="1"/>
  <c r="E453" i="1"/>
  <c r="F453" i="1"/>
  <c r="K453" i="1"/>
  <c r="L453" i="1"/>
  <c r="M453" i="1"/>
  <c r="E454" i="1"/>
  <c r="F454" i="1"/>
  <c r="K454" i="1"/>
  <c r="L454" i="1"/>
  <c r="M454" i="1"/>
  <c r="E455" i="1"/>
  <c r="F455" i="1"/>
  <c r="K455" i="1"/>
  <c r="L455" i="1"/>
  <c r="M455" i="1"/>
  <c r="E456" i="1"/>
  <c r="F456" i="1"/>
  <c r="K456" i="1"/>
  <c r="L456" i="1"/>
  <c r="M456" i="1"/>
  <c r="E457" i="1"/>
  <c r="F457" i="1"/>
  <c r="K457" i="1"/>
  <c r="L457" i="1"/>
  <c r="M457" i="1"/>
  <c r="E458" i="1"/>
  <c r="F458" i="1"/>
  <c r="K458" i="1"/>
  <c r="L458" i="1"/>
  <c r="M458" i="1"/>
  <c r="E459" i="1"/>
  <c r="F459" i="1"/>
  <c r="K459" i="1"/>
  <c r="L459" i="1"/>
  <c r="M459" i="1"/>
  <c r="E460" i="1"/>
  <c r="F460" i="1"/>
  <c r="K460" i="1"/>
  <c r="L460" i="1"/>
  <c r="M460" i="1"/>
  <c r="E461" i="1"/>
  <c r="F461" i="1"/>
  <c r="K461" i="1"/>
  <c r="L461" i="1"/>
  <c r="M461" i="1"/>
  <c r="E462" i="1"/>
  <c r="F462" i="1"/>
  <c r="K462" i="1"/>
  <c r="L462" i="1"/>
  <c r="M462" i="1"/>
  <c r="E463" i="1"/>
  <c r="F463" i="1"/>
  <c r="K463" i="1"/>
  <c r="L463" i="1"/>
  <c r="M463" i="1"/>
  <c r="E464" i="1"/>
  <c r="F464" i="1"/>
  <c r="K464" i="1"/>
  <c r="L464" i="1"/>
  <c r="M464" i="1"/>
  <c r="E465" i="1"/>
  <c r="F465" i="1"/>
  <c r="K465" i="1"/>
  <c r="L465" i="1"/>
  <c r="M465" i="1"/>
  <c r="E466" i="1"/>
  <c r="F466" i="1"/>
  <c r="K466" i="1"/>
  <c r="L466" i="1"/>
  <c r="M466" i="1"/>
  <c r="E467" i="1"/>
  <c r="F467" i="1"/>
  <c r="K467" i="1"/>
  <c r="L467" i="1"/>
  <c r="M467" i="1"/>
  <c r="E468" i="1"/>
  <c r="F468" i="1"/>
  <c r="K468" i="1"/>
  <c r="L468" i="1"/>
  <c r="M468" i="1"/>
  <c r="E469" i="1"/>
  <c r="F469" i="1"/>
  <c r="K469" i="1"/>
  <c r="L469" i="1"/>
  <c r="M469" i="1"/>
  <c r="E470" i="1"/>
  <c r="F470" i="1"/>
  <c r="K470" i="1"/>
  <c r="L470" i="1"/>
  <c r="M470" i="1"/>
  <c r="E471" i="1"/>
  <c r="F471" i="1"/>
  <c r="K471" i="1"/>
  <c r="L471" i="1"/>
  <c r="M471" i="1"/>
  <c r="E472" i="1"/>
  <c r="F472" i="1"/>
  <c r="K472" i="1"/>
  <c r="N472" i="1" s="1"/>
  <c r="L472" i="1"/>
  <c r="M472" i="1"/>
  <c r="E473" i="1"/>
  <c r="F473" i="1"/>
  <c r="K473" i="1"/>
  <c r="L473" i="1"/>
  <c r="M473" i="1"/>
  <c r="E474" i="1"/>
  <c r="F474" i="1"/>
  <c r="K474" i="1"/>
  <c r="L474" i="1"/>
  <c r="M474" i="1"/>
  <c r="E475" i="1"/>
  <c r="F475" i="1"/>
  <c r="K475" i="1"/>
  <c r="L475" i="1"/>
  <c r="M475" i="1"/>
  <c r="E476" i="1"/>
  <c r="F476" i="1"/>
  <c r="K476" i="1"/>
  <c r="N476" i="1" s="1"/>
  <c r="L476" i="1"/>
  <c r="M476" i="1"/>
  <c r="E477" i="1"/>
  <c r="F477" i="1"/>
  <c r="K477" i="1"/>
  <c r="L477" i="1"/>
  <c r="M477" i="1"/>
  <c r="E478" i="1"/>
  <c r="F478" i="1"/>
  <c r="K478" i="1"/>
  <c r="L478" i="1"/>
  <c r="M478" i="1"/>
  <c r="E479" i="1"/>
  <c r="F479" i="1"/>
  <c r="K479" i="1"/>
  <c r="L479" i="1"/>
  <c r="M479" i="1"/>
  <c r="E480" i="1"/>
  <c r="F480" i="1"/>
  <c r="K480" i="1"/>
  <c r="L480" i="1"/>
  <c r="M480" i="1"/>
  <c r="E481" i="1"/>
  <c r="F481" i="1"/>
  <c r="K481" i="1"/>
  <c r="L481" i="1"/>
  <c r="M481" i="1"/>
  <c r="E482" i="1"/>
  <c r="F482" i="1"/>
  <c r="K482" i="1"/>
  <c r="L482" i="1"/>
  <c r="M482" i="1"/>
  <c r="E483" i="1"/>
  <c r="F483" i="1"/>
  <c r="K483" i="1"/>
  <c r="L483" i="1"/>
  <c r="M483" i="1"/>
  <c r="E484" i="1"/>
  <c r="F484" i="1"/>
  <c r="K484" i="1"/>
  <c r="L484" i="1"/>
  <c r="M484" i="1"/>
  <c r="E485" i="1"/>
  <c r="F485" i="1"/>
  <c r="K485" i="1"/>
  <c r="L485" i="1"/>
  <c r="M485" i="1"/>
  <c r="E486" i="1"/>
  <c r="F486" i="1"/>
  <c r="K486" i="1"/>
  <c r="L486" i="1"/>
  <c r="M486" i="1"/>
  <c r="E487" i="1"/>
  <c r="F487" i="1"/>
  <c r="K487" i="1"/>
  <c r="L487" i="1"/>
  <c r="M487" i="1"/>
  <c r="E488" i="1"/>
  <c r="F488" i="1"/>
  <c r="K488" i="1"/>
  <c r="L488" i="1"/>
  <c r="M488" i="1"/>
  <c r="E489" i="1"/>
  <c r="F489" i="1"/>
  <c r="K489" i="1"/>
  <c r="L489" i="1"/>
  <c r="M489" i="1"/>
  <c r="E490" i="1"/>
  <c r="F490" i="1"/>
  <c r="K490" i="1"/>
  <c r="L490" i="1"/>
  <c r="M490" i="1"/>
  <c r="E491" i="1"/>
  <c r="F491" i="1"/>
  <c r="K491" i="1"/>
  <c r="L491" i="1"/>
  <c r="M491" i="1"/>
  <c r="E492" i="1"/>
  <c r="F492" i="1"/>
  <c r="K492" i="1"/>
  <c r="L492" i="1"/>
  <c r="M492" i="1"/>
  <c r="E493" i="1"/>
  <c r="F493" i="1"/>
  <c r="K493" i="1"/>
  <c r="L493" i="1"/>
  <c r="M493" i="1"/>
  <c r="E494" i="1"/>
  <c r="F494" i="1"/>
  <c r="K494" i="1"/>
  <c r="L494" i="1"/>
  <c r="M494" i="1"/>
  <c r="E495" i="1"/>
  <c r="F495" i="1"/>
  <c r="K495" i="1"/>
  <c r="L495" i="1"/>
  <c r="M495" i="1"/>
  <c r="E496" i="1"/>
  <c r="F496" i="1"/>
  <c r="K496" i="1"/>
  <c r="L496" i="1"/>
  <c r="M496" i="1"/>
  <c r="E497" i="1"/>
  <c r="F497" i="1"/>
  <c r="K497" i="1"/>
  <c r="L497" i="1"/>
  <c r="M497" i="1"/>
  <c r="E498" i="1"/>
  <c r="F498" i="1"/>
  <c r="K498" i="1"/>
  <c r="L498" i="1"/>
  <c r="M498" i="1"/>
  <c r="E499" i="1"/>
  <c r="F499" i="1"/>
  <c r="K499" i="1"/>
  <c r="L499" i="1"/>
  <c r="M499" i="1"/>
  <c r="E500" i="1"/>
  <c r="F500" i="1"/>
  <c r="K500" i="1"/>
  <c r="N500" i="1" s="1"/>
  <c r="L500" i="1"/>
  <c r="M500" i="1"/>
  <c r="E501" i="1"/>
  <c r="F501" i="1"/>
  <c r="K501" i="1"/>
  <c r="L501" i="1"/>
  <c r="M501" i="1"/>
  <c r="E502" i="1"/>
  <c r="F502" i="1"/>
  <c r="K502" i="1"/>
  <c r="L502" i="1"/>
  <c r="M502" i="1"/>
  <c r="E503" i="1"/>
  <c r="F503" i="1"/>
  <c r="K503" i="1"/>
  <c r="L503" i="1"/>
  <c r="M503" i="1"/>
  <c r="E504" i="1"/>
  <c r="F504" i="1"/>
  <c r="K504" i="1"/>
  <c r="N504" i="1" s="1"/>
  <c r="L504" i="1"/>
  <c r="M504" i="1"/>
  <c r="E505" i="1"/>
  <c r="F505" i="1"/>
  <c r="K505" i="1"/>
  <c r="L505" i="1"/>
  <c r="M505" i="1"/>
  <c r="E506" i="1"/>
  <c r="F506" i="1"/>
  <c r="K506" i="1"/>
  <c r="L506" i="1"/>
  <c r="M506" i="1"/>
  <c r="E507" i="1"/>
  <c r="F507" i="1"/>
  <c r="K507" i="1"/>
  <c r="L507" i="1"/>
  <c r="M507" i="1"/>
  <c r="E508" i="1"/>
  <c r="F508" i="1"/>
  <c r="K508" i="1"/>
  <c r="N508" i="1" s="1"/>
  <c r="L508" i="1"/>
  <c r="M508" i="1"/>
  <c r="E509" i="1"/>
  <c r="F509" i="1"/>
  <c r="K509" i="1"/>
  <c r="L509" i="1"/>
  <c r="M509" i="1"/>
  <c r="E510" i="1"/>
  <c r="F510" i="1"/>
  <c r="K510" i="1"/>
  <c r="L510" i="1"/>
  <c r="M510" i="1"/>
  <c r="E511" i="1"/>
  <c r="F511" i="1"/>
  <c r="K511" i="1"/>
  <c r="L511" i="1"/>
  <c r="M511" i="1"/>
  <c r="E512" i="1"/>
  <c r="F512" i="1"/>
  <c r="K512" i="1"/>
  <c r="L512" i="1"/>
  <c r="M512" i="1"/>
  <c r="E513" i="1"/>
  <c r="F513" i="1"/>
  <c r="K513" i="1"/>
  <c r="L513" i="1"/>
  <c r="M513" i="1"/>
  <c r="E514" i="1"/>
  <c r="F514" i="1"/>
  <c r="K514" i="1"/>
  <c r="L514" i="1"/>
  <c r="M514" i="1"/>
  <c r="E515" i="1"/>
  <c r="F515" i="1"/>
  <c r="K515" i="1"/>
  <c r="L515" i="1"/>
  <c r="M515" i="1"/>
  <c r="E516" i="1"/>
  <c r="F516" i="1"/>
  <c r="K516" i="1"/>
  <c r="L516" i="1"/>
  <c r="M516" i="1"/>
  <c r="E517" i="1"/>
  <c r="F517" i="1"/>
  <c r="K517" i="1"/>
  <c r="L517" i="1"/>
  <c r="M517" i="1"/>
  <c r="E518" i="1"/>
  <c r="F518" i="1"/>
  <c r="K518" i="1"/>
  <c r="L518" i="1"/>
  <c r="M518" i="1"/>
  <c r="E519" i="1"/>
  <c r="F519" i="1"/>
  <c r="K519" i="1"/>
  <c r="L519" i="1"/>
  <c r="M519" i="1"/>
  <c r="E520" i="1"/>
  <c r="F520" i="1"/>
  <c r="K520" i="1"/>
  <c r="L520" i="1"/>
  <c r="M520" i="1"/>
  <c r="E521" i="1"/>
  <c r="F521" i="1"/>
  <c r="K521" i="1"/>
  <c r="L521" i="1"/>
  <c r="M521" i="1"/>
  <c r="E522" i="1"/>
  <c r="F522" i="1"/>
  <c r="K522" i="1"/>
  <c r="L522" i="1"/>
  <c r="M522" i="1"/>
  <c r="E523" i="1"/>
  <c r="F523" i="1"/>
  <c r="K523" i="1"/>
  <c r="L523" i="1"/>
  <c r="M523" i="1"/>
  <c r="E524" i="1"/>
  <c r="F524" i="1"/>
  <c r="K524" i="1"/>
  <c r="N524" i="1" s="1"/>
  <c r="L524" i="1"/>
  <c r="M524" i="1"/>
  <c r="E525" i="1"/>
  <c r="F525" i="1"/>
  <c r="K525" i="1"/>
  <c r="L525" i="1"/>
  <c r="M525" i="1"/>
  <c r="E526" i="1"/>
  <c r="F526" i="1"/>
  <c r="K526" i="1"/>
  <c r="L526" i="1"/>
  <c r="M526" i="1"/>
  <c r="E527" i="1"/>
  <c r="F527" i="1"/>
  <c r="K527" i="1"/>
  <c r="L527" i="1"/>
  <c r="M527" i="1"/>
  <c r="E528" i="1"/>
  <c r="F528" i="1"/>
  <c r="K528" i="1"/>
  <c r="L528" i="1"/>
  <c r="M528" i="1"/>
  <c r="E529" i="1"/>
  <c r="F529" i="1"/>
  <c r="K529" i="1"/>
  <c r="L529" i="1"/>
  <c r="M529" i="1"/>
  <c r="E530" i="1"/>
  <c r="F530" i="1"/>
  <c r="K530" i="1"/>
  <c r="L530" i="1"/>
  <c r="M530" i="1"/>
  <c r="E531" i="1"/>
  <c r="F531" i="1"/>
  <c r="K531" i="1"/>
  <c r="L531" i="1"/>
  <c r="M531" i="1"/>
  <c r="E532" i="1"/>
  <c r="F532" i="1"/>
  <c r="K532" i="1"/>
  <c r="L532" i="1"/>
  <c r="M532" i="1"/>
  <c r="E533" i="1"/>
  <c r="F533" i="1"/>
  <c r="K533" i="1"/>
  <c r="L533" i="1"/>
  <c r="M533" i="1"/>
  <c r="E534" i="1"/>
  <c r="F534" i="1"/>
  <c r="K534" i="1"/>
  <c r="L534" i="1"/>
  <c r="M534" i="1"/>
  <c r="E535" i="1"/>
  <c r="F535" i="1"/>
  <c r="K535" i="1"/>
  <c r="L535" i="1"/>
  <c r="M535" i="1"/>
  <c r="E536" i="1"/>
  <c r="F536" i="1"/>
  <c r="K536" i="1"/>
  <c r="L536" i="1"/>
  <c r="M536" i="1"/>
  <c r="E537" i="1"/>
  <c r="F537" i="1"/>
  <c r="K537" i="1"/>
  <c r="L537" i="1"/>
  <c r="M537" i="1"/>
  <c r="E538" i="1"/>
  <c r="F538" i="1"/>
  <c r="K538" i="1"/>
  <c r="L538" i="1"/>
  <c r="M538" i="1"/>
  <c r="E539" i="1"/>
  <c r="F539" i="1"/>
  <c r="K539" i="1"/>
  <c r="L539" i="1"/>
  <c r="M539" i="1"/>
  <c r="E540" i="1"/>
  <c r="F540" i="1"/>
  <c r="K540" i="1"/>
  <c r="N540" i="1" s="1"/>
  <c r="L540" i="1"/>
  <c r="M540" i="1"/>
  <c r="E541" i="1"/>
  <c r="F541" i="1"/>
  <c r="K541" i="1"/>
  <c r="L541" i="1"/>
  <c r="M541" i="1"/>
  <c r="E542" i="1"/>
  <c r="F542" i="1"/>
  <c r="K542" i="1"/>
  <c r="L542" i="1"/>
  <c r="M542" i="1"/>
  <c r="E543" i="1"/>
  <c r="F543" i="1"/>
  <c r="K543" i="1"/>
  <c r="L543" i="1"/>
  <c r="M543" i="1"/>
  <c r="E544" i="1"/>
  <c r="F544" i="1"/>
  <c r="K544" i="1"/>
  <c r="L544" i="1"/>
  <c r="M544" i="1"/>
  <c r="E545" i="1"/>
  <c r="F545" i="1"/>
  <c r="K545" i="1"/>
  <c r="L545" i="1"/>
  <c r="M545" i="1"/>
  <c r="E546" i="1"/>
  <c r="F546" i="1"/>
  <c r="K546" i="1"/>
  <c r="L546" i="1"/>
  <c r="M546" i="1"/>
  <c r="E547" i="1"/>
  <c r="F547" i="1"/>
  <c r="K547" i="1"/>
  <c r="L547" i="1"/>
  <c r="M547" i="1"/>
  <c r="E548" i="1"/>
  <c r="F548" i="1"/>
  <c r="K548" i="1"/>
  <c r="L548" i="1"/>
  <c r="M548" i="1"/>
  <c r="E549" i="1"/>
  <c r="F549" i="1"/>
  <c r="K549" i="1"/>
  <c r="L549" i="1"/>
  <c r="M549" i="1"/>
  <c r="E550" i="1"/>
  <c r="F550" i="1"/>
  <c r="K550" i="1"/>
  <c r="L550" i="1"/>
  <c r="M550" i="1"/>
  <c r="E551" i="1"/>
  <c r="F551" i="1"/>
  <c r="K551" i="1"/>
  <c r="L551" i="1"/>
  <c r="M551" i="1"/>
  <c r="E552" i="1"/>
  <c r="F552" i="1"/>
  <c r="K552" i="1"/>
  <c r="L552" i="1"/>
  <c r="M552" i="1"/>
  <c r="E553" i="1"/>
  <c r="F553" i="1"/>
  <c r="K553" i="1"/>
  <c r="L553" i="1"/>
  <c r="M553" i="1"/>
  <c r="E554" i="1"/>
  <c r="F554" i="1"/>
  <c r="K554" i="1"/>
  <c r="L554" i="1"/>
  <c r="M554" i="1"/>
  <c r="E555" i="1"/>
  <c r="F555" i="1"/>
  <c r="K555" i="1"/>
  <c r="L555" i="1"/>
  <c r="M555" i="1"/>
  <c r="E556" i="1"/>
  <c r="F556" i="1"/>
  <c r="K556" i="1"/>
  <c r="N556" i="1" s="1"/>
  <c r="L556" i="1"/>
  <c r="M556" i="1"/>
  <c r="E557" i="1"/>
  <c r="F557" i="1"/>
  <c r="K557" i="1"/>
  <c r="L557" i="1"/>
  <c r="M557" i="1"/>
  <c r="E558" i="1"/>
  <c r="F558" i="1"/>
  <c r="K558" i="1"/>
  <c r="L558" i="1"/>
  <c r="M558" i="1"/>
  <c r="E559" i="1"/>
  <c r="F559" i="1"/>
  <c r="K559" i="1"/>
  <c r="L559" i="1"/>
  <c r="M559" i="1"/>
  <c r="E560" i="1"/>
  <c r="F560" i="1"/>
  <c r="K560" i="1"/>
  <c r="L560" i="1"/>
  <c r="M560" i="1"/>
  <c r="E561" i="1"/>
  <c r="F561" i="1"/>
  <c r="K561" i="1"/>
  <c r="L561" i="1"/>
  <c r="M561" i="1"/>
  <c r="E562" i="1"/>
  <c r="F562" i="1"/>
  <c r="K562" i="1"/>
  <c r="L562" i="1"/>
  <c r="M562" i="1"/>
  <c r="E563" i="1"/>
  <c r="F563" i="1"/>
  <c r="K563" i="1"/>
  <c r="L563" i="1"/>
  <c r="M563" i="1"/>
  <c r="E564" i="1"/>
  <c r="F564" i="1"/>
  <c r="K564" i="1"/>
  <c r="L564" i="1"/>
  <c r="M564" i="1"/>
  <c r="E565" i="1"/>
  <c r="F565" i="1"/>
  <c r="K565" i="1"/>
  <c r="L565" i="1"/>
  <c r="M565" i="1"/>
  <c r="G36" i="1" l="1"/>
  <c r="J178" i="1"/>
  <c r="G176" i="1"/>
  <c r="G29" i="1"/>
  <c r="I423" i="1"/>
  <c r="J176" i="1"/>
  <c r="J170" i="1"/>
  <c r="G112" i="1"/>
  <c r="G152" i="1"/>
  <c r="I317" i="1"/>
  <c r="G183" i="1"/>
  <c r="G146" i="1"/>
  <c r="I353" i="1"/>
  <c r="I345" i="1"/>
  <c r="H335" i="1"/>
  <c r="H268" i="1"/>
  <c r="I178" i="1"/>
  <c r="I170" i="1"/>
  <c r="I349" i="1"/>
  <c r="I206" i="1"/>
  <c r="I176" i="1"/>
  <c r="I421" i="1"/>
  <c r="I337" i="1"/>
  <c r="H303" i="1"/>
  <c r="H292" i="1"/>
  <c r="J564" i="1"/>
  <c r="J560" i="1"/>
  <c r="J548" i="1"/>
  <c r="J544" i="1"/>
  <c r="J528" i="1"/>
  <c r="J460" i="1"/>
  <c r="J368" i="1"/>
  <c r="J364" i="1"/>
  <c r="G362" i="1"/>
  <c r="I343" i="1"/>
  <c r="H298" i="1"/>
  <c r="G274" i="1"/>
  <c r="J272" i="1"/>
  <c r="G270" i="1"/>
  <c r="G266" i="1"/>
  <c r="I210" i="1"/>
  <c r="I205" i="1"/>
  <c r="I198" i="1"/>
  <c r="H196" i="1"/>
  <c r="N178" i="1"/>
  <c r="N176" i="1"/>
  <c r="I541" i="1"/>
  <c r="H419" i="1"/>
  <c r="H415" i="1"/>
  <c r="G482" i="1"/>
  <c r="G462" i="1"/>
  <c r="G260" i="1"/>
  <c r="J238" i="1"/>
  <c r="I545" i="1"/>
  <c r="N544" i="1"/>
  <c r="I543" i="1"/>
  <c r="J273" i="1"/>
  <c r="J265" i="1"/>
  <c r="G263" i="1"/>
  <c r="I245" i="1"/>
  <c r="G239" i="1"/>
  <c r="I461" i="1"/>
  <c r="N460" i="1"/>
  <c r="I447" i="1"/>
  <c r="I401" i="1"/>
  <c r="I397" i="1"/>
  <c r="H387" i="1"/>
  <c r="I385" i="1"/>
  <c r="H383" i="1"/>
  <c r="H265" i="1"/>
  <c r="J246" i="1"/>
  <c r="I230" i="1"/>
  <c r="I226" i="1"/>
  <c r="I221" i="1"/>
  <c r="J181" i="1"/>
  <c r="G125" i="1"/>
  <c r="G113" i="1"/>
  <c r="G56" i="1"/>
  <c r="G506" i="1"/>
  <c r="J468" i="1"/>
  <c r="G466" i="1"/>
  <c r="J464" i="1"/>
  <c r="J436" i="1"/>
  <c r="G434" i="1"/>
  <c r="J432" i="1"/>
  <c r="G422" i="1"/>
  <c r="J396" i="1"/>
  <c r="G394" i="1"/>
  <c r="G386" i="1"/>
  <c r="G378" i="1"/>
  <c r="J360" i="1"/>
  <c r="G358" i="1"/>
  <c r="J220" i="1"/>
  <c r="G192" i="1"/>
  <c r="G184" i="1"/>
  <c r="G38" i="1"/>
  <c r="G166" i="1"/>
  <c r="G67" i="1"/>
  <c r="J508" i="1"/>
  <c r="J500" i="1"/>
  <c r="G490" i="1"/>
  <c r="I519" i="1"/>
  <c r="I515" i="1"/>
  <c r="I511" i="1"/>
  <c r="I481" i="1"/>
  <c r="I477" i="1"/>
  <c r="I433" i="1"/>
  <c r="I407" i="1"/>
  <c r="I383" i="1"/>
  <c r="I262" i="1"/>
  <c r="H225" i="1"/>
  <c r="H221" i="1"/>
  <c r="I557" i="1"/>
  <c r="I529" i="1"/>
  <c r="N528" i="1"/>
  <c r="I527" i="1"/>
  <c r="H494" i="1"/>
  <c r="I425" i="1"/>
  <c r="I377" i="1"/>
  <c r="I369" i="1"/>
  <c r="N368" i="1"/>
  <c r="I367" i="1"/>
  <c r="I313" i="1"/>
  <c r="I309" i="1"/>
  <c r="H281" i="1"/>
  <c r="H277" i="1"/>
  <c r="I269" i="1"/>
  <c r="N268" i="1"/>
  <c r="N266" i="1"/>
  <c r="J266" i="1"/>
  <c r="N246" i="1"/>
  <c r="H220" i="1"/>
  <c r="I186" i="1"/>
  <c r="J556" i="1"/>
  <c r="J400" i="1"/>
  <c r="G398" i="1"/>
  <c r="G300" i="1"/>
  <c r="G296" i="1"/>
  <c r="J288" i="1"/>
  <c r="J250" i="1"/>
  <c r="J249" i="1"/>
  <c r="G247" i="1"/>
  <c r="G66" i="1"/>
  <c r="J520" i="1"/>
  <c r="G406" i="1"/>
  <c r="I561" i="1"/>
  <c r="N560" i="1"/>
  <c r="I559" i="1"/>
  <c r="I551" i="1"/>
  <c r="J536" i="1"/>
  <c r="I535" i="1"/>
  <c r="J532" i="1"/>
  <c r="I525" i="1"/>
  <c r="J488" i="1"/>
  <c r="N432" i="1"/>
  <c r="I431" i="1"/>
  <c r="G418" i="1"/>
  <c r="J408" i="1"/>
  <c r="I405" i="1"/>
  <c r="I375" i="1"/>
  <c r="I361" i="1"/>
  <c r="I305" i="1"/>
  <c r="I274" i="1"/>
  <c r="I266" i="1"/>
  <c r="J228" i="1"/>
  <c r="G224" i="1"/>
  <c r="J208" i="1"/>
  <c r="G206" i="1"/>
  <c r="G191" i="1"/>
  <c r="N181" i="1"/>
  <c r="H180" i="1"/>
  <c r="G64" i="1"/>
  <c r="G42" i="1"/>
  <c r="G100" i="1"/>
  <c r="G10" i="1"/>
  <c r="I562" i="1"/>
  <c r="I550" i="1"/>
  <c r="I546" i="1"/>
  <c r="J540" i="1"/>
  <c r="I534" i="1"/>
  <c r="I530" i="1"/>
  <c r="J524" i="1"/>
  <c r="I518" i="1"/>
  <c r="H515" i="1"/>
  <c r="I513" i="1"/>
  <c r="G502" i="1"/>
  <c r="I491" i="1"/>
  <c r="I489" i="1"/>
  <c r="N488" i="1"/>
  <c r="I487" i="1"/>
  <c r="G486" i="1"/>
  <c r="J472" i="1"/>
  <c r="G470" i="1"/>
  <c r="I465" i="1"/>
  <c r="H462" i="1"/>
  <c r="J444" i="1"/>
  <c r="I441" i="1"/>
  <c r="I437" i="1"/>
  <c r="J424" i="1"/>
  <c r="H403" i="1"/>
  <c r="I391" i="1"/>
  <c r="I359" i="1"/>
  <c r="G354" i="1"/>
  <c r="I351" i="1"/>
  <c r="J340" i="1"/>
  <c r="G338" i="1"/>
  <c r="J336" i="1"/>
  <c r="G310" i="1"/>
  <c r="N303" i="1"/>
  <c r="G302" i="1"/>
  <c r="N298" i="1"/>
  <c r="J298" i="1"/>
  <c r="N292" i="1"/>
  <c r="I278" i="1"/>
  <c r="N277" i="1"/>
  <c r="J264" i="1"/>
  <c r="G252" i="1"/>
  <c r="J230" i="1"/>
  <c r="H217" i="1"/>
  <c r="G215" i="1"/>
  <c r="J212" i="1"/>
  <c r="G210" i="1"/>
  <c r="J209" i="1"/>
  <c r="H201" i="1"/>
  <c r="J200" i="1"/>
  <c r="J197" i="1"/>
  <c r="I194" i="1"/>
  <c r="H188" i="1"/>
  <c r="G167" i="1"/>
  <c r="G50" i="1"/>
  <c r="J456" i="1"/>
  <c r="J428" i="1"/>
  <c r="G426" i="1"/>
  <c r="G402" i="1"/>
  <c r="G374" i="1"/>
  <c r="J372" i="1"/>
  <c r="J344" i="1"/>
  <c r="J316" i="1"/>
  <c r="G314" i="1"/>
  <c r="G295" i="1"/>
  <c r="J292" i="1"/>
  <c r="G287" i="1"/>
  <c r="G280" i="1"/>
  <c r="J254" i="1"/>
  <c r="J242" i="1"/>
  <c r="G199" i="1"/>
  <c r="J194" i="1"/>
  <c r="J189" i="1"/>
  <c r="G187" i="1"/>
  <c r="G168" i="1"/>
  <c r="G151" i="1"/>
  <c r="G86" i="1"/>
  <c r="G81" i="1"/>
  <c r="G111" i="1"/>
  <c r="J496" i="1"/>
  <c r="J492" i="1"/>
  <c r="J380" i="1"/>
  <c r="I563" i="1"/>
  <c r="I555" i="1"/>
  <c r="J552" i="1"/>
  <c r="I547" i="1"/>
  <c r="I539" i="1"/>
  <c r="I531" i="1"/>
  <c r="I523" i="1"/>
  <c r="I505" i="1"/>
  <c r="I501" i="1"/>
  <c r="I485" i="1"/>
  <c r="H479" i="1"/>
  <c r="I471" i="1"/>
  <c r="I453" i="1"/>
  <c r="I439" i="1"/>
  <c r="I413" i="1"/>
  <c r="I381" i="1"/>
  <c r="H351" i="1"/>
  <c r="I335" i="1"/>
  <c r="N288" i="1"/>
  <c r="H284" i="1"/>
  <c r="N265" i="1"/>
  <c r="H261" i="1"/>
  <c r="I222" i="1"/>
  <c r="N221" i="1"/>
  <c r="I218" i="1"/>
  <c r="H209" i="1"/>
  <c r="I192" i="1"/>
  <c r="G51" i="1"/>
  <c r="G24" i="1"/>
  <c r="G96" i="1"/>
  <c r="G91" i="1"/>
  <c r="G97" i="1"/>
  <c r="G78" i="1"/>
  <c r="G84" i="1"/>
  <c r="G87" i="1"/>
  <c r="G32" i="1"/>
  <c r="G139" i="1"/>
  <c r="G20" i="1"/>
  <c r="N564" i="1"/>
  <c r="I554" i="1"/>
  <c r="I538" i="1"/>
  <c r="N532" i="1"/>
  <c r="I522" i="1"/>
  <c r="I514" i="1"/>
  <c r="H511" i="1"/>
  <c r="I503" i="1"/>
  <c r="I497" i="1"/>
  <c r="N496" i="1"/>
  <c r="I495" i="1"/>
  <c r="H467" i="1"/>
  <c r="H451" i="1"/>
  <c r="H447" i="1"/>
  <c r="N436" i="1"/>
  <c r="I417" i="1"/>
  <c r="H399" i="1"/>
  <c r="H390" i="1"/>
  <c r="I389" i="1"/>
  <c r="H375" i="1"/>
  <c r="H355" i="1"/>
  <c r="H347" i="1"/>
  <c r="I341" i="1"/>
  <c r="N340" i="1"/>
  <c r="H334" i="1"/>
  <c r="G334" i="1"/>
  <c r="I329" i="1"/>
  <c r="H326" i="1"/>
  <c r="H323" i="1"/>
  <c r="H319" i="1"/>
  <c r="J312" i="1"/>
  <c r="I285" i="1"/>
  <c r="N284" i="1"/>
  <c r="H269" i="1"/>
  <c r="N269" i="1"/>
  <c r="G262" i="1"/>
  <c r="J262" i="1"/>
  <c r="N262" i="1"/>
  <c r="N254" i="1"/>
  <c r="N250" i="1"/>
  <c r="J224" i="1"/>
  <c r="J216" i="1"/>
  <c r="N216" i="1"/>
  <c r="H276" i="1"/>
  <c r="N276" i="1"/>
  <c r="H213" i="1"/>
  <c r="N213" i="1"/>
  <c r="I565" i="1"/>
  <c r="I549" i="1"/>
  <c r="N548" i="1"/>
  <c r="I533" i="1"/>
  <c r="I517" i="1"/>
  <c r="I558" i="1"/>
  <c r="I553" i="1"/>
  <c r="N552" i="1"/>
  <c r="I542" i="1"/>
  <c r="I537" i="1"/>
  <c r="N536" i="1"/>
  <c r="I526" i="1"/>
  <c r="I521" i="1"/>
  <c r="N520" i="1"/>
  <c r="I509" i="1"/>
  <c r="H503" i="1"/>
  <c r="H483" i="1"/>
  <c r="I479" i="1"/>
  <c r="H475" i="1"/>
  <c r="I473" i="1"/>
  <c r="I469" i="1"/>
  <c r="H463" i="1"/>
  <c r="G458" i="1"/>
  <c r="H454" i="1"/>
  <c r="G450" i="1"/>
  <c r="I449" i="1"/>
  <c r="I445" i="1"/>
  <c r="H439" i="1"/>
  <c r="G438" i="1"/>
  <c r="H430" i="1"/>
  <c r="I415" i="1"/>
  <c r="H411" i="1"/>
  <c r="I409" i="1"/>
  <c r="J404" i="1"/>
  <c r="H398" i="1"/>
  <c r="N380" i="1"/>
  <c r="J376" i="1"/>
  <c r="I373" i="1"/>
  <c r="N372" i="1"/>
  <c r="G370" i="1"/>
  <c r="H366" i="1"/>
  <c r="I357" i="1"/>
  <c r="J348" i="1"/>
  <c r="G346" i="1"/>
  <c r="G326" i="1"/>
  <c r="I325" i="1"/>
  <c r="G322" i="1"/>
  <c r="J308" i="1"/>
  <c r="I290" i="1"/>
  <c r="H285" i="1"/>
  <c r="N285" i="1"/>
  <c r="J276" i="1"/>
  <c r="J258" i="1"/>
  <c r="N258" i="1"/>
  <c r="J236" i="1"/>
  <c r="N236" i="1"/>
  <c r="J234" i="1"/>
  <c r="G232" i="1"/>
  <c r="H204" i="1"/>
  <c r="N204" i="1"/>
  <c r="N194" i="1"/>
  <c r="N192" i="1"/>
  <c r="J192" i="1"/>
  <c r="G240" i="1"/>
  <c r="J240" i="1"/>
  <c r="N240" i="1"/>
  <c r="J504" i="1"/>
  <c r="G498" i="1"/>
  <c r="J476" i="1"/>
  <c r="I455" i="1"/>
  <c r="J440" i="1"/>
  <c r="I427" i="1"/>
  <c r="J412" i="1"/>
  <c r="G410" i="1"/>
  <c r="J392" i="1"/>
  <c r="I363" i="1"/>
  <c r="J332" i="1"/>
  <c r="N332" i="1"/>
  <c r="J294" i="1"/>
  <c r="J280" i="1"/>
  <c r="G264" i="1"/>
  <c r="N264" i="1"/>
  <c r="J244" i="1"/>
  <c r="I234" i="1"/>
  <c r="H228" i="1"/>
  <c r="N228" i="1"/>
  <c r="I202" i="1"/>
  <c r="N201" i="1"/>
  <c r="I200" i="1"/>
  <c r="J184" i="1"/>
  <c r="N184" i="1"/>
  <c r="J173" i="1"/>
  <c r="N173" i="1"/>
  <c r="G70" i="1"/>
  <c r="H343" i="1"/>
  <c r="G342" i="1"/>
  <c r="I333" i="1"/>
  <c r="G330" i="1"/>
  <c r="J328" i="1"/>
  <c r="I319" i="1"/>
  <c r="H315" i="1"/>
  <c r="G306" i="1"/>
  <c r="J304" i="1"/>
  <c r="I303" i="1"/>
  <c r="I294" i="1"/>
  <c r="G292" i="1"/>
  <c r="H289" i="1"/>
  <c r="G288" i="1"/>
  <c r="I286" i="1"/>
  <c r="J284" i="1"/>
  <c r="I282" i="1"/>
  <c r="G279" i="1"/>
  <c r="H273" i="1"/>
  <c r="G271" i="1"/>
  <c r="I270" i="1"/>
  <c r="J268" i="1"/>
  <c r="J257" i="1"/>
  <c r="G255" i="1"/>
  <c r="I237" i="1"/>
  <c r="G231" i="1"/>
  <c r="J204" i="1"/>
  <c r="G202" i="1"/>
  <c r="J202" i="1"/>
  <c r="N202" i="1"/>
  <c r="J186" i="1"/>
  <c r="N186" i="1"/>
  <c r="J168" i="1"/>
  <c r="G4" i="1"/>
  <c r="G223" i="1"/>
  <c r="G220" i="1"/>
  <c r="G216" i="1"/>
  <c r="G207" i="1"/>
  <c r="G175" i="1"/>
  <c r="G21" i="1"/>
  <c r="G123" i="1"/>
  <c r="G154" i="1"/>
  <c r="I214" i="1"/>
  <c r="H212" i="1"/>
  <c r="H205" i="1"/>
  <c r="J201" i="1"/>
  <c r="H197" i="1"/>
  <c r="G195" i="1"/>
  <c r="H176" i="1"/>
  <c r="G72" i="1"/>
  <c r="G130" i="1"/>
  <c r="G47" i="1"/>
  <c r="G11" i="1"/>
  <c r="G76" i="1"/>
  <c r="G99" i="1"/>
  <c r="J448" i="1"/>
  <c r="N448" i="1"/>
  <c r="J388" i="1"/>
  <c r="N388" i="1"/>
  <c r="H350" i="1"/>
  <c r="G350" i="1"/>
  <c r="J324" i="1"/>
  <c r="N324" i="1"/>
  <c r="G290" i="1"/>
  <c r="J290" i="1"/>
  <c r="N290" i="1"/>
  <c r="H233" i="1"/>
  <c r="J233" i="1"/>
  <c r="N233" i="1"/>
  <c r="H229" i="1"/>
  <c r="N229" i="1"/>
  <c r="G218" i="1"/>
  <c r="J218" i="1"/>
  <c r="N218" i="1"/>
  <c r="H185" i="1"/>
  <c r="J185" i="1"/>
  <c r="N185" i="1"/>
  <c r="G174" i="1"/>
  <c r="J174" i="1"/>
  <c r="N174" i="1"/>
  <c r="G57" i="1"/>
  <c r="G27" i="1"/>
  <c r="H510" i="1"/>
  <c r="G510" i="1"/>
  <c r="G494" i="1"/>
  <c r="I493" i="1"/>
  <c r="N492" i="1"/>
  <c r="J480" i="1"/>
  <c r="N480" i="1"/>
  <c r="H471" i="1"/>
  <c r="N468" i="1"/>
  <c r="N464" i="1"/>
  <c r="I463" i="1"/>
  <c r="H443" i="1"/>
  <c r="H435" i="1"/>
  <c r="H431" i="1"/>
  <c r="H422" i="1"/>
  <c r="J420" i="1"/>
  <c r="N420" i="1"/>
  <c r="I395" i="1"/>
  <c r="I393" i="1"/>
  <c r="N392" i="1"/>
  <c r="G390" i="1"/>
  <c r="H382" i="1"/>
  <c r="G382" i="1"/>
  <c r="G366" i="1"/>
  <c r="I365" i="1"/>
  <c r="N364" i="1"/>
  <c r="J352" i="1"/>
  <c r="N352" i="1"/>
  <c r="J320" i="1"/>
  <c r="N320" i="1"/>
  <c r="I307" i="1"/>
  <c r="N304" i="1"/>
  <c r="I301" i="1"/>
  <c r="N296" i="1"/>
  <c r="J296" i="1"/>
  <c r="G286" i="1"/>
  <c r="J286" i="1"/>
  <c r="N286" i="1"/>
  <c r="N281" i="1"/>
  <c r="J281" i="1"/>
  <c r="G276" i="1"/>
  <c r="N274" i="1"/>
  <c r="J274" i="1"/>
  <c r="I253" i="1"/>
  <c r="N244" i="1"/>
  <c r="H241" i="1"/>
  <c r="J241" i="1"/>
  <c r="N241" i="1"/>
  <c r="H237" i="1"/>
  <c r="N237" i="1"/>
  <c r="N225" i="1"/>
  <c r="J225" i="1"/>
  <c r="G214" i="1"/>
  <c r="J214" i="1"/>
  <c r="N214" i="1"/>
  <c r="G208" i="1"/>
  <c r="N206" i="1"/>
  <c r="J206" i="1"/>
  <c r="G198" i="1"/>
  <c r="J198" i="1"/>
  <c r="N198" i="1"/>
  <c r="G49" i="1"/>
  <c r="G12" i="1"/>
  <c r="G61" i="1"/>
  <c r="G204" i="1"/>
  <c r="J512" i="1"/>
  <c r="N512" i="1"/>
  <c r="G442" i="1"/>
  <c r="H414" i="1"/>
  <c r="G414" i="1"/>
  <c r="J384" i="1"/>
  <c r="N384" i="1"/>
  <c r="H293" i="1"/>
  <c r="N293" i="1"/>
  <c r="G284" i="1"/>
  <c r="G282" i="1"/>
  <c r="J282" i="1"/>
  <c r="N282" i="1"/>
  <c r="G268" i="1"/>
  <c r="G228" i="1"/>
  <c r="G226" i="1"/>
  <c r="J226" i="1"/>
  <c r="N226" i="1"/>
  <c r="H200" i="1"/>
  <c r="I168" i="1"/>
  <c r="H168" i="1"/>
  <c r="G138" i="1"/>
  <c r="G25" i="1"/>
  <c r="G133" i="1"/>
  <c r="J516" i="1"/>
  <c r="N516" i="1"/>
  <c r="H478" i="1"/>
  <c r="G478" i="1"/>
  <c r="H318" i="1"/>
  <c r="G318" i="1"/>
  <c r="G244" i="1"/>
  <c r="H244" i="1"/>
  <c r="J172" i="1"/>
  <c r="N172" i="1"/>
  <c r="G172" i="1"/>
  <c r="H172" i="1"/>
  <c r="G45" i="1"/>
  <c r="G17" i="1"/>
  <c r="J452" i="1"/>
  <c r="N452" i="1"/>
  <c r="H563" i="1"/>
  <c r="H559" i="1"/>
  <c r="H555" i="1"/>
  <c r="H551" i="1"/>
  <c r="H547" i="1"/>
  <c r="H543" i="1"/>
  <c r="H539" i="1"/>
  <c r="H535" i="1"/>
  <c r="H531" i="1"/>
  <c r="H527" i="1"/>
  <c r="H523" i="1"/>
  <c r="H519" i="1"/>
  <c r="H507" i="1"/>
  <c r="H499" i="1"/>
  <c r="H495" i="1"/>
  <c r="H486" i="1"/>
  <c r="J484" i="1"/>
  <c r="N484" i="1"/>
  <c r="G474" i="1"/>
  <c r="I459" i="1"/>
  <c r="I457" i="1"/>
  <c r="N456" i="1"/>
  <c r="G454" i="1"/>
  <c r="H446" i="1"/>
  <c r="G446" i="1"/>
  <c r="G430" i="1"/>
  <c r="I429" i="1"/>
  <c r="N428" i="1"/>
  <c r="J416" i="1"/>
  <c r="N416" i="1"/>
  <c r="H407" i="1"/>
  <c r="N404" i="1"/>
  <c r="N400" i="1"/>
  <c r="I399" i="1"/>
  <c r="H379" i="1"/>
  <c r="H371" i="1"/>
  <c r="H367" i="1"/>
  <c r="H358" i="1"/>
  <c r="J356" i="1"/>
  <c r="N356" i="1"/>
  <c r="H339" i="1"/>
  <c r="I331" i="1"/>
  <c r="N328" i="1"/>
  <c r="I327" i="1"/>
  <c r="I321" i="1"/>
  <c r="H311" i="1"/>
  <c r="N311" i="1"/>
  <c r="H300" i="1"/>
  <c r="J300" i="1"/>
  <c r="N300" i="1"/>
  <c r="N289" i="1"/>
  <c r="J289" i="1"/>
  <c r="G278" i="1"/>
  <c r="J278" i="1"/>
  <c r="N278" i="1"/>
  <c r="G272" i="1"/>
  <c r="N270" i="1"/>
  <c r="J270" i="1"/>
  <c r="H260" i="1"/>
  <c r="J260" i="1"/>
  <c r="N260" i="1"/>
  <c r="G256" i="1"/>
  <c r="J256" i="1"/>
  <c r="N256" i="1"/>
  <c r="H252" i="1"/>
  <c r="J252" i="1"/>
  <c r="N252" i="1"/>
  <c r="G248" i="1"/>
  <c r="J248" i="1"/>
  <c r="N248" i="1"/>
  <c r="I242" i="1"/>
  <c r="I238" i="1"/>
  <c r="G236" i="1"/>
  <c r="H236" i="1"/>
  <c r="N232" i="1"/>
  <c r="J232" i="1"/>
  <c r="G222" i="1"/>
  <c r="J222" i="1"/>
  <c r="N222" i="1"/>
  <c r="N217" i="1"/>
  <c r="J217" i="1"/>
  <c r="G212" i="1"/>
  <c r="N210" i="1"/>
  <c r="J210" i="1"/>
  <c r="G200" i="1"/>
  <c r="H193" i="1"/>
  <c r="J193" i="1"/>
  <c r="N193" i="1"/>
  <c r="G182" i="1"/>
  <c r="J182" i="1"/>
  <c r="N182" i="1"/>
  <c r="G180" i="1"/>
  <c r="J180" i="1"/>
  <c r="N180" i="1"/>
  <c r="G88" i="1"/>
  <c r="I507" i="1"/>
  <c r="H502" i="1"/>
  <c r="H491" i="1"/>
  <c r="H487" i="1"/>
  <c r="I475" i="1"/>
  <c r="H470" i="1"/>
  <c r="H459" i="1"/>
  <c r="H455" i="1"/>
  <c r="I443" i="1"/>
  <c r="H438" i="1"/>
  <c r="H427" i="1"/>
  <c r="H423" i="1"/>
  <c r="I411" i="1"/>
  <c r="H406" i="1"/>
  <c r="H395" i="1"/>
  <c r="H391" i="1"/>
  <c r="I379" i="1"/>
  <c r="H374" i="1"/>
  <c r="H363" i="1"/>
  <c r="H359" i="1"/>
  <c r="I347" i="1"/>
  <c r="H342" i="1"/>
  <c r="H331" i="1"/>
  <c r="H327" i="1"/>
  <c r="I315" i="1"/>
  <c r="H307" i="1"/>
  <c r="G294" i="1"/>
  <c r="I277" i="1"/>
  <c r="I258" i="1"/>
  <c r="H257" i="1"/>
  <c r="I254" i="1"/>
  <c r="H253" i="1"/>
  <c r="I250" i="1"/>
  <c r="H249" i="1"/>
  <c r="I246" i="1"/>
  <c r="H245" i="1"/>
  <c r="G242" i="1"/>
  <c r="G238" i="1"/>
  <c r="G234" i="1"/>
  <c r="G230" i="1"/>
  <c r="I213" i="1"/>
  <c r="G196" i="1"/>
  <c r="J196" i="1"/>
  <c r="N196" i="1"/>
  <c r="H192" i="1"/>
  <c r="I184" i="1"/>
  <c r="H184" i="1"/>
  <c r="G179" i="1"/>
  <c r="H177" i="1"/>
  <c r="J177" i="1"/>
  <c r="N177" i="1"/>
  <c r="G147" i="1"/>
  <c r="G109" i="1"/>
  <c r="G77" i="1"/>
  <c r="G89" i="1"/>
  <c r="G119" i="1"/>
  <c r="G95" i="1"/>
  <c r="G165" i="1"/>
  <c r="I311" i="1"/>
  <c r="G298" i="1"/>
  <c r="G258" i="1"/>
  <c r="G254" i="1"/>
  <c r="G250" i="1"/>
  <c r="G246" i="1"/>
  <c r="G190" i="1"/>
  <c r="J190" i="1"/>
  <c r="N190" i="1"/>
  <c r="J188" i="1"/>
  <c r="N188" i="1"/>
  <c r="G188" i="1"/>
  <c r="G171" i="1"/>
  <c r="H169" i="1"/>
  <c r="J169" i="1"/>
  <c r="N169" i="1"/>
  <c r="G157" i="1"/>
  <c r="G144" i="1"/>
  <c r="G59" i="1"/>
  <c r="G155" i="1"/>
  <c r="G94" i="1"/>
  <c r="G90" i="1"/>
  <c r="G127" i="1"/>
  <c r="G37" i="1"/>
  <c r="I188" i="1"/>
  <c r="G186" i="1"/>
  <c r="I182" i="1"/>
  <c r="H181" i="1"/>
  <c r="I172" i="1"/>
  <c r="G170" i="1"/>
  <c r="G31" i="1"/>
  <c r="G161" i="1"/>
  <c r="G106" i="1"/>
  <c r="G117" i="1"/>
  <c r="G160" i="1"/>
  <c r="G140" i="1"/>
  <c r="G43" i="1"/>
  <c r="G129" i="1"/>
  <c r="I196" i="1"/>
  <c r="G194" i="1"/>
  <c r="I190" i="1"/>
  <c r="H189" i="1"/>
  <c r="I180" i="1"/>
  <c r="G178" i="1"/>
  <c r="I174" i="1"/>
  <c r="H173" i="1"/>
  <c r="G15" i="1"/>
  <c r="G14" i="1"/>
  <c r="G48" i="1"/>
  <c r="G9" i="1"/>
  <c r="G8" i="1"/>
  <c r="G62" i="1"/>
  <c r="G110" i="1"/>
  <c r="G16" i="1"/>
  <c r="G98" i="1"/>
  <c r="G159" i="1"/>
  <c r="G162" i="1"/>
  <c r="G73" i="1"/>
  <c r="G148" i="1"/>
  <c r="G150" i="1"/>
  <c r="G22" i="1"/>
  <c r="G34" i="1"/>
  <c r="G135" i="1"/>
  <c r="G142" i="1"/>
  <c r="G26" i="1"/>
  <c r="G158" i="1"/>
  <c r="G6" i="1"/>
  <c r="G499" i="1"/>
  <c r="I498" i="1"/>
  <c r="J497" i="1"/>
  <c r="N497" i="1"/>
  <c r="G497" i="1"/>
  <c r="H497" i="1"/>
  <c r="G483" i="1"/>
  <c r="I482" i="1"/>
  <c r="J481" i="1"/>
  <c r="N481" i="1"/>
  <c r="G481" i="1"/>
  <c r="H481" i="1"/>
  <c r="G467" i="1"/>
  <c r="I466" i="1"/>
  <c r="J465" i="1"/>
  <c r="N465" i="1"/>
  <c r="G465" i="1"/>
  <c r="H465" i="1"/>
  <c r="G451" i="1"/>
  <c r="I450" i="1"/>
  <c r="J449" i="1"/>
  <c r="N449" i="1"/>
  <c r="G449" i="1"/>
  <c r="H449" i="1"/>
  <c r="G435" i="1"/>
  <c r="I434" i="1"/>
  <c r="J433" i="1"/>
  <c r="N433" i="1"/>
  <c r="G433" i="1"/>
  <c r="H433" i="1"/>
  <c r="G419" i="1"/>
  <c r="I418" i="1"/>
  <c r="J417" i="1"/>
  <c r="N417" i="1"/>
  <c r="G417" i="1"/>
  <c r="H417" i="1"/>
  <c r="G403" i="1"/>
  <c r="I402" i="1"/>
  <c r="J401" i="1"/>
  <c r="N401" i="1"/>
  <c r="G401" i="1"/>
  <c r="H401" i="1"/>
  <c r="G387" i="1"/>
  <c r="I386" i="1"/>
  <c r="J385" i="1"/>
  <c r="N385" i="1"/>
  <c r="G385" i="1"/>
  <c r="H385" i="1"/>
  <c r="G371" i="1"/>
  <c r="I370" i="1"/>
  <c r="J369" i="1"/>
  <c r="N369" i="1"/>
  <c r="G369" i="1"/>
  <c r="H369" i="1"/>
  <c r="G355" i="1"/>
  <c r="I354" i="1"/>
  <c r="J353" i="1"/>
  <c r="N353" i="1"/>
  <c r="G353" i="1"/>
  <c r="H353" i="1"/>
  <c r="G339" i="1"/>
  <c r="I338" i="1"/>
  <c r="J337" i="1"/>
  <c r="N337" i="1"/>
  <c r="G337" i="1"/>
  <c r="H337" i="1"/>
  <c r="G323" i="1"/>
  <c r="I322" i="1"/>
  <c r="J321" i="1"/>
  <c r="N321" i="1"/>
  <c r="G321" i="1"/>
  <c r="H321" i="1"/>
  <c r="J293" i="1"/>
  <c r="I291" i="1"/>
  <c r="I288" i="1"/>
  <c r="H288" i="1"/>
  <c r="J261" i="1"/>
  <c r="I259" i="1"/>
  <c r="I256" i="1"/>
  <c r="H256" i="1"/>
  <c r="J229" i="1"/>
  <c r="I227" i="1"/>
  <c r="I224" i="1"/>
  <c r="H224" i="1"/>
  <c r="I187" i="1"/>
  <c r="G503" i="1"/>
  <c r="I502" i="1"/>
  <c r="J501" i="1"/>
  <c r="N501" i="1"/>
  <c r="G501" i="1"/>
  <c r="H501" i="1"/>
  <c r="H498" i="1"/>
  <c r="G487" i="1"/>
  <c r="I486" i="1"/>
  <c r="J485" i="1"/>
  <c r="N485" i="1"/>
  <c r="G485" i="1"/>
  <c r="H485" i="1"/>
  <c r="H482" i="1"/>
  <c r="G471" i="1"/>
  <c r="I470" i="1"/>
  <c r="J469" i="1"/>
  <c r="N469" i="1"/>
  <c r="G469" i="1"/>
  <c r="H469" i="1"/>
  <c r="H466" i="1"/>
  <c r="G455" i="1"/>
  <c r="I454" i="1"/>
  <c r="J453" i="1"/>
  <c r="N453" i="1"/>
  <c r="G453" i="1"/>
  <c r="H453" i="1"/>
  <c r="H450" i="1"/>
  <c r="G439" i="1"/>
  <c r="I438" i="1"/>
  <c r="J437" i="1"/>
  <c r="N437" i="1"/>
  <c r="G437" i="1"/>
  <c r="H437" i="1"/>
  <c r="H434" i="1"/>
  <c r="G423" i="1"/>
  <c r="I422" i="1"/>
  <c r="J421" i="1"/>
  <c r="N421" i="1"/>
  <c r="G421" i="1"/>
  <c r="H421" i="1"/>
  <c r="H418" i="1"/>
  <c r="G407" i="1"/>
  <c r="I406" i="1"/>
  <c r="J405" i="1"/>
  <c r="N405" i="1"/>
  <c r="G405" i="1"/>
  <c r="H405" i="1"/>
  <c r="H402" i="1"/>
  <c r="G391" i="1"/>
  <c r="I390" i="1"/>
  <c r="J389" i="1"/>
  <c r="N389" i="1"/>
  <c r="G389" i="1"/>
  <c r="H389" i="1"/>
  <c r="H386" i="1"/>
  <c r="G375" i="1"/>
  <c r="I374" i="1"/>
  <c r="J373" i="1"/>
  <c r="N373" i="1"/>
  <c r="G373" i="1"/>
  <c r="H373" i="1"/>
  <c r="H370" i="1"/>
  <c r="G359" i="1"/>
  <c r="I358" i="1"/>
  <c r="J357" i="1"/>
  <c r="N357" i="1"/>
  <c r="G357" i="1"/>
  <c r="H357" i="1"/>
  <c r="H354" i="1"/>
  <c r="G343" i="1"/>
  <c r="I342" i="1"/>
  <c r="J341" i="1"/>
  <c r="N341" i="1"/>
  <c r="G341" i="1"/>
  <c r="H341" i="1"/>
  <c r="H338" i="1"/>
  <c r="G327" i="1"/>
  <c r="I326" i="1"/>
  <c r="J325" i="1"/>
  <c r="N325" i="1"/>
  <c r="G325" i="1"/>
  <c r="H325" i="1"/>
  <c r="H322" i="1"/>
  <c r="J285" i="1"/>
  <c r="I283" i="1"/>
  <c r="I280" i="1"/>
  <c r="H280" i="1"/>
  <c r="J253" i="1"/>
  <c r="I251" i="1"/>
  <c r="I248" i="1"/>
  <c r="H248" i="1"/>
  <c r="J221" i="1"/>
  <c r="I219" i="1"/>
  <c r="I216" i="1"/>
  <c r="H216" i="1"/>
  <c r="J565" i="1"/>
  <c r="N565" i="1"/>
  <c r="G565" i="1"/>
  <c r="H565" i="1"/>
  <c r="H562" i="1"/>
  <c r="J562" i="1"/>
  <c r="N562" i="1"/>
  <c r="J561" i="1"/>
  <c r="N561" i="1"/>
  <c r="G561" i="1"/>
  <c r="H561" i="1"/>
  <c r="H558" i="1"/>
  <c r="J558" i="1"/>
  <c r="N558" i="1"/>
  <c r="J557" i="1"/>
  <c r="N557" i="1"/>
  <c r="G557" i="1"/>
  <c r="H557" i="1"/>
  <c r="H554" i="1"/>
  <c r="J554" i="1"/>
  <c r="N554" i="1"/>
  <c r="J553" i="1"/>
  <c r="N553" i="1"/>
  <c r="G553" i="1"/>
  <c r="H553" i="1"/>
  <c r="H550" i="1"/>
  <c r="J550" i="1"/>
  <c r="N550" i="1"/>
  <c r="J549" i="1"/>
  <c r="N549" i="1"/>
  <c r="G549" i="1"/>
  <c r="H549" i="1"/>
  <c r="H546" i="1"/>
  <c r="J546" i="1"/>
  <c r="N546" i="1"/>
  <c r="J545" i="1"/>
  <c r="N545" i="1"/>
  <c r="G545" i="1"/>
  <c r="H545" i="1"/>
  <c r="H542" i="1"/>
  <c r="J542" i="1"/>
  <c r="N542" i="1"/>
  <c r="J541" i="1"/>
  <c r="N541" i="1"/>
  <c r="G541" i="1"/>
  <c r="H541" i="1"/>
  <c r="H538" i="1"/>
  <c r="J538" i="1"/>
  <c r="N538" i="1"/>
  <c r="J537" i="1"/>
  <c r="N537" i="1"/>
  <c r="G537" i="1"/>
  <c r="H537" i="1"/>
  <c r="H534" i="1"/>
  <c r="J534" i="1"/>
  <c r="N534" i="1"/>
  <c r="J533" i="1"/>
  <c r="N533" i="1"/>
  <c r="G533" i="1"/>
  <c r="H533" i="1"/>
  <c r="H530" i="1"/>
  <c r="J530" i="1"/>
  <c r="N530" i="1"/>
  <c r="J529" i="1"/>
  <c r="N529" i="1"/>
  <c r="G529" i="1"/>
  <c r="H529" i="1"/>
  <c r="H526" i="1"/>
  <c r="J526" i="1"/>
  <c r="N526" i="1"/>
  <c r="J525" i="1"/>
  <c r="N525" i="1"/>
  <c r="G525" i="1"/>
  <c r="H525" i="1"/>
  <c r="H522" i="1"/>
  <c r="J522" i="1"/>
  <c r="N522" i="1"/>
  <c r="J521" i="1"/>
  <c r="N521" i="1"/>
  <c r="G521" i="1"/>
  <c r="H521" i="1"/>
  <c r="H518" i="1"/>
  <c r="J518" i="1"/>
  <c r="N518" i="1"/>
  <c r="J517" i="1"/>
  <c r="N517" i="1"/>
  <c r="G517" i="1"/>
  <c r="H517" i="1"/>
  <c r="H514" i="1"/>
  <c r="J514" i="1"/>
  <c r="N514" i="1"/>
  <c r="J513" i="1"/>
  <c r="N513" i="1"/>
  <c r="G513" i="1"/>
  <c r="H513" i="1"/>
  <c r="G507" i="1"/>
  <c r="I506" i="1"/>
  <c r="J505" i="1"/>
  <c r="N505" i="1"/>
  <c r="G505" i="1"/>
  <c r="H505" i="1"/>
  <c r="G491" i="1"/>
  <c r="I490" i="1"/>
  <c r="J489" i="1"/>
  <c r="N489" i="1"/>
  <c r="G489" i="1"/>
  <c r="H489" i="1"/>
  <c r="G475" i="1"/>
  <c r="I474" i="1"/>
  <c r="J473" i="1"/>
  <c r="N473" i="1"/>
  <c r="G473" i="1"/>
  <c r="H473" i="1"/>
  <c r="G459" i="1"/>
  <c r="I458" i="1"/>
  <c r="J457" i="1"/>
  <c r="N457" i="1"/>
  <c r="G457" i="1"/>
  <c r="H457" i="1"/>
  <c r="G443" i="1"/>
  <c r="I442" i="1"/>
  <c r="J441" i="1"/>
  <c r="N441" i="1"/>
  <c r="G441" i="1"/>
  <c r="H441" i="1"/>
  <c r="G427" i="1"/>
  <c r="I426" i="1"/>
  <c r="J425" i="1"/>
  <c r="N425" i="1"/>
  <c r="G425" i="1"/>
  <c r="H425" i="1"/>
  <c r="G411" i="1"/>
  <c r="I410" i="1"/>
  <c r="J409" i="1"/>
  <c r="N409" i="1"/>
  <c r="G409" i="1"/>
  <c r="H409" i="1"/>
  <c r="G395" i="1"/>
  <c r="I394" i="1"/>
  <c r="J393" i="1"/>
  <c r="N393" i="1"/>
  <c r="G393" i="1"/>
  <c r="H393" i="1"/>
  <c r="G379" i="1"/>
  <c r="I378" i="1"/>
  <c r="J377" i="1"/>
  <c r="N377" i="1"/>
  <c r="G377" i="1"/>
  <c r="H377" i="1"/>
  <c r="G363" i="1"/>
  <c r="I362" i="1"/>
  <c r="J361" i="1"/>
  <c r="N361" i="1"/>
  <c r="G361" i="1"/>
  <c r="H361" i="1"/>
  <c r="G347" i="1"/>
  <c r="I346" i="1"/>
  <c r="J345" i="1"/>
  <c r="N345" i="1"/>
  <c r="G345" i="1"/>
  <c r="H345" i="1"/>
  <c r="G331" i="1"/>
  <c r="I330" i="1"/>
  <c r="J329" i="1"/>
  <c r="N329" i="1"/>
  <c r="G329" i="1"/>
  <c r="H329" i="1"/>
  <c r="G315" i="1"/>
  <c r="I314" i="1"/>
  <c r="J313" i="1"/>
  <c r="N313" i="1"/>
  <c r="G313" i="1"/>
  <c r="H313" i="1"/>
  <c r="J311" i="1"/>
  <c r="G311" i="1"/>
  <c r="I310" i="1"/>
  <c r="J309" i="1"/>
  <c r="N309" i="1"/>
  <c r="G309" i="1"/>
  <c r="H309" i="1"/>
  <c r="J307" i="1"/>
  <c r="G307" i="1"/>
  <c r="I306" i="1"/>
  <c r="J305" i="1"/>
  <c r="N305" i="1"/>
  <c r="G305" i="1"/>
  <c r="H305" i="1"/>
  <c r="J303" i="1"/>
  <c r="G303" i="1"/>
  <c r="I302" i="1"/>
  <c r="H297" i="1"/>
  <c r="G297" i="1"/>
  <c r="J297" i="1"/>
  <c r="N297" i="1"/>
  <c r="J277" i="1"/>
  <c r="I275" i="1"/>
  <c r="I272" i="1"/>
  <c r="H272" i="1"/>
  <c r="J245" i="1"/>
  <c r="I243" i="1"/>
  <c r="I240" i="1"/>
  <c r="H240" i="1"/>
  <c r="J213" i="1"/>
  <c r="I211" i="1"/>
  <c r="I208" i="1"/>
  <c r="H208" i="1"/>
  <c r="I171" i="1"/>
  <c r="I564" i="1"/>
  <c r="G563" i="1"/>
  <c r="G562" i="1"/>
  <c r="I560" i="1"/>
  <c r="G559" i="1"/>
  <c r="G558" i="1"/>
  <c r="I556" i="1"/>
  <c r="G555" i="1"/>
  <c r="G554" i="1"/>
  <c r="I552" i="1"/>
  <c r="G551" i="1"/>
  <c r="G550" i="1"/>
  <c r="I548" i="1"/>
  <c r="G547" i="1"/>
  <c r="G546" i="1"/>
  <c r="I544" i="1"/>
  <c r="G543" i="1"/>
  <c r="G542" i="1"/>
  <c r="I540" i="1"/>
  <c r="G539" i="1"/>
  <c r="G538" i="1"/>
  <c r="I536" i="1"/>
  <c r="G535" i="1"/>
  <c r="G534" i="1"/>
  <c r="I532" i="1"/>
  <c r="G531" i="1"/>
  <c r="G530" i="1"/>
  <c r="I528" i="1"/>
  <c r="G527" i="1"/>
  <c r="G526" i="1"/>
  <c r="I524" i="1"/>
  <c r="G523" i="1"/>
  <c r="G522" i="1"/>
  <c r="I520" i="1"/>
  <c r="G519" i="1"/>
  <c r="G518" i="1"/>
  <c r="I516" i="1"/>
  <c r="G515" i="1"/>
  <c r="G514" i="1"/>
  <c r="I512" i="1"/>
  <c r="G511" i="1"/>
  <c r="I510" i="1"/>
  <c r="J509" i="1"/>
  <c r="N509" i="1"/>
  <c r="G509" i="1"/>
  <c r="H509" i="1"/>
  <c r="H506" i="1"/>
  <c r="I499" i="1"/>
  <c r="G495" i="1"/>
  <c r="I494" i="1"/>
  <c r="J493" i="1"/>
  <c r="N493" i="1"/>
  <c r="G493" i="1"/>
  <c r="H493" i="1"/>
  <c r="H490" i="1"/>
  <c r="I483" i="1"/>
  <c r="G479" i="1"/>
  <c r="I478" i="1"/>
  <c r="J477" i="1"/>
  <c r="N477" i="1"/>
  <c r="G477" i="1"/>
  <c r="H477" i="1"/>
  <c r="H474" i="1"/>
  <c r="I467" i="1"/>
  <c r="G463" i="1"/>
  <c r="I462" i="1"/>
  <c r="J461" i="1"/>
  <c r="N461" i="1"/>
  <c r="G461" i="1"/>
  <c r="H461" i="1"/>
  <c r="H458" i="1"/>
  <c r="I451" i="1"/>
  <c r="G447" i="1"/>
  <c r="I446" i="1"/>
  <c r="J445" i="1"/>
  <c r="N445" i="1"/>
  <c r="G445" i="1"/>
  <c r="H445" i="1"/>
  <c r="H442" i="1"/>
  <c r="I435" i="1"/>
  <c r="G431" i="1"/>
  <c r="I430" i="1"/>
  <c r="J429" i="1"/>
  <c r="N429" i="1"/>
  <c r="G429" i="1"/>
  <c r="H429" i="1"/>
  <c r="H426" i="1"/>
  <c r="I419" i="1"/>
  <c r="G415" i="1"/>
  <c r="I414" i="1"/>
  <c r="J413" i="1"/>
  <c r="N413" i="1"/>
  <c r="G413" i="1"/>
  <c r="H413" i="1"/>
  <c r="H410" i="1"/>
  <c r="I403" i="1"/>
  <c r="G399" i="1"/>
  <c r="I398" i="1"/>
  <c r="J397" i="1"/>
  <c r="N397" i="1"/>
  <c r="G397" i="1"/>
  <c r="H397" i="1"/>
  <c r="H394" i="1"/>
  <c r="I387" i="1"/>
  <c r="G383" i="1"/>
  <c r="I382" i="1"/>
  <c r="J381" i="1"/>
  <c r="N381" i="1"/>
  <c r="G381" i="1"/>
  <c r="H381" i="1"/>
  <c r="H378" i="1"/>
  <c r="I371" i="1"/>
  <c r="G367" i="1"/>
  <c r="I366" i="1"/>
  <c r="J365" i="1"/>
  <c r="N365" i="1"/>
  <c r="G365" i="1"/>
  <c r="H365" i="1"/>
  <c r="H362" i="1"/>
  <c r="I355" i="1"/>
  <c r="G351" i="1"/>
  <c r="I350" i="1"/>
  <c r="J349" i="1"/>
  <c r="N349" i="1"/>
  <c r="G349" i="1"/>
  <c r="H349" i="1"/>
  <c r="H346" i="1"/>
  <c r="I339" i="1"/>
  <c r="G335" i="1"/>
  <c r="I334" i="1"/>
  <c r="J333" i="1"/>
  <c r="N333" i="1"/>
  <c r="G333" i="1"/>
  <c r="H333" i="1"/>
  <c r="H330" i="1"/>
  <c r="I323" i="1"/>
  <c r="G319" i="1"/>
  <c r="I318" i="1"/>
  <c r="J317" i="1"/>
  <c r="N317" i="1"/>
  <c r="G317" i="1"/>
  <c r="H317" i="1"/>
  <c r="H314" i="1"/>
  <c r="H310" i="1"/>
  <c r="H306" i="1"/>
  <c r="J301" i="1"/>
  <c r="I299" i="1"/>
  <c r="I296" i="1"/>
  <c r="H296" i="1"/>
  <c r="I293" i="1"/>
  <c r="J269" i="1"/>
  <c r="I267" i="1"/>
  <c r="I264" i="1"/>
  <c r="H264" i="1"/>
  <c r="I261" i="1"/>
  <c r="J237" i="1"/>
  <c r="I235" i="1"/>
  <c r="I232" i="1"/>
  <c r="H232" i="1"/>
  <c r="I229" i="1"/>
  <c r="J205" i="1"/>
  <c r="I203" i="1"/>
  <c r="G53" i="1"/>
  <c r="I508" i="1"/>
  <c r="I504" i="1"/>
  <c r="I500" i="1"/>
  <c r="I496" i="1"/>
  <c r="I492" i="1"/>
  <c r="I488" i="1"/>
  <c r="I484" i="1"/>
  <c r="I480" i="1"/>
  <c r="I476" i="1"/>
  <c r="I472" i="1"/>
  <c r="I468" i="1"/>
  <c r="I464" i="1"/>
  <c r="I460" i="1"/>
  <c r="I456" i="1"/>
  <c r="I452" i="1"/>
  <c r="I448" i="1"/>
  <c r="I444" i="1"/>
  <c r="I440" i="1"/>
  <c r="I436" i="1"/>
  <c r="I432" i="1"/>
  <c r="I428" i="1"/>
  <c r="I424" i="1"/>
  <c r="I420" i="1"/>
  <c r="I416" i="1"/>
  <c r="I412" i="1"/>
  <c r="I408" i="1"/>
  <c r="I404" i="1"/>
  <c r="I400" i="1"/>
  <c r="I396" i="1"/>
  <c r="I392" i="1"/>
  <c r="I388" i="1"/>
  <c r="I384" i="1"/>
  <c r="I380" i="1"/>
  <c r="I376" i="1"/>
  <c r="I372" i="1"/>
  <c r="I368" i="1"/>
  <c r="I364" i="1"/>
  <c r="I360" i="1"/>
  <c r="I356" i="1"/>
  <c r="I352" i="1"/>
  <c r="I348" i="1"/>
  <c r="I344" i="1"/>
  <c r="I340" i="1"/>
  <c r="I336" i="1"/>
  <c r="I332" i="1"/>
  <c r="I328" i="1"/>
  <c r="I324" i="1"/>
  <c r="I320" i="1"/>
  <c r="I316" i="1"/>
  <c r="I312" i="1"/>
  <c r="I308" i="1"/>
  <c r="I304" i="1"/>
  <c r="J299" i="1"/>
  <c r="N299" i="1"/>
  <c r="J291" i="1"/>
  <c r="N291" i="1"/>
  <c r="H291" i="1"/>
  <c r="J283" i="1"/>
  <c r="N283" i="1"/>
  <c r="H283" i="1"/>
  <c r="J275" i="1"/>
  <c r="N275" i="1"/>
  <c r="H275" i="1"/>
  <c r="J267" i="1"/>
  <c r="N267" i="1"/>
  <c r="H267" i="1"/>
  <c r="J259" i="1"/>
  <c r="N259" i="1"/>
  <c r="H259" i="1"/>
  <c r="J251" i="1"/>
  <c r="N251" i="1"/>
  <c r="H251" i="1"/>
  <c r="J243" i="1"/>
  <c r="N243" i="1"/>
  <c r="H243" i="1"/>
  <c r="J235" i="1"/>
  <c r="N235" i="1"/>
  <c r="H235" i="1"/>
  <c r="J227" i="1"/>
  <c r="N227" i="1"/>
  <c r="H227" i="1"/>
  <c r="J219" i="1"/>
  <c r="N219" i="1"/>
  <c r="H219" i="1"/>
  <c r="J211" i="1"/>
  <c r="N211" i="1"/>
  <c r="H211" i="1"/>
  <c r="J203" i="1"/>
  <c r="N203" i="1"/>
  <c r="H203" i="1"/>
  <c r="I191" i="1"/>
  <c r="I175" i="1"/>
  <c r="G128" i="1"/>
  <c r="H564" i="1"/>
  <c r="H560" i="1"/>
  <c r="H556" i="1"/>
  <c r="H552" i="1"/>
  <c r="H548" i="1"/>
  <c r="H544" i="1"/>
  <c r="H540" i="1"/>
  <c r="H536" i="1"/>
  <c r="H532" i="1"/>
  <c r="H528" i="1"/>
  <c r="H524" i="1"/>
  <c r="H520" i="1"/>
  <c r="H516" i="1"/>
  <c r="H512" i="1"/>
  <c r="N510" i="1"/>
  <c r="J510" i="1"/>
  <c r="H508" i="1"/>
  <c r="N506" i="1"/>
  <c r="J506" i="1"/>
  <c r="H504" i="1"/>
  <c r="N502" i="1"/>
  <c r="J502" i="1"/>
  <c r="H500" i="1"/>
  <c r="N498" i="1"/>
  <c r="J498" i="1"/>
  <c r="H496" i="1"/>
  <c r="N494" i="1"/>
  <c r="J494" i="1"/>
  <c r="H492" i="1"/>
  <c r="N490" i="1"/>
  <c r="J490" i="1"/>
  <c r="H488" i="1"/>
  <c r="N486" i="1"/>
  <c r="J486" i="1"/>
  <c r="H484" i="1"/>
  <c r="N482" i="1"/>
  <c r="J482" i="1"/>
  <c r="H480" i="1"/>
  <c r="N478" i="1"/>
  <c r="J478" i="1"/>
  <c r="H476" i="1"/>
  <c r="N474" i="1"/>
  <c r="J474" i="1"/>
  <c r="H472" i="1"/>
  <c r="N470" i="1"/>
  <c r="J470" i="1"/>
  <c r="H468" i="1"/>
  <c r="N466" i="1"/>
  <c r="J466" i="1"/>
  <c r="H464" i="1"/>
  <c r="N462" i="1"/>
  <c r="J462" i="1"/>
  <c r="H460" i="1"/>
  <c r="N458" i="1"/>
  <c r="J458" i="1"/>
  <c r="H456" i="1"/>
  <c r="N454" i="1"/>
  <c r="J454" i="1"/>
  <c r="H452" i="1"/>
  <c r="N450" i="1"/>
  <c r="J450" i="1"/>
  <c r="H448" i="1"/>
  <c r="N446" i="1"/>
  <c r="J446" i="1"/>
  <c r="H444" i="1"/>
  <c r="N442" i="1"/>
  <c r="J442" i="1"/>
  <c r="H440" i="1"/>
  <c r="N438" i="1"/>
  <c r="J438" i="1"/>
  <c r="H436" i="1"/>
  <c r="N434" i="1"/>
  <c r="J434" i="1"/>
  <c r="H432" i="1"/>
  <c r="N430" i="1"/>
  <c r="J430" i="1"/>
  <c r="H428" i="1"/>
  <c r="N426" i="1"/>
  <c r="J426" i="1"/>
  <c r="H424" i="1"/>
  <c r="N422" i="1"/>
  <c r="J422" i="1"/>
  <c r="H420" i="1"/>
  <c r="N418" i="1"/>
  <c r="J418" i="1"/>
  <c r="H416" i="1"/>
  <c r="N414" i="1"/>
  <c r="J414" i="1"/>
  <c r="H412" i="1"/>
  <c r="N410" i="1"/>
  <c r="J410" i="1"/>
  <c r="H408" i="1"/>
  <c r="N406" i="1"/>
  <c r="J406" i="1"/>
  <c r="H404" i="1"/>
  <c r="N402" i="1"/>
  <c r="J402" i="1"/>
  <c r="H400" i="1"/>
  <c r="N398" i="1"/>
  <c r="J398" i="1"/>
  <c r="H396" i="1"/>
  <c r="N394" i="1"/>
  <c r="J394" i="1"/>
  <c r="H392" i="1"/>
  <c r="N390" i="1"/>
  <c r="J390" i="1"/>
  <c r="H388" i="1"/>
  <c r="N386" i="1"/>
  <c r="J386" i="1"/>
  <c r="H384" i="1"/>
  <c r="N382" i="1"/>
  <c r="J382" i="1"/>
  <c r="H380" i="1"/>
  <c r="N378" i="1"/>
  <c r="J378" i="1"/>
  <c r="H376" i="1"/>
  <c r="N374" i="1"/>
  <c r="J374" i="1"/>
  <c r="H372" i="1"/>
  <c r="N370" i="1"/>
  <c r="J370" i="1"/>
  <c r="H368" i="1"/>
  <c r="N366" i="1"/>
  <c r="J366" i="1"/>
  <c r="H364" i="1"/>
  <c r="N362" i="1"/>
  <c r="J362" i="1"/>
  <c r="H360" i="1"/>
  <c r="N358" i="1"/>
  <c r="J358" i="1"/>
  <c r="H356" i="1"/>
  <c r="N354" i="1"/>
  <c r="J354" i="1"/>
  <c r="H352" i="1"/>
  <c r="N350" i="1"/>
  <c r="J350" i="1"/>
  <c r="H348" i="1"/>
  <c r="N346" i="1"/>
  <c r="J346" i="1"/>
  <c r="H344" i="1"/>
  <c r="N342" i="1"/>
  <c r="J342" i="1"/>
  <c r="H340" i="1"/>
  <c r="N338" i="1"/>
  <c r="J338" i="1"/>
  <c r="H336" i="1"/>
  <c r="N334" i="1"/>
  <c r="J334" i="1"/>
  <c r="H332" i="1"/>
  <c r="N330" i="1"/>
  <c r="J330" i="1"/>
  <c r="H328" i="1"/>
  <c r="N326" i="1"/>
  <c r="J326" i="1"/>
  <c r="H324" i="1"/>
  <c r="N322" i="1"/>
  <c r="J322" i="1"/>
  <c r="H320" i="1"/>
  <c r="N318" i="1"/>
  <c r="J318" i="1"/>
  <c r="H316" i="1"/>
  <c r="N314" i="1"/>
  <c r="J314" i="1"/>
  <c r="H312" i="1"/>
  <c r="N310" i="1"/>
  <c r="J310" i="1"/>
  <c r="H308" i="1"/>
  <c r="N306" i="1"/>
  <c r="J306" i="1"/>
  <c r="H304" i="1"/>
  <c r="N302" i="1"/>
  <c r="J302" i="1"/>
  <c r="H301" i="1"/>
  <c r="G301" i="1"/>
  <c r="I300" i="1"/>
  <c r="H299" i="1"/>
  <c r="I298" i="1"/>
  <c r="I297" i="1"/>
  <c r="I295" i="1"/>
  <c r="I292" i="1"/>
  <c r="G291" i="1"/>
  <c r="I289" i="1"/>
  <c r="I287" i="1"/>
  <c r="I284" i="1"/>
  <c r="G283" i="1"/>
  <c r="I281" i="1"/>
  <c r="I279" i="1"/>
  <c r="I276" i="1"/>
  <c r="G275" i="1"/>
  <c r="I273" i="1"/>
  <c r="I271" i="1"/>
  <c r="I268" i="1"/>
  <c r="G267" i="1"/>
  <c r="I265" i="1"/>
  <c r="I263" i="1"/>
  <c r="I260" i="1"/>
  <c r="G259" i="1"/>
  <c r="I257" i="1"/>
  <c r="I255" i="1"/>
  <c r="I252" i="1"/>
  <c r="G251" i="1"/>
  <c r="I249" i="1"/>
  <c r="I247" i="1"/>
  <c r="I244" i="1"/>
  <c r="G243" i="1"/>
  <c r="I241" i="1"/>
  <c r="I239" i="1"/>
  <c r="I236" i="1"/>
  <c r="G235" i="1"/>
  <c r="I233" i="1"/>
  <c r="I231" i="1"/>
  <c r="I228" i="1"/>
  <c r="G227" i="1"/>
  <c r="I225" i="1"/>
  <c r="I223" i="1"/>
  <c r="I220" i="1"/>
  <c r="G219" i="1"/>
  <c r="I217" i="1"/>
  <c r="I215" i="1"/>
  <c r="I212" i="1"/>
  <c r="G211" i="1"/>
  <c r="I209" i="1"/>
  <c r="I207" i="1"/>
  <c r="I204" i="1"/>
  <c r="G203" i="1"/>
  <c r="I195" i="1"/>
  <c r="I179" i="1"/>
  <c r="G564" i="1"/>
  <c r="N563" i="1"/>
  <c r="J563" i="1"/>
  <c r="G560" i="1"/>
  <c r="N559" i="1"/>
  <c r="J559" i="1"/>
  <c r="G556" i="1"/>
  <c r="N555" i="1"/>
  <c r="J555" i="1"/>
  <c r="G552" i="1"/>
  <c r="N551" i="1"/>
  <c r="J551" i="1"/>
  <c r="G548" i="1"/>
  <c r="N547" i="1"/>
  <c r="J547" i="1"/>
  <c r="G544" i="1"/>
  <c r="N543" i="1"/>
  <c r="J543" i="1"/>
  <c r="G540" i="1"/>
  <c r="N539" i="1"/>
  <c r="J539" i="1"/>
  <c r="G536" i="1"/>
  <c r="N535" i="1"/>
  <c r="J535" i="1"/>
  <c r="G532" i="1"/>
  <c r="N531" i="1"/>
  <c r="J531" i="1"/>
  <c r="G528" i="1"/>
  <c r="N527" i="1"/>
  <c r="J527" i="1"/>
  <c r="G524" i="1"/>
  <c r="N523" i="1"/>
  <c r="J523" i="1"/>
  <c r="G520" i="1"/>
  <c r="N519" i="1"/>
  <c r="J519" i="1"/>
  <c r="G516" i="1"/>
  <c r="N515" i="1"/>
  <c r="J515" i="1"/>
  <c r="G512" i="1"/>
  <c r="N511" i="1"/>
  <c r="J511" i="1"/>
  <c r="G508" i="1"/>
  <c r="N507" i="1"/>
  <c r="J507" i="1"/>
  <c r="G504" i="1"/>
  <c r="N503" i="1"/>
  <c r="J503" i="1"/>
  <c r="G500" i="1"/>
  <c r="N499" i="1"/>
  <c r="J499" i="1"/>
  <c r="G496" i="1"/>
  <c r="N495" i="1"/>
  <c r="J495" i="1"/>
  <c r="G492" i="1"/>
  <c r="N491" i="1"/>
  <c r="J491" i="1"/>
  <c r="G488" i="1"/>
  <c r="N487" i="1"/>
  <c r="J487" i="1"/>
  <c r="G484" i="1"/>
  <c r="N483" i="1"/>
  <c r="J483" i="1"/>
  <c r="G480" i="1"/>
  <c r="N479" i="1"/>
  <c r="J479" i="1"/>
  <c r="G476" i="1"/>
  <c r="N475" i="1"/>
  <c r="J475" i="1"/>
  <c r="G472" i="1"/>
  <c r="N471" i="1"/>
  <c r="J471" i="1"/>
  <c r="G468" i="1"/>
  <c r="N467" i="1"/>
  <c r="J467" i="1"/>
  <c r="G464" i="1"/>
  <c r="N463" i="1"/>
  <c r="J463" i="1"/>
  <c r="G460" i="1"/>
  <c r="N459" i="1"/>
  <c r="J459" i="1"/>
  <c r="G456" i="1"/>
  <c r="N455" i="1"/>
  <c r="J455" i="1"/>
  <c r="G452" i="1"/>
  <c r="N451" i="1"/>
  <c r="J451" i="1"/>
  <c r="G448" i="1"/>
  <c r="N447" i="1"/>
  <c r="J447" i="1"/>
  <c r="G444" i="1"/>
  <c r="N443" i="1"/>
  <c r="J443" i="1"/>
  <c r="G440" i="1"/>
  <c r="N439" i="1"/>
  <c r="J439" i="1"/>
  <c r="G436" i="1"/>
  <c r="N435" i="1"/>
  <c r="J435" i="1"/>
  <c r="G432" i="1"/>
  <c r="N431" i="1"/>
  <c r="J431" i="1"/>
  <c r="G428" i="1"/>
  <c r="N427" i="1"/>
  <c r="J427" i="1"/>
  <c r="G424" i="1"/>
  <c r="N423" i="1"/>
  <c r="J423" i="1"/>
  <c r="G420" i="1"/>
  <c r="N419" i="1"/>
  <c r="J419" i="1"/>
  <c r="G416" i="1"/>
  <c r="N415" i="1"/>
  <c r="J415" i="1"/>
  <c r="G412" i="1"/>
  <c r="N411" i="1"/>
  <c r="J411" i="1"/>
  <c r="G408" i="1"/>
  <c r="N407" i="1"/>
  <c r="J407" i="1"/>
  <c r="G404" i="1"/>
  <c r="N403" i="1"/>
  <c r="J403" i="1"/>
  <c r="G400" i="1"/>
  <c r="N399" i="1"/>
  <c r="J399" i="1"/>
  <c r="G396" i="1"/>
  <c r="N395" i="1"/>
  <c r="J395" i="1"/>
  <c r="G392" i="1"/>
  <c r="N391" i="1"/>
  <c r="J391" i="1"/>
  <c r="G388" i="1"/>
  <c r="N387" i="1"/>
  <c r="J387" i="1"/>
  <c r="G384" i="1"/>
  <c r="N383" i="1"/>
  <c r="J383" i="1"/>
  <c r="G380" i="1"/>
  <c r="N379" i="1"/>
  <c r="J379" i="1"/>
  <c r="G376" i="1"/>
  <c r="N375" i="1"/>
  <c r="J375" i="1"/>
  <c r="G372" i="1"/>
  <c r="N371" i="1"/>
  <c r="J371" i="1"/>
  <c r="G368" i="1"/>
  <c r="N367" i="1"/>
  <c r="J367" i="1"/>
  <c r="G364" i="1"/>
  <c r="N363" i="1"/>
  <c r="J363" i="1"/>
  <c r="G360" i="1"/>
  <c r="N359" i="1"/>
  <c r="J359" i="1"/>
  <c r="G356" i="1"/>
  <c r="N355" i="1"/>
  <c r="J355" i="1"/>
  <c r="G352" i="1"/>
  <c r="N351" i="1"/>
  <c r="J351" i="1"/>
  <c r="G348" i="1"/>
  <c r="N347" i="1"/>
  <c r="J347" i="1"/>
  <c r="G344" i="1"/>
  <c r="N343" i="1"/>
  <c r="J343" i="1"/>
  <c r="G340" i="1"/>
  <c r="N339" i="1"/>
  <c r="J339" i="1"/>
  <c r="G336" i="1"/>
  <c r="N335" i="1"/>
  <c r="J335" i="1"/>
  <c r="G332" i="1"/>
  <c r="N331" i="1"/>
  <c r="J331" i="1"/>
  <c r="G328" i="1"/>
  <c r="N327" i="1"/>
  <c r="J327" i="1"/>
  <c r="G324" i="1"/>
  <c r="N323" i="1"/>
  <c r="J323" i="1"/>
  <c r="G320" i="1"/>
  <c r="N319" i="1"/>
  <c r="J319" i="1"/>
  <c r="G316" i="1"/>
  <c r="N315" i="1"/>
  <c r="J315" i="1"/>
  <c r="G312" i="1"/>
  <c r="G308" i="1"/>
  <c r="G304" i="1"/>
  <c r="H302" i="1"/>
  <c r="G299" i="1"/>
  <c r="J295" i="1"/>
  <c r="N295" i="1"/>
  <c r="H295" i="1"/>
  <c r="J287" i="1"/>
  <c r="N287" i="1"/>
  <c r="H287" i="1"/>
  <c r="J279" i="1"/>
  <c r="N279" i="1"/>
  <c r="H279" i="1"/>
  <c r="J271" i="1"/>
  <c r="N271" i="1"/>
  <c r="H271" i="1"/>
  <c r="J263" i="1"/>
  <c r="N263" i="1"/>
  <c r="H263" i="1"/>
  <c r="J255" i="1"/>
  <c r="N255" i="1"/>
  <c r="H255" i="1"/>
  <c r="J247" i="1"/>
  <c r="N247" i="1"/>
  <c r="H247" i="1"/>
  <c r="J239" i="1"/>
  <c r="N239" i="1"/>
  <c r="H239" i="1"/>
  <c r="J231" i="1"/>
  <c r="N231" i="1"/>
  <c r="H231" i="1"/>
  <c r="J223" i="1"/>
  <c r="N223" i="1"/>
  <c r="H223" i="1"/>
  <c r="J215" i="1"/>
  <c r="N215" i="1"/>
  <c r="H215" i="1"/>
  <c r="J207" i="1"/>
  <c r="N207" i="1"/>
  <c r="H207" i="1"/>
  <c r="I199" i="1"/>
  <c r="I183" i="1"/>
  <c r="I167" i="1"/>
  <c r="G41" i="1"/>
  <c r="I201" i="1"/>
  <c r="J199" i="1"/>
  <c r="N199" i="1"/>
  <c r="I197" i="1"/>
  <c r="J195" i="1"/>
  <c r="N195" i="1"/>
  <c r="I193" i="1"/>
  <c r="J191" i="1"/>
  <c r="N191" i="1"/>
  <c r="I189" i="1"/>
  <c r="J187" i="1"/>
  <c r="N187" i="1"/>
  <c r="I185" i="1"/>
  <c r="J183" i="1"/>
  <c r="N183" i="1"/>
  <c r="I181" i="1"/>
  <c r="J179" i="1"/>
  <c r="N179" i="1"/>
  <c r="I177" i="1"/>
  <c r="J175" i="1"/>
  <c r="N175" i="1"/>
  <c r="I173" i="1"/>
  <c r="J171" i="1"/>
  <c r="N171" i="1"/>
  <c r="I169" i="1"/>
  <c r="J167" i="1"/>
  <c r="N167" i="1"/>
  <c r="G108" i="1"/>
  <c r="G143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74" i="1"/>
  <c r="G80" i="1"/>
  <c r="G93" i="1"/>
  <c r="G3" i="1"/>
  <c r="G149" i="1"/>
  <c r="G120" i="1"/>
  <c r="G69" i="1"/>
  <c r="G92" i="1"/>
  <c r="G75" i="1"/>
  <c r="G23" i="1"/>
  <c r="G163" i="1"/>
  <c r="G103" i="1"/>
  <c r="G101" i="1"/>
  <c r="G2" i="1"/>
  <c r="G63" i="1"/>
  <c r="G39" i="1"/>
  <c r="G136" i="1"/>
  <c r="H294" i="1"/>
  <c r="H290" i="1"/>
  <c r="H286" i="1"/>
  <c r="H282" i="1"/>
  <c r="H278" i="1"/>
  <c r="H274" i="1"/>
  <c r="H270" i="1"/>
  <c r="H266" i="1"/>
  <c r="H262" i="1"/>
  <c r="H258" i="1"/>
  <c r="H254" i="1"/>
  <c r="H250" i="1"/>
  <c r="H246" i="1"/>
  <c r="H242" i="1"/>
  <c r="H238" i="1"/>
  <c r="H234" i="1"/>
  <c r="H230" i="1"/>
  <c r="H226" i="1"/>
  <c r="H222" i="1"/>
  <c r="H218" i="1"/>
  <c r="H214" i="1"/>
  <c r="H210" i="1"/>
  <c r="H206" i="1"/>
  <c r="H202" i="1"/>
  <c r="H199" i="1"/>
  <c r="H198" i="1"/>
  <c r="H195" i="1"/>
  <c r="H194" i="1"/>
  <c r="H191" i="1"/>
  <c r="H190" i="1"/>
  <c r="H187" i="1"/>
  <c r="H186" i="1"/>
  <c r="H183" i="1"/>
  <c r="H182" i="1"/>
  <c r="H179" i="1"/>
  <c r="H178" i="1"/>
  <c r="H175" i="1"/>
  <c r="H174" i="1"/>
  <c r="H171" i="1"/>
  <c r="H170" i="1"/>
  <c r="H167" i="1"/>
  <c r="G28" i="1"/>
  <c r="G13" i="1"/>
  <c r="G82" i="1"/>
  <c r="G114" i="1"/>
  <c r="G131" i="1"/>
  <c r="G68" i="1"/>
  <c r="G141" i="1"/>
  <c r="G83" i="1"/>
  <c r="G46" i="1"/>
  <c r="G65" i="1"/>
  <c r="G79" i="1"/>
  <c r="G118" i="1"/>
  <c r="G134" i="1"/>
  <c r="G35" i="1"/>
  <c r="G132" i="1"/>
  <c r="G137" i="1"/>
  <c r="G19" i="1"/>
  <c r="G116" i="1"/>
  <c r="G7" i="1"/>
  <c r="G1" i="1"/>
  <c r="G54" i="1"/>
  <c r="G102" i="1"/>
  <c r="G153" i="1"/>
  <c r="G44" i="1"/>
  <c r="G18" i="1"/>
  <c r="G30" i="1"/>
  <c r="G71" i="1"/>
  <c r="F85" i="1"/>
  <c r="F164" i="1"/>
  <c r="F122" i="1"/>
  <c r="F145" i="1"/>
  <c r="F115" i="1"/>
  <c r="F126" i="1"/>
  <c r="F121" i="1"/>
  <c r="F156" i="1"/>
  <c r="F55" i="1"/>
  <c r="F33" i="1"/>
  <c r="F5" i="1"/>
  <c r="F107" i="1"/>
  <c r="F124" i="1"/>
  <c r="F105" i="1"/>
  <c r="F40" i="1"/>
  <c r="F58" i="1"/>
  <c r="F60" i="1"/>
  <c r="F104" i="1"/>
  <c r="F52" i="1"/>
  <c r="E85" i="1"/>
  <c r="E164" i="1"/>
  <c r="E122" i="1"/>
  <c r="E145" i="1"/>
  <c r="E115" i="1"/>
  <c r="E126" i="1"/>
  <c r="E121" i="1"/>
  <c r="E156" i="1"/>
  <c r="E55" i="1"/>
  <c r="E33" i="1"/>
  <c r="E5" i="1"/>
  <c r="E107" i="1"/>
  <c r="E124" i="1"/>
  <c r="E105" i="1"/>
  <c r="E40" i="1"/>
  <c r="E58" i="1"/>
  <c r="E60" i="1"/>
  <c r="E104" i="1"/>
  <c r="E52" i="1"/>
  <c r="K52" i="1"/>
  <c r="L52" i="1"/>
  <c r="M52" i="1"/>
  <c r="K40" i="1"/>
  <c r="L40" i="1"/>
  <c r="M40" i="1"/>
  <c r="K107" i="1"/>
  <c r="L107" i="1"/>
  <c r="M107" i="1"/>
  <c r="K55" i="1"/>
  <c r="L55" i="1"/>
  <c r="M55" i="1"/>
  <c r="K58" i="1"/>
  <c r="L58" i="1"/>
  <c r="M58" i="1"/>
  <c r="K124" i="1"/>
  <c r="L124" i="1"/>
  <c r="M124" i="1"/>
  <c r="F101" i="2"/>
  <c r="D101" i="2"/>
  <c r="B101" i="2"/>
  <c r="G58" i="1" l="1"/>
  <c r="G55" i="1"/>
  <c r="G107" i="1"/>
  <c r="G124" i="1"/>
  <c r="G40" i="1"/>
  <c r="G52" i="1"/>
  <c r="K101" i="2"/>
  <c r="J101" i="2"/>
  <c r="H101" i="2"/>
  <c r="L101" i="2"/>
  <c r="I101" i="2"/>
  <c r="N101" i="2" s="1"/>
  <c r="M101" i="2"/>
  <c r="F11" i="2" l="1"/>
  <c r="F41" i="2"/>
  <c r="F92" i="2"/>
  <c r="F7" i="2"/>
  <c r="F10" i="2"/>
  <c r="F14" i="2"/>
  <c r="F16" i="2"/>
  <c r="F28" i="2"/>
  <c r="F19" i="2"/>
  <c r="F22" i="2"/>
  <c r="F24" i="2"/>
  <c r="F27" i="2"/>
  <c r="F25" i="2"/>
  <c r="F18" i="2"/>
  <c r="F31" i="2"/>
  <c r="F32" i="2"/>
  <c r="F35" i="2"/>
  <c r="F37" i="2"/>
  <c r="F38" i="2"/>
  <c r="F40" i="2"/>
  <c r="F42" i="2"/>
  <c r="F53" i="2"/>
  <c r="F50" i="2"/>
  <c r="F54" i="2"/>
  <c r="F55" i="2"/>
  <c r="F69" i="2"/>
  <c r="F71" i="2"/>
  <c r="F72" i="2"/>
  <c r="F73" i="2"/>
  <c r="F76" i="2"/>
  <c r="F77" i="2"/>
  <c r="F80" i="2"/>
  <c r="F82" i="2"/>
  <c r="F87" i="2"/>
  <c r="F88" i="2"/>
  <c r="F93" i="2"/>
  <c r="F8" i="2"/>
  <c r="F17" i="2"/>
  <c r="F44" i="2"/>
  <c r="F60" i="2"/>
  <c r="F64" i="2"/>
  <c r="F67" i="2"/>
  <c r="F79" i="2"/>
  <c r="F91" i="2"/>
  <c r="F94" i="2"/>
  <c r="F20" i="2"/>
  <c r="F21" i="2"/>
  <c r="F45" i="2"/>
  <c r="F57" i="2"/>
  <c r="F66" i="2"/>
  <c r="F70" i="2"/>
  <c r="F85" i="2"/>
  <c r="F5" i="2"/>
  <c r="F63" i="2"/>
  <c r="F65" i="2"/>
  <c r="F51" i="2"/>
  <c r="F52" i="2"/>
  <c r="F59" i="2"/>
  <c r="F62" i="2"/>
  <c r="F15" i="2"/>
  <c r="F9" i="2"/>
  <c r="F43" i="2"/>
  <c r="F68" i="2"/>
  <c r="F23" i="2"/>
  <c r="F83" i="2"/>
  <c r="F48" i="2"/>
  <c r="F6" i="2"/>
  <c r="F58" i="2"/>
  <c r="F89" i="2"/>
  <c r="F2" i="2"/>
  <c r="F47" i="2"/>
  <c r="F75" i="2"/>
  <c r="F74" i="2"/>
  <c r="F3" i="2"/>
  <c r="F56" i="2"/>
  <c r="F13" i="2"/>
  <c r="F12" i="2"/>
  <c r="F86" i="2"/>
  <c r="F26" i="2"/>
  <c r="F30" i="2"/>
  <c r="F34" i="2"/>
  <c r="F36" i="2"/>
  <c r="F39" i="2"/>
  <c r="F29" i="2"/>
  <c r="F33" i="2"/>
  <c r="F49" i="2"/>
  <c r="F46" i="2"/>
  <c r="F61" i="2"/>
  <c r="F78" i="2"/>
  <c r="F81" i="2"/>
  <c r="F84" i="2"/>
  <c r="F90" i="2"/>
  <c r="F95" i="2"/>
  <c r="F96" i="2"/>
  <c r="F97" i="2"/>
  <c r="F98" i="2"/>
  <c r="F99" i="2"/>
  <c r="F100" i="2"/>
  <c r="F4" i="2"/>
  <c r="D11" i="2"/>
  <c r="D41" i="2"/>
  <c r="D92" i="2"/>
  <c r="D7" i="2"/>
  <c r="D10" i="2"/>
  <c r="D14" i="2"/>
  <c r="D16" i="2"/>
  <c r="D28" i="2"/>
  <c r="D19" i="2"/>
  <c r="D22" i="2"/>
  <c r="D24" i="2"/>
  <c r="D27" i="2"/>
  <c r="D25" i="2"/>
  <c r="D18" i="2"/>
  <c r="D31" i="2"/>
  <c r="D32" i="2"/>
  <c r="D35" i="2"/>
  <c r="D37" i="2"/>
  <c r="D38" i="2"/>
  <c r="D40" i="2"/>
  <c r="D42" i="2"/>
  <c r="D53" i="2"/>
  <c r="D50" i="2"/>
  <c r="D54" i="2"/>
  <c r="D55" i="2"/>
  <c r="D69" i="2"/>
  <c r="D71" i="2"/>
  <c r="D72" i="2"/>
  <c r="D73" i="2"/>
  <c r="D76" i="2"/>
  <c r="D77" i="2"/>
  <c r="D80" i="2"/>
  <c r="D82" i="2"/>
  <c r="D87" i="2"/>
  <c r="D88" i="2"/>
  <c r="D93" i="2"/>
  <c r="D8" i="2"/>
  <c r="D17" i="2"/>
  <c r="D44" i="2"/>
  <c r="D60" i="2"/>
  <c r="D64" i="2"/>
  <c r="D67" i="2"/>
  <c r="D79" i="2"/>
  <c r="D91" i="2"/>
  <c r="D94" i="2"/>
  <c r="D20" i="2"/>
  <c r="D21" i="2"/>
  <c r="D45" i="2"/>
  <c r="D57" i="2"/>
  <c r="D66" i="2"/>
  <c r="D70" i="2"/>
  <c r="D85" i="2"/>
  <c r="D5" i="2"/>
  <c r="D63" i="2"/>
  <c r="D65" i="2"/>
  <c r="D51" i="2"/>
  <c r="D52" i="2"/>
  <c r="D59" i="2"/>
  <c r="D62" i="2"/>
  <c r="D15" i="2"/>
  <c r="D9" i="2"/>
  <c r="D43" i="2"/>
  <c r="D68" i="2"/>
  <c r="D23" i="2"/>
  <c r="D83" i="2"/>
  <c r="D48" i="2"/>
  <c r="D6" i="2"/>
  <c r="D58" i="2"/>
  <c r="D89" i="2"/>
  <c r="D2" i="2"/>
  <c r="D47" i="2"/>
  <c r="D75" i="2"/>
  <c r="D74" i="2"/>
  <c r="D3" i="2"/>
  <c r="D56" i="2"/>
  <c r="D13" i="2"/>
  <c r="D12" i="2"/>
  <c r="D86" i="2"/>
  <c r="D26" i="2"/>
  <c r="D30" i="2"/>
  <c r="D34" i="2"/>
  <c r="D36" i="2"/>
  <c r="D39" i="2"/>
  <c r="D29" i="2"/>
  <c r="D33" i="2"/>
  <c r="D49" i="2"/>
  <c r="D46" i="2"/>
  <c r="D61" i="2"/>
  <c r="D78" i="2"/>
  <c r="D81" i="2"/>
  <c r="D84" i="2"/>
  <c r="D90" i="2"/>
  <c r="D95" i="2"/>
  <c r="D96" i="2"/>
  <c r="D97" i="2"/>
  <c r="D98" i="2"/>
  <c r="D99" i="2"/>
  <c r="D100" i="2"/>
  <c r="D4" i="2"/>
  <c r="B11" i="2"/>
  <c r="B41" i="2"/>
  <c r="B92" i="2"/>
  <c r="B7" i="2"/>
  <c r="B10" i="2"/>
  <c r="B14" i="2"/>
  <c r="B16" i="2"/>
  <c r="B28" i="2"/>
  <c r="B19" i="2"/>
  <c r="B22" i="2"/>
  <c r="B24" i="2"/>
  <c r="B27" i="2"/>
  <c r="B25" i="2"/>
  <c r="B18" i="2"/>
  <c r="B31" i="2"/>
  <c r="B32" i="2"/>
  <c r="B35" i="2"/>
  <c r="B37" i="2"/>
  <c r="B38" i="2"/>
  <c r="B40" i="2"/>
  <c r="B42" i="2"/>
  <c r="B53" i="2"/>
  <c r="B50" i="2"/>
  <c r="B54" i="2"/>
  <c r="B55" i="2"/>
  <c r="B69" i="2"/>
  <c r="B71" i="2"/>
  <c r="B72" i="2"/>
  <c r="B73" i="2"/>
  <c r="B76" i="2"/>
  <c r="B77" i="2"/>
  <c r="B80" i="2"/>
  <c r="B82" i="2"/>
  <c r="B87" i="2"/>
  <c r="B88" i="2"/>
  <c r="B93" i="2"/>
  <c r="B8" i="2"/>
  <c r="B17" i="2"/>
  <c r="B44" i="2"/>
  <c r="B60" i="2"/>
  <c r="B64" i="2"/>
  <c r="B67" i="2"/>
  <c r="B79" i="2"/>
  <c r="B91" i="2"/>
  <c r="B94" i="2"/>
  <c r="B20" i="2"/>
  <c r="B21" i="2"/>
  <c r="B45" i="2"/>
  <c r="B57" i="2"/>
  <c r="B66" i="2"/>
  <c r="B70" i="2"/>
  <c r="B85" i="2"/>
  <c r="B5" i="2"/>
  <c r="B63" i="2"/>
  <c r="B65" i="2"/>
  <c r="B51" i="2"/>
  <c r="B52" i="2"/>
  <c r="B59" i="2"/>
  <c r="B62" i="2"/>
  <c r="B15" i="2"/>
  <c r="B9" i="2"/>
  <c r="B43" i="2"/>
  <c r="B68" i="2"/>
  <c r="B23" i="2"/>
  <c r="B83" i="2"/>
  <c r="B48" i="2"/>
  <c r="B6" i="2"/>
  <c r="B58" i="2"/>
  <c r="B89" i="2"/>
  <c r="B2" i="2"/>
  <c r="B47" i="2"/>
  <c r="B75" i="2"/>
  <c r="B74" i="2"/>
  <c r="B3" i="2"/>
  <c r="B56" i="2"/>
  <c r="B13" i="2"/>
  <c r="B12" i="2"/>
  <c r="B86" i="2"/>
  <c r="B26" i="2"/>
  <c r="B30" i="2"/>
  <c r="B34" i="2"/>
  <c r="B36" i="2"/>
  <c r="B39" i="2"/>
  <c r="B29" i="2"/>
  <c r="B33" i="2"/>
  <c r="B49" i="2"/>
  <c r="B46" i="2"/>
  <c r="B61" i="2"/>
  <c r="B78" i="2"/>
  <c r="B81" i="2"/>
  <c r="B84" i="2"/>
  <c r="B90" i="2"/>
  <c r="B95" i="2"/>
  <c r="B96" i="2"/>
  <c r="B97" i="2"/>
  <c r="B98" i="2"/>
  <c r="B99" i="2"/>
  <c r="B100" i="2"/>
  <c r="B4" i="2"/>
  <c r="J90" i="2" l="1"/>
  <c r="K90" i="2"/>
  <c r="K13" i="2"/>
  <c r="J13" i="2"/>
  <c r="J58" i="2"/>
  <c r="K58" i="2"/>
  <c r="K23" i="2"/>
  <c r="J23" i="2"/>
  <c r="K15" i="2"/>
  <c r="J15" i="2"/>
  <c r="K51" i="2"/>
  <c r="J51" i="2"/>
  <c r="K85" i="2"/>
  <c r="J85" i="2"/>
  <c r="K45" i="2"/>
  <c r="J45" i="2"/>
  <c r="K91" i="2"/>
  <c r="J91" i="2"/>
  <c r="J60" i="2"/>
  <c r="K60" i="2"/>
  <c r="K93" i="2"/>
  <c r="J93" i="2"/>
  <c r="K80" i="2"/>
  <c r="J80" i="2"/>
  <c r="J72" i="2"/>
  <c r="K72" i="2"/>
  <c r="J54" i="2"/>
  <c r="K54" i="2"/>
  <c r="J40" i="2"/>
  <c r="K40" i="2"/>
  <c r="J32" i="2"/>
  <c r="K32" i="2"/>
  <c r="K27" i="2"/>
  <c r="J27" i="2"/>
  <c r="J28" i="2"/>
  <c r="K28" i="2"/>
  <c r="K7" i="2"/>
  <c r="J7" i="2"/>
  <c r="J98" i="2"/>
  <c r="K98" i="2"/>
  <c r="K29" i="2"/>
  <c r="J29" i="2"/>
  <c r="K75" i="2"/>
  <c r="J75" i="2"/>
  <c r="J4" i="2"/>
  <c r="K4" i="2"/>
  <c r="J84" i="2"/>
  <c r="K84" i="2"/>
  <c r="J46" i="2"/>
  <c r="K46" i="2"/>
  <c r="K39" i="2"/>
  <c r="J39" i="2"/>
  <c r="J26" i="2"/>
  <c r="K26" i="2"/>
  <c r="J56" i="2"/>
  <c r="K56" i="2"/>
  <c r="K47" i="2"/>
  <c r="J47" i="2"/>
  <c r="J6" i="2"/>
  <c r="K6" i="2"/>
  <c r="J68" i="2"/>
  <c r="K68" i="2"/>
  <c r="J62" i="2"/>
  <c r="K62" i="2"/>
  <c r="K65" i="2"/>
  <c r="J65" i="2"/>
  <c r="J70" i="2"/>
  <c r="K70" i="2"/>
  <c r="K21" i="2"/>
  <c r="J21" i="2"/>
  <c r="K79" i="2"/>
  <c r="J79" i="2"/>
  <c r="J44" i="2"/>
  <c r="K44" i="2"/>
  <c r="K88" i="2"/>
  <c r="J88" i="2"/>
  <c r="K77" i="2"/>
  <c r="J77" i="2"/>
  <c r="K71" i="2"/>
  <c r="J71" i="2"/>
  <c r="J50" i="2"/>
  <c r="K50" i="2"/>
  <c r="J38" i="2"/>
  <c r="K38" i="2"/>
  <c r="K31" i="2"/>
  <c r="J31" i="2"/>
  <c r="J24" i="2"/>
  <c r="K24" i="2"/>
  <c r="J16" i="2"/>
  <c r="K16" i="2"/>
  <c r="J92" i="2"/>
  <c r="K92" i="2"/>
  <c r="K61" i="2"/>
  <c r="J61" i="2"/>
  <c r="K97" i="2"/>
  <c r="J97" i="2"/>
  <c r="J100" i="2"/>
  <c r="K100" i="2"/>
  <c r="K96" i="2"/>
  <c r="J96" i="2"/>
  <c r="K81" i="2"/>
  <c r="J81" i="2"/>
  <c r="K49" i="2"/>
  <c r="J49" i="2"/>
  <c r="J36" i="2"/>
  <c r="K36" i="2"/>
  <c r="J86" i="2"/>
  <c r="K86" i="2"/>
  <c r="K3" i="2"/>
  <c r="J3" i="2"/>
  <c r="J48" i="2"/>
  <c r="K48" i="2"/>
  <c r="K43" i="2"/>
  <c r="J43" i="2"/>
  <c r="K59" i="2"/>
  <c r="J59" i="2"/>
  <c r="K63" i="2"/>
  <c r="J63" i="2"/>
  <c r="J66" i="2"/>
  <c r="K66" i="2"/>
  <c r="J20" i="2"/>
  <c r="K20" i="2"/>
  <c r="K67" i="2"/>
  <c r="J67" i="2"/>
  <c r="K17" i="2"/>
  <c r="J17" i="2"/>
  <c r="K87" i="2"/>
  <c r="J87" i="2"/>
  <c r="J76" i="2"/>
  <c r="K76" i="2"/>
  <c r="K69" i="2"/>
  <c r="J69" i="2"/>
  <c r="K53" i="2"/>
  <c r="J53" i="2"/>
  <c r="K37" i="2"/>
  <c r="J37" i="2"/>
  <c r="J18" i="2"/>
  <c r="K18" i="2"/>
  <c r="J22" i="2"/>
  <c r="K22" i="2"/>
  <c r="J14" i="2"/>
  <c r="K14" i="2"/>
  <c r="K41" i="2"/>
  <c r="J41" i="2"/>
  <c r="J30" i="2"/>
  <c r="K30" i="2"/>
  <c r="K99" i="2"/>
  <c r="J99" i="2"/>
  <c r="K95" i="2"/>
  <c r="J95" i="2"/>
  <c r="J78" i="2"/>
  <c r="K78" i="2"/>
  <c r="K33" i="2"/>
  <c r="J33" i="2"/>
  <c r="J34" i="2"/>
  <c r="K34" i="2"/>
  <c r="J12" i="2"/>
  <c r="K12" i="2"/>
  <c r="J74" i="2"/>
  <c r="K74" i="2"/>
  <c r="K89" i="2"/>
  <c r="J89" i="2"/>
  <c r="K83" i="2"/>
  <c r="J83" i="2"/>
  <c r="K9" i="2"/>
  <c r="J9" i="2"/>
  <c r="J52" i="2"/>
  <c r="K52" i="2"/>
  <c r="K5" i="2"/>
  <c r="J5" i="2"/>
  <c r="K57" i="2"/>
  <c r="J57" i="2"/>
  <c r="J94" i="2"/>
  <c r="K94" i="2"/>
  <c r="J64" i="2"/>
  <c r="K64" i="2"/>
  <c r="J8" i="2"/>
  <c r="K8" i="2"/>
  <c r="J82" i="2"/>
  <c r="K82" i="2"/>
  <c r="K73" i="2"/>
  <c r="J73" i="2"/>
  <c r="K55" i="2"/>
  <c r="J55" i="2"/>
  <c r="J42" i="2"/>
  <c r="K42" i="2"/>
  <c r="K35" i="2"/>
  <c r="J35" i="2"/>
  <c r="K25" i="2"/>
  <c r="J25" i="2"/>
  <c r="K19" i="2"/>
  <c r="J19" i="2"/>
  <c r="J10" i="2"/>
  <c r="K10" i="2"/>
  <c r="K11" i="2"/>
  <c r="J11" i="2"/>
  <c r="H99" i="2"/>
  <c r="L99" i="2"/>
  <c r="M99" i="2"/>
  <c r="I99" i="2"/>
  <c r="I4" i="2"/>
  <c r="M4" i="2"/>
  <c r="L4" i="2"/>
  <c r="H4" i="2"/>
  <c r="H97" i="2"/>
  <c r="L97" i="2"/>
  <c r="M97" i="2"/>
  <c r="I97" i="2"/>
  <c r="H84" i="2"/>
  <c r="L84" i="2"/>
  <c r="I84" i="2"/>
  <c r="M84" i="2"/>
  <c r="H46" i="2"/>
  <c r="L46" i="2"/>
  <c r="I46" i="2"/>
  <c r="M46" i="2"/>
  <c r="H39" i="2"/>
  <c r="L39" i="2"/>
  <c r="M39" i="2"/>
  <c r="I39" i="2"/>
  <c r="H26" i="2"/>
  <c r="L26" i="2"/>
  <c r="I26" i="2"/>
  <c r="M26" i="2"/>
  <c r="I56" i="2"/>
  <c r="H56" i="2"/>
  <c r="L56" i="2"/>
  <c r="M56" i="2"/>
  <c r="H47" i="2"/>
  <c r="L47" i="2"/>
  <c r="M47" i="2"/>
  <c r="I47" i="2"/>
  <c r="I6" i="2"/>
  <c r="M6" i="2"/>
  <c r="L6" i="2"/>
  <c r="H6" i="2"/>
  <c r="H68" i="2"/>
  <c r="L68" i="2"/>
  <c r="M68" i="2"/>
  <c r="I68" i="2"/>
  <c r="H62" i="2"/>
  <c r="L62" i="2"/>
  <c r="I62" i="2"/>
  <c r="M62" i="2"/>
  <c r="H65" i="2"/>
  <c r="L65" i="2"/>
  <c r="I65" i="2"/>
  <c r="M65" i="2"/>
  <c r="H70" i="2"/>
  <c r="L70" i="2"/>
  <c r="M70" i="2"/>
  <c r="I70" i="2"/>
  <c r="H21" i="2"/>
  <c r="L21" i="2"/>
  <c r="I21" i="2"/>
  <c r="M21" i="2"/>
  <c r="I79" i="2"/>
  <c r="M79" i="2"/>
  <c r="L79" i="2"/>
  <c r="H79" i="2"/>
  <c r="I44" i="2"/>
  <c r="M44" i="2"/>
  <c r="H44" i="2"/>
  <c r="L44" i="2"/>
  <c r="I88" i="2"/>
  <c r="M88" i="2"/>
  <c r="L88" i="2"/>
  <c r="H88" i="2"/>
  <c r="H77" i="2"/>
  <c r="L77" i="2"/>
  <c r="M77" i="2"/>
  <c r="I77" i="2"/>
  <c r="I71" i="2"/>
  <c r="M71" i="2"/>
  <c r="H71" i="2"/>
  <c r="L71" i="2"/>
  <c r="H50" i="2"/>
  <c r="L50" i="2"/>
  <c r="I50" i="2"/>
  <c r="M50" i="2"/>
  <c r="I38" i="2"/>
  <c r="M38" i="2"/>
  <c r="L38" i="2"/>
  <c r="H38" i="2"/>
  <c r="H31" i="2"/>
  <c r="L31" i="2"/>
  <c r="I31" i="2"/>
  <c r="M31" i="2"/>
  <c r="H24" i="2"/>
  <c r="L24" i="2"/>
  <c r="M24" i="2"/>
  <c r="I24" i="2"/>
  <c r="H16" i="2"/>
  <c r="L16" i="2"/>
  <c r="M16" i="2"/>
  <c r="I16" i="2"/>
  <c r="I92" i="2"/>
  <c r="M92" i="2"/>
  <c r="L92" i="2"/>
  <c r="H92" i="2"/>
  <c r="H100" i="2"/>
  <c r="L100" i="2"/>
  <c r="I100" i="2"/>
  <c r="M100" i="2"/>
  <c r="I96" i="2"/>
  <c r="M96" i="2"/>
  <c r="L96" i="2"/>
  <c r="H96" i="2"/>
  <c r="H81" i="2"/>
  <c r="L81" i="2"/>
  <c r="M81" i="2"/>
  <c r="I81" i="2"/>
  <c r="H49" i="2"/>
  <c r="L49" i="2"/>
  <c r="I49" i="2"/>
  <c r="M49" i="2"/>
  <c r="H36" i="2"/>
  <c r="L36" i="2"/>
  <c r="M36" i="2"/>
  <c r="I36" i="2"/>
  <c r="H86" i="2"/>
  <c r="L86" i="2"/>
  <c r="I86" i="2"/>
  <c r="M86" i="2"/>
  <c r="I3" i="2"/>
  <c r="M3" i="2"/>
  <c r="L3" i="2"/>
  <c r="H3" i="2"/>
  <c r="I48" i="2"/>
  <c r="H48" i="2"/>
  <c r="L48" i="2"/>
  <c r="M48" i="2"/>
  <c r="H43" i="2"/>
  <c r="L43" i="2"/>
  <c r="M43" i="2"/>
  <c r="I43" i="2"/>
  <c r="H59" i="2"/>
  <c r="L59" i="2"/>
  <c r="M59" i="2"/>
  <c r="I59" i="2"/>
  <c r="H63" i="2"/>
  <c r="I63" i="2"/>
  <c r="M63" i="2"/>
  <c r="L63" i="2"/>
  <c r="I66" i="2"/>
  <c r="M66" i="2"/>
  <c r="L66" i="2"/>
  <c r="H66" i="2"/>
  <c r="H20" i="2"/>
  <c r="L20" i="2"/>
  <c r="M20" i="2"/>
  <c r="I20" i="2"/>
  <c r="I67" i="2"/>
  <c r="M67" i="2"/>
  <c r="L67" i="2"/>
  <c r="H67" i="2"/>
  <c r="I17" i="2"/>
  <c r="M17" i="2"/>
  <c r="H17" i="2"/>
  <c r="L17" i="2"/>
  <c r="H87" i="2"/>
  <c r="L87" i="2"/>
  <c r="I87" i="2"/>
  <c r="M87" i="2"/>
  <c r="H76" i="2"/>
  <c r="L76" i="2"/>
  <c r="M76" i="2"/>
  <c r="I76" i="2"/>
  <c r="H69" i="2"/>
  <c r="L69" i="2"/>
  <c r="I69" i="2"/>
  <c r="M69" i="2"/>
  <c r="H53" i="2"/>
  <c r="L53" i="2"/>
  <c r="I53" i="2"/>
  <c r="M53" i="2"/>
  <c r="I37" i="2"/>
  <c r="M37" i="2"/>
  <c r="H37" i="2"/>
  <c r="L37" i="2"/>
  <c r="H18" i="2"/>
  <c r="L18" i="2"/>
  <c r="I18" i="2"/>
  <c r="M18" i="2"/>
  <c r="H22" i="2"/>
  <c r="L22" i="2"/>
  <c r="I22" i="2"/>
  <c r="M22" i="2"/>
  <c r="H14" i="2"/>
  <c r="L14" i="2"/>
  <c r="I14" i="2"/>
  <c r="M14" i="2"/>
  <c r="H41" i="2"/>
  <c r="L41" i="2"/>
  <c r="I41" i="2"/>
  <c r="M41" i="2"/>
  <c r="H78" i="2"/>
  <c r="L78" i="2"/>
  <c r="M78" i="2"/>
  <c r="I78" i="2"/>
  <c r="I33" i="2"/>
  <c r="M33" i="2"/>
  <c r="H33" i="2"/>
  <c r="L33" i="2"/>
  <c r="H34" i="2"/>
  <c r="L34" i="2"/>
  <c r="I34" i="2"/>
  <c r="M34" i="2"/>
  <c r="H12" i="2"/>
  <c r="L12" i="2"/>
  <c r="M12" i="2"/>
  <c r="I12" i="2"/>
  <c r="H74" i="2"/>
  <c r="L74" i="2"/>
  <c r="M74" i="2"/>
  <c r="I74" i="2"/>
  <c r="H89" i="2"/>
  <c r="L89" i="2"/>
  <c r="I89" i="2"/>
  <c r="M89" i="2"/>
  <c r="H83" i="2"/>
  <c r="L83" i="2"/>
  <c r="I83" i="2"/>
  <c r="M83" i="2"/>
  <c r="H9" i="2"/>
  <c r="L9" i="2"/>
  <c r="I9" i="2"/>
  <c r="M9" i="2"/>
  <c r="I52" i="2"/>
  <c r="M52" i="2"/>
  <c r="H52" i="2"/>
  <c r="L52" i="2"/>
  <c r="H5" i="2"/>
  <c r="L5" i="2"/>
  <c r="M5" i="2"/>
  <c r="I5" i="2"/>
  <c r="H57" i="2"/>
  <c r="L57" i="2"/>
  <c r="I57" i="2"/>
  <c r="M57" i="2"/>
  <c r="I94" i="2"/>
  <c r="M94" i="2"/>
  <c r="L94" i="2"/>
  <c r="H94" i="2"/>
  <c r="I64" i="2"/>
  <c r="M64" i="2"/>
  <c r="H64" i="2"/>
  <c r="L64" i="2"/>
  <c r="I8" i="2"/>
  <c r="M8" i="2"/>
  <c r="L8" i="2"/>
  <c r="H8" i="2"/>
  <c r="H82" i="2"/>
  <c r="L82" i="2"/>
  <c r="I82" i="2"/>
  <c r="M82" i="2"/>
  <c r="H73" i="2"/>
  <c r="L73" i="2"/>
  <c r="M73" i="2"/>
  <c r="I73" i="2"/>
  <c r="H55" i="2"/>
  <c r="L55" i="2"/>
  <c r="M55" i="2"/>
  <c r="I55" i="2"/>
  <c r="H42" i="2"/>
  <c r="L42" i="2"/>
  <c r="I42" i="2"/>
  <c r="M42" i="2"/>
  <c r="I35" i="2"/>
  <c r="M35" i="2"/>
  <c r="L35" i="2"/>
  <c r="H35" i="2"/>
  <c r="I25" i="2"/>
  <c r="M25" i="2"/>
  <c r="H25" i="2"/>
  <c r="L25" i="2"/>
  <c r="H19" i="2"/>
  <c r="L19" i="2"/>
  <c r="I19" i="2"/>
  <c r="M19" i="2"/>
  <c r="I10" i="2"/>
  <c r="M10" i="2"/>
  <c r="H10" i="2"/>
  <c r="L10" i="2"/>
  <c r="H11" i="2"/>
  <c r="L11" i="2"/>
  <c r="I11" i="2"/>
  <c r="M11" i="2"/>
  <c r="H95" i="2"/>
  <c r="L95" i="2"/>
  <c r="I95" i="2"/>
  <c r="M95" i="2"/>
  <c r="I98" i="2"/>
  <c r="M98" i="2"/>
  <c r="L98" i="2"/>
  <c r="H98" i="2"/>
  <c r="I90" i="2"/>
  <c r="M90" i="2"/>
  <c r="L90" i="2"/>
  <c r="H90" i="2"/>
  <c r="H61" i="2"/>
  <c r="L61" i="2"/>
  <c r="I61" i="2"/>
  <c r="M61" i="2"/>
  <c r="M29" i="2"/>
  <c r="H29" i="2"/>
  <c r="L29" i="2"/>
  <c r="I29" i="2"/>
  <c r="N29" i="2" s="1"/>
  <c r="H30" i="2"/>
  <c r="L30" i="2"/>
  <c r="I30" i="2"/>
  <c r="M30" i="2"/>
  <c r="H13" i="2"/>
  <c r="L13" i="2"/>
  <c r="I13" i="2"/>
  <c r="M13" i="2"/>
  <c r="I75" i="2"/>
  <c r="M75" i="2"/>
  <c r="L75" i="2"/>
  <c r="H75" i="2"/>
  <c r="H58" i="2"/>
  <c r="L58" i="2"/>
  <c r="I58" i="2"/>
  <c r="M58" i="2"/>
  <c r="H23" i="2"/>
  <c r="L23" i="2"/>
  <c r="I23" i="2"/>
  <c r="M23" i="2"/>
  <c r="H15" i="2"/>
  <c r="L15" i="2"/>
  <c r="I15" i="2"/>
  <c r="M15" i="2"/>
  <c r="H51" i="2"/>
  <c r="L51" i="2"/>
  <c r="M51" i="2"/>
  <c r="I51" i="2"/>
  <c r="H85" i="2"/>
  <c r="L85" i="2"/>
  <c r="I85" i="2"/>
  <c r="M85" i="2"/>
  <c r="H45" i="2"/>
  <c r="L45" i="2"/>
  <c r="I45" i="2"/>
  <c r="M45" i="2"/>
  <c r="H91" i="2"/>
  <c r="L91" i="2"/>
  <c r="I91" i="2"/>
  <c r="M91" i="2"/>
  <c r="I60" i="2"/>
  <c r="M60" i="2"/>
  <c r="H60" i="2"/>
  <c r="L60" i="2"/>
  <c r="H93" i="2"/>
  <c r="L93" i="2"/>
  <c r="I93" i="2"/>
  <c r="M93" i="2"/>
  <c r="H80" i="2"/>
  <c r="L80" i="2"/>
  <c r="M80" i="2"/>
  <c r="I80" i="2"/>
  <c r="H72" i="2"/>
  <c r="L72" i="2"/>
  <c r="M72" i="2"/>
  <c r="I72" i="2"/>
  <c r="H54" i="2"/>
  <c r="L54" i="2"/>
  <c r="I54" i="2"/>
  <c r="M54" i="2"/>
  <c r="M40" i="2"/>
  <c r="H40" i="2"/>
  <c r="L40" i="2"/>
  <c r="I40" i="2"/>
  <c r="H32" i="2"/>
  <c r="L32" i="2"/>
  <c r="M32" i="2"/>
  <c r="I32" i="2"/>
  <c r="H27" i="2"/>
  <c r="L27" i="2"/>
  <c r="I27" i="2"/>
  <c r="M27" i="2"/>
  <c r="H28" i="2"/>
  <c r="L28" i="2"/>
  <c r="M28" i="2"/>
  <c r="I28" i="2"/>
  <c r="I7" i="2"/>
  <c r="M7" i="2"/>
  <c r="L7" i="2"/>
  <c r="H7" i="2"/>
  <c r="H2" i="2"/>
  <c r="I2" i="2"/>
  <c r="J2" i="2"/>
  <c r="K2" i="2"/>
  <c r="L2" i="2"/>
  <c r="M2" i="2"/>
  <c r="X1" i="1"/>
  <c r="AA3" i="1"/>
  <c r="AD3" i="1"/>
  <c r="V2" i="1"/>
  <c r="X2" i="1"/>
  <c r="AA1" i="1"/>
  <c r="AD1" i="1"/>
  <c r="X3" i="1"/>
  <c r="AA2" i="1"/>
  <c r="AD2" i="1"/>
  <c r="X4" i="1"/>
  <c r="AA4" i="1"/>
  <c r="AD4" i="1"/>
  <c r="X5" i="1"/>
  <c r="AA5" i="1"/>
  <c r="AD5" i="1"/>
  <c r="X6" i="1"/>
  <c r="AA6" i="1"/>
  <c r="AD6" i="1"/>
  <c r="X7" i="1"/>
  <c r="AA7" i="1"/>
  <c r="AD7" i="1"/>
  <c r="X8" i="1"/>
  <c r="AA8" i="1"/>
  <c r="AD8" i="1"/>
  <c r="X9" i="1"/>
  <c r="AA9" i="1"/>
  <c r="AD9" i="1"/>
  <c r="X10" i="1"/>
  <c r="AA10" i="1"/>
  <c r="AD10" i="1"/>
  <c r="X11" i="1"/>
  <c r="AA11" i="1"/>
  <c r="AD11" i="1"/>
  <c r="X12" i="1"/>
  <c r="AA12" i="1"/>
  <c r="AD12" i="1"/>
  <c r="X13" i="1"/>
  <c r="AA13" i="1"/>
  <c r="AD13" i="1"/>
  <c r="X14" i="1"/>
  <c r="AA14" i="1"/>
  <c r="AD14" i="1"/>
  <c r="X15" i="1"/>
  <c r="AA15" i="1"/>
  <c r="AD15" i="1"/>
  <c r="X16" i="1"/>
  <c r="AA16" i="1"/>
  <c r="AD16" i="1"/>
  <c r="X17" i="1"/>
  <c r="AA17" i="1"/>
  <c r="AD17" i="1"/>
  <c r="K104" i="1"/>
  <c r="L104" i="1"/>
  <c r="M104" i="1"/>
  <c r="K85" i="1"/>
  <c r="L85" i="1"/>
  <c r="M85" i="1"/>
  <c r="K122" i="1"/>
  <c r="L122" i="1"/>
  <c r="M122" i="1"/>
  <c r="K164" i="1"/>
  <c r="L164" i="1"/>
  <c r="M164" i="1"/>
  <c r="K33" i="1"/>
  <c r="L33" i="1"/>
  <c r="M33" i="1"/>
  <c r="K5" i="1"/>
  <c r="L5" i="1"/>
  <c r="M5" i="1"/>
  <c r="K145" i="1"/>
  <c r="L145" i="1"/>
  <c r="M145" i="1"/>
  <c r="K126" i="1"/>
  <c r="L126" i="1"/>
  <c r="M126" i="1"/>
  <c r="K115" i="1"/>
  <c r="L115" i="1"/>
  <c r="M115" i="1"/>
  <c r="K105" i="1"/>
  <c r="L105" i="1"/>
  <c r="M105" i="1"/>
  <c r="K60" i="1"/>
  <c r="L60" i="1"/>
  <c r="M60" i="1"/>
  <c r="K121" i="1"/>
  <c r="L121" i="1"/>
  <c r="M121" i="1"/>
  <c r="K156" i="1"/>
  <c r="L156" i="1"/>
  <c r="M156" i="1"/>
  <c r="N101" i="1" l="1"/>
  <c r="N45" i="1"/>
  <c r="N138" i="1"/>
  <c r="N9" i="1"/>
  <c r="N42" i="1"/>
  <c r="N15" i="1"/>
  <c r="N8" i="1"/>
  <c r="N74" i="1"/>
  <c r="N103" i="1"/>
  <c r="N88" i="1"/>
  <c r="N157" i="1"/>
  <c r="N10" i="1"/>
  <c r="N140" i="1"/>
  <c r="N53" i="1"/>
  <c r="N3" i="1"/>
  <c r="N23" i="1"/>
  <c r="N2" i="1"/>
  <c r="N86" i="1"/>
  <c r="N61" i="1"/>
  <c r="N113" i="1"/>
  <c r="N75" i="1"/>
  <c r="N69" i="1"/>
  <c r="N165" i="1"/>
  <c r="N72" i="1"/>
  <c r="N155" i="1"/>
  <c r="N94" i="1"/>
  <c r="N24" i="1"/>
  <c r="N80" i="1"/>
  <c r="N96" i="1"/>
  <c r="N50" i="1"/>
  <c r="N93" i="1"/>
  <c r="N82" i="1"/>
  <c r="N91" i="1"/>
  <c r="N12" i="1"/>
  <c r="N147" i="1"/>
  <c r="N128" i="1"/>
  <c r="N123" i="1"/>
  <c r="N4" i="1"/>
  <c r="N59" i="1"/>
  <c r="N149" i="1"/>
  <c r="N13" i="1"/>
  <c r="N130" i="1"/>
  <c r="N127" i="1"/>
  <c r="N49" i="1"/>
  <c r="N125" i="1"/>
  <c r="N154" i="1"/>
  <c r="N31" i="1"/>
  <c r="N112" i="1"/>
  <c r="N39" i="1"/>
  <c r="N28" i="1"/>
  <c r="N136" i="1"/>
  <c r="N41" i="1"/>
  <c r="N77" i="1"/>
  <c r="N143" i="1"/>
  <c r="N161" i="1"/>
  <c r="N163" i="1"/>
  <c r="N48" i="1"/>
  <c r="N63" i="1"/>
  <c r="N89" i="1"/>
  <c r="N108" i="1"/>
  <c r="N38" i="1"/>
  <c r="N36" i="1"/>
  <c r="N47" i="1"/>
  <c r="N151" i="1"/>
  <c r="N21" i="1"/>
  <c r="N90" i="1"/>
  <c r="N37" i="1"/>
  <c r="N25" i="1"/>
  <c r="N100" i="1"/>
  <c r="N81" i="1"/>
  <c r="N14" i="1"/>
  <c r="N152" i="1"/>
  <c r="N109" i="1"/>
  <c r="N119" i="1"/>
  <c r="N144" i="1"/>
  <c r="N95" i="1"/>
  <c r="N131" i="1"/>
  <c r="N120" i="1"/>
  <c r="N133" i="1"/>
  <c r="N51" i="1"/>
  <c r="N92" i="1"/>
  <c r="N64" i="1"/>
  <c r="N97" i="1"/>
  <c r="N118" i="1"/>
  <c r="N68" i="1"/>
  <c r="N62" i="1"/>
  <c r="N160" i="1"/>
  <c r="N19" i="1"/>
  <c r="N67" i="1"/>
  <c r="N56" i="1"/>
  <c r="N57" i="1"/>
  <c r="N166" i="1"/>
  <c r="N87" i="1"/>
  <c r="N78" i="1"/>
  <c r="N29" i="1"/>
  <c r="N22" i="1"/>
  <c r="N148" i="1"/>
  <c r="N111" i="1"/>
  <c r="N141" i="1"/>
  <c r="N84" i="1"/>
  <c r="N129" i="1"/>
  <c r="N150" i="1"/>
  <c r="N11" i="1"/>
  <c r="N32" i="1"/>
  <c r="N65" i="1"/>
  <c r="N110" i="1"/>
  <c r="N83" i="1"/>
  <c r="N73" i="1"/>
  <c r="N46" i="1"/>
  <c r="N114" i="1"/>
  <c r="N134" i="1"/>
  <c r="N43" i="1"/>
  <c r="N79" i="1"/>
  <c r="N99" i="1"/>
  <c r="N117" i="1"/>
  <c r="N106" i="1"/>
  <c r="N35" i="1"/>
  <c r="N159" i="1"/>
  <c r="N139" i="1"/>
  <c r="N34" i="1"/>
  <c r="N98" i="1"/>
  <c r="N1" i="1"/>
  <c r="N137" i="1"/>
  <c r="N135" i="1"/>
  <c r="N142" i="1"/>
  <c r="N16" i="1"/>
  <c r="N7" i="1"/>
  <c r="N116" i="1"/>
  <c r="N162" i="1"/>
  <c r="N27" i="1"/>
  <c r="N70" i="1"/>
  <c r="N132" i="1"/>
  <c r="N20" i="1"/>
  <c r="N76" i="1"/>
  <c r="N26" i="1"/>
  <c r="N6" i="1"/>
  <c r="N18" i="1"/>
  <c r="N71" i="1"/>
  <c r="N153" i="1"/>
  <c r="N44" i="1"/>
  <c r="N158" i="1"/>
  <c r="N102" i="1"/>
  <c r="N66" i="1"/>
  <c r="N30" i="1"/>
  <c r="N17" i="1"/>
  <c r="N54" i="1"/>
  <c r="N146" i="1"/>
  <c r="G145" i="1"/>
  <c r="G164" i="1"/>
  <c r="G85" i="1"/>
  <c r="G156" i="1"/>
  <c r="G115" i="1"/>
  <c r="G105" i="1"/>
  <c r="G5" i="1"/>
  <c r="G33" i="1"/>
  <c r="G121" i="1"/>
  <c r="G60" i="1"/>
  <c r="G126" i="1"/>
  <c r="G122" i="1"/>
  <c r="G104" i="1"/>
  <c r="N104" i="1"/>
  <c r="N60" i="1"/>
  <c r="N58" i="1"/>
  <c r="N40" i="1"/>
  <c r="N107" i="1"/>
  <c r="N156" i="1"/>
  <c r="N52" i="1"/>
  <c r="N124" i="1"/>
  <c r="N55" i="1"/>
  <c r="N164" i="1"/>
  <c r="N33" i="1"/>
  <c r="N122" i="1"/>
  <c r="N145" i="1"/>
  <c r="N5" i="1"/>
  <c r="N115" i="1"/>
  <c r="N85" i="1"/>
  <c r="N105" i="1"/>
  <c r="N28" i="2"/>
  <c r="N27" i="2"/>
  <c r="N32" i="2"/>
  <c r="N54" i="2"/>
  <c r="N72" i="2"/>
  <c r="N80" i="2"/>
  <c r="N91" i="2"/>
  <c r="N51" i="2"/>
  <c r="N15" i="2"/>
  <c r="N23" i="2"/>
  <c r="N58" i="2"/>
  <c r="N30" i="2"/>
  <c r="N95" i="2"/>
  <c r="N11" i="2"/>
  <c r="N19" i="2"/>
  <c r="N25" i="2"/>
  <c r="N42" i="2"/>
  <c r="N55" i="2"/>
  <c r="N82" i="2"/>
  <c r="N83" i="2"/>
  <c r="N74" i="2"/>
  <c r="N12" i="2"/>
  <c r="N34" i="2"/>
  <c r="N33" i="2"/>
  <c r="N78" i="2"/>
  <c r="N14" i="2"/>
  <c r="N22" i="2"/>
  <c r="N18" i="2"/>
  <c r="N37" i="2"/>
  <c r="N76" i="2"/>
  <c r="N87" i="2"/>
  <c r="N17" i="2"/>
  <c r="N63" i="2"/>
  <c r="N86" i="2"/>
  <c r="N100" i="2"/>
  <c r="N31" i="2"/>
  <c r="N50" i="2"/>
  <c r="N62" i="2"/>
  <c r="N26" i="2"/>
  <c r="N67" i="2"/>
  <c r="N66" i="2"/>
  <c r="N3" i="2"/>
  <c r="N81" i="2"/>
  <c r="N96" i="2"/>
  <c r="N92" i="2"/>
  <c r="N38" i="2"/>
  <c r="N77" i="2"/>
  <c r="N88" i="2"/>
  <c r="N79" i="2"/>
  <c r="N6" i="2"/>
  <c r="N97" i="2"/>
  <c r="N4" i="2"/>
  <c r="N7" i="2"/>
  <c r="N75" i="2"/>
  <c r="N90" i="2"/>
  <c r="N98" i="2"/>
  <c r="N35" i="2"/>
  <c r="N73" i="2"/>
  <c r="N8" i="2"/>
  <c r="N94" i="2"/>
  <c r="N5" i="2"/>
  <c r="N93" i="2"/>
  <c r="N60" i="2"/>
  <c r="N45" i="2"/>
  <c r="N85" i="2"/>
  <c r="N13" i="2"/>
  <c r="N61" i="2"/>
  <c r="N10" i="2"/>
  <c r="N64" i="2"/>
  <c r="N57" i="2"/>
  <c r="N52" i="2"/>
  <c r="N9" i="2"/>
  <c r="N89" i="2"/>
  <c r="N41" i="2"/>
  <c r="N53" i="2"/>
  <c r="N69" i="2"/>
  <c r="N49" i="2"/>
  <c r="N71" i="2"/>
  <c r="N44" i="2"/>
  <c r="N21" i="2"/>
  <c r="N65" i="2"/>
  <c r="N40" i="2"/>
  <c r="N48" i="2"/>
  <c r="N56" i="2"/>
  <c r="N20" i="2"/>
  <c r="N59" i="2"/>
  <c r="N43" i="2"/>
  <c r="N36" i="2"/>
  <c r="N16" i="2"/>
  <c r="N24" i="2"/>
  <c r="N70" i="2"/>
  <c r="N68" i="2"/>
  <c r="N47" i="2"/>
  <c r="N39" i="2"/>
  <c r="N46" i="2"/>
  <c r="N84" i="2"/>
  <c r="N99" i="2"/>
  <c r="Q6" i="2"/>
  <c r="N2" i="2"/>
  <c r="Q8" i="2"/>
  <c r="Q7" i="2"/>
  <c r="Q3" i="2"/>
  <c r="Q4" i="2"/>
  <c r="Q5" i="2"/>
  <c r="AH35" i="1" l="1"/>
  <c r="AC37" i="1"/>
  <c r="AJ31" i="1"/>
  <c r="AM29" i="1"/>
  <c r="AB24" i="1"/>
  <c r="AL35" i="1"/>
  <c r="X30" i="1"/>
  <c r="AD24" i="1"/>
  <c r="AJ35" i="1"/>
  <c r="Z30" i="1"/>
  <c r="AG28" i="1"/>
  <c r="AL39" i="1"/>
  <c r="X34" i="1"/>
  <c r="AE28" i="1"/>
  <c r="AJ39" i="1"/>
  <c r="Z34" i="1"/>
  <c r="AK29" i="1"/>
  <c r="Z24" i="1"/>
  <c r="AF35" i="1"/>
  <c r="Z26" i="1"/>
  <c r="AE37" i="1"/>
  <c r="Y32" i="1"/>
  <c r="AB26" i="1"/>
  <c r="AK33" i="1"/>
  <c r="AA28" i="1"/>
  <c r="AF39" i="1"/>
  <c r="AM33" i="1"/>
  <c r="AF24" i="1"/>
  <c r="Y36" i="1"/>
  <c r="AF26" i="1"/>
  <c r="AK37" i="1"/>
  <c r="AA32" i="1"/>
  <c r="AH26" i="1"/>
  <c r="AM37" i="1"/>
  <c r="AG33" i="1"/>
  <c r="AN27" i="1"/>
  <c r="AB39" i="1"/>
  <c r="AI33" i="1"/>
  <c r="AC28" i="1"/>
  <c r="AH39" i="1"/>
  <c r="AG37" i="1"/>
  <c r="AN31" i="1"/>
  <c r="AD26" i="1"/>
  <c r="AI37" i="1"/>
  <c r="AC32" i="1"/>
  <c r="AB30" i="1"/>
  <c r="AH24" i="1"/>
  <c r="AN35" i="1"/>
  <c r="AD30" i="1"/>
  <c r="AJ24" i="1"/>
  <c r="X25" i="1"/>
  <c r="AI25" i="1"/>
  <c r="AF27" i="1"/>
  <c r="AC29" i="1"/>
  <c r="AD31" i="1"/>
  <c r="AN32" i="1"/>
  <c r="AK34" i="1"/>
  <c r="AH36" i="1"/>
  <c r="AI38" i="1"/>
  <c r="AB40" i="1"/>
  <c r="AA25" i="1"/>
  <c r="X27" i="1"/>
  <c r="AL28" i="1"/>
  <c r="AM30" i="1"/>
  <c r="AE33" i="1"/>
  <c r="AB35" i="1"/>
  <c r="Y37" i="1"/>
  <c r="Z39" i="1"/>
  <c r="X26" i="1"/>
  <c r="X36" i="1"/>
  <c r="AL37" i="1"/>
  <c r="AI39" i="1"/>
  <c r="AK24" i="1"/>
  <c r="AI26" i="1"/>
  <c r="AB28" i="1"/>
  <c r="Y30" i="1"/>
  <c r="AM31" i="1"/>
  <c r="AN33" i="1"/>
  <c r="AG35" i="1"/>
  <c r="AD37" i="1"/>
  <c r="I161" i="1" s="1"/>
  <c r="AA39" i="1"/>
  <c r="AC24" i="1"/>
  <c r="AA26" i="1"/>
  <c r="AJ28" i="1"/>
  <c r="AG30" i="1"/>
  <c r="AD32" i="1"/>
  <c r="AE34" i="1"/>
  <c r="Y35" i="1"/>
  <c r="AM36" i="1"/>
  <c r="AJ38" i="1"/>
  <c r="AK40" i="1"/>
  <c r="AJ25" i="1"/>
  <c r="H165" i="1" s="1"/>
  <c r="AC27" i="1"/>
  <c r="Z29" i="1"/>
  <c r="AN30" i="1"/>
  <c r="X33" i="1"/>
  <c r="AH34" i="1"/>
  <c r="AE36" i="1"/>
  <c r="AB38" i="1"/>
  <c r="AC40" i="1"/>
  <c r="AB25" i="1"/>
  <c r="AK27" i="1"/>
  <c r="AH29" i="1"/>
  <c r="AE31" i="1"/>
  <c r="AF33" i="1"/>
  <c r="Y28" i="1"/>
  <c r="AH30" i="1"/>
  <c r="AE32" i="1"/>
  <c r="AB34" i="1"/>
  <c r="AC36" i="1"/>
  <c r="AG32" i="1"/>
  <c r="AL27" i="1"/>
  <c r="AE30" i="1"/>
  <c r="AJ37" i="1"/>
  <c r="AM27" i="1"/>
  <c r="Z36" i="1"/>
  <c r="AH25" i="1"/>
  <c r="AM32" i="1"/>
  <c r="AB37" i="1"/>
  <c r="X38" i="1"/>
  <c r="AD39" i="1"/>
  <c r="AK38" i="1"/>
  <c r="AH40" i="1"/>
  <c r="AG25" i="1"/>
  <c r="AH27" i="1"/>
  <c r="AA29" i="1"/>
  <c r="X31" i="1"/>
  <c r="AL32" i="1"/>
  <c r="I53" i="1" s="1"/>
  <c r="AM34" i="1"/>
  <c r="AF36" i="1"/>
  <c r="AC38" i="1"/>
  <c r="Z40" i="1"/>
  <c r="Y25" i="1"/>
  <c r="Z27" i="1"/>
  <c r="AI29" i="1"/>
  <c r="AF31" i="1"/>
  <c r="AC33" i="1"/>
  <c r="AD35" i="1"/>
  <c r="AJ40" i="1"/>
  <c r="AB32" i="1"/>
  <c r="Y34" i="1"/>
  <c r="AM35" i="1"/>
  <c r="AN37" i="1"/>
  <c r="AG39" i="1"/>
  <c r="AE24" i="1"/>
  <c r="AC26" i="1"/>
  <c r="Z28" i="1"/>
  <c r="AA30" i="1"/>
  <c r="AK31" i="1"/>
  <c r="AH33" i="1"/>
  <c r="AE35" i="1"/>
  <c r="AF37" i="1"/>
  <c r="X40" i="1"/>
  <c r="AM24" i="1"/>
  <c r="AK26" i="1"/>
  <c r="AH28" i="1"/>
  <c r="AI30" i="1"/>
  <c r="AC31" i="1"/>
  <c r="Z33" i="1"/>
  <c r="AN34" i="1"/>
  <c r="X37" i="1"/>
  <c r="AH38" i="1"/>
  <c r="AE40" i="1"/>
  <c r="AD25" i="1"/>
  <c r="AA27" i="1"/>
  <c r="AB29" i="1"/>
  <c r="AL30" i="1"/>
  <c r="AI32" i="1"/>
  <c r="AF34" i="1"/>
  <c r="AG36" i="1"/>
  <c r="Y39" i="1"/>
  <c r="AM40" i="1"/>
  <c r="AL25" i="1"/>
  <c r="AI27" i="1"/>
  <c r="AJ29" i="1"/>
  <c r="AN24" i="1"/>
  <c r="AL26" i="1"/>
  <c r="AI28" i="1"/>
  <c r="AF30" i="1"/>
  <c r="AK39" i="1"/>
  <c r="AD28" i="1"/>
  <c r="AI35" i="1"/>
  <c r="Y26" i="1"/>
  <c r="AC34" i="1"/>
  <c r="AI40" i="1"/>
  <c r="Y31" i="1"/>
  <c r="AD38" i="1"/>
  <c r="AN26" i="1"/>
  <c r="AD33" i="1"/>
  <c r="AD34" i="1"/>
  <c r="AN36" i="1"/>
  <c r="X35" i="1"/>
  <c r="AL36" i="1"/>
  <c r="AM38" i="1"/>
  <c r="AF40" i="1"/>
  <c r="AE25" i="1"/>
  <c r="AB27" i="1"/>
  <c r="Y29" i="1"/>
  <c r="Z31" i="1"/>
  <c r="AJ32" i="1"/>
  <c r="AG34" i="1"/>
  <c r="AD36" i="1"/>
  <c r="AE38" i="1"/>
  <c r="AN40" i="1"/>
  <c r="AM25" i="1"/>
  <c r="AJ27" i="1"/>
  <c r="AG29" i="1"/>
  <c r="AH31" i="1"/>
  <c r="AA33" i="1"/>
  <c r="AF28" i="1"/>
  <c r="AC30" i="1"/>
  <c r="Z32" i="1"/>
  <c r="AA34" i="1"/>
  <c r="AK35" i="1"/>
  <c r="AH37" i="1"/>
  <c r="AE39" i="1"/>
  <c r="AG24" i="1"/>
  <c r="AE26" i="1"/>
  <c r="X28" i="1"/>
  <c r="AL29" i="1"/>
  <c r="AI31" i="1"/>
  <c r="AJ33" i="1"/>
  <c r="AB36" i="1"/>
  <c r="Y38" i="1"/>
  <c r="AM39" i="1"/>
  <c r="X24" i="1"/>
  <c r="AM26" i="1"/>
  <c r="AG27" i="1"/>
  <c r="AD29" i="1"/>
  <c r="AA31" i="1"/>
  <c r="AB33" i="1"/>
  <c r="AL34" i="1"/>
  <c r="AI36" i="1"/>
  <c r="AF38" i="1"/>
  <c r="AG40" i="1"/>
  <c r="AF25" i="1"/>
  <c r="H69" i="1" s="1"/>
  <c r="Y27" i="1"/>
  <c r="AM28" i="1"/>
  <c r="AJ30" i="1"/>
  <c r="AK32" i="1"/>
  <c r="AC35" i="1"/>
  <c r="Z37" i="1"/>
  <c r="AN38" i="1"/>
  <c r="Y24" i="1"/>
  <c r="AN25" i="1"/>
  <c r="Z38" i="1"/>
  <c r="AN39" i="1"/>
  <c r="AL24" i="1"/>
  <c r="AJ26" i="1"/>
  <c r="AK28" i="1"/>
  <c r="AI24" i="1"/>
  <c r="X32" i="1"/>
  <c r="AC39" i="1"/>
  <c r="AN29" i="1"/>
  <c r="AA38" i="1"/>
  <c r="AE27" i="1"/>
  <c r="AJ34" i="1"/>
  <c r="Z25" i="1"/>
  <c r="AG31" i="1"/>
  <c r="AL31" i="1"/>
  <c r="Y40" i="1"/>
  <c r="AE29" i="1"/>
  <c r="AB31" i="1"/>
  <c r="Y33" i="1"/>
  <c r="Z35" i="1"/>
  <c r="AJ36" i="1"/>
  <c r="AG38" i="1"/>
  <c r="AD40" i="1"/>
  <c r="I75" i="1" s="1"/>
  <c r="AC25" i="1"/>
  <c r="AD27" i="1"/>
  <c r="AN28" i="1"/>
  <c r="AK30" i="1"/>
  <c r="AH32" i="1"/>
  <c r="AI34" i="1"/>
  <c r="AA37" i="1"/>
  <c r="X39" i="1"/>
  <c r="I47" i="1" s="1"/>
  <c r="AL40" i="1"/>
  <c r="I39" i="1" s="1"/>
  <c r="AK25" i="1"/>
  <c r="I146" i="1" s="1"/>
  <c r="AG26" i="1"/>
  <c r="AL33" i="1"/>
  <c r="AA24" i="1"/>
  <c r="AF32" i="1"/>
  <c r="AL38" i="1"/>
  <c r="AF29" i="1"/>
  <c r="AK36" i="1"/>
  <c r="AA40" i="1"/>
  <c r="X29" i="1"/>
  <c r="AA35" i="1"/>
  <c r="AA36" i="1"/>
  <c r="J159" i="1"/>
  <c r="J34" i="1"/>
  <c r="Q10" i="2"/>
  <c r="I10" i="1" l="1"/>
  <c r="J61" i="1"/>
  <c r="H38" i="1"/>
  <c r="J27" i="1"/>
  <c r="I130" i="1"/>
  <c r="H65" i="1"/>
  <c r="I86" i="1"/>
  <c r="J64" i="1"/>
  <c r="H73" i="1"/>
  <c r="H113" i="1"/>
  <c r="I103" i="1"/>
  <c r="I93" i="1"/>
  <c r="I69" i="1"/>
  <c r="H150" i="1"/>
  <c r="H101" i="1"/>
  <c r="H63" i="1"/>
  <c r="I120" i="1"/>
  <c r="I8" i="1"/>
  <c r="I42" i="1"/>
  <c r="H3" i="1"/>
  <c r="H72" i="1"/>
  <c r="H108" i="1"/>
  <c r="J82" i="1"/>
  <c r="I13" i="1"/>
  <c r="I21" i="1"/>
  <c r="I12" i="1"/>
  <c r="H12" i="1"/>
  <c r="I28" i="1"/>
  <c r="I49" i="1"/>
  <c r="H39" i="1"/>
  <c r="H4" i="1"/>
  <c r="H151" i="1"/>
  <c r="I138" i="1"/>
  <c r="H36" i="1"/>
  <c r="J13" i="1"/>
  <c r="I80" i="1"/>
  <c r="H140" i="1"/>
  <c r="J35" i="1"/>
  <c r="J93" i="1"/>
  <c r="I59" i="1"/>
  <c r="J4" i="1"/>
  <c r="H96" i="1"/>
  <c r="I15" i="1"/>
  <c r="J131" i="1"/>
  <c r="J119" i="1"/>
  <c r="H48" i="1"/>
  <c r="J108" i="1"/>
  <c r="I24" i="1"/>
  <c r="J45" i="1"/>
  <c r="I65" i="1"/>
  <c r="I113" i="1"/>
  <c r="I84" i="1"/>
  <c r="J94" i="1"/>
  <c r="J75" i="1"/>
  <c r="H155" i="1"/>
  <c r="H61" i="1"/>
  <c r="I150" i="1"/>
  <c r="I147" i="1"/>
  <c r="J24" i="1"/>
  <c r="J155" i="1"/>
  <c r="J9" i="1"/>
  <c r="I63" i="1"/>
  <c r="J49" i="1"/>
  <c r="J125" i="1"/>
  <c r="H31" i="1"/>
  <c r="J127" i="1"/>
  <c r="H136" i="1"/>
  <c r="H77" i="1"/>
  <c r="I38" i="1"/>
  <c r="J140" i="1"/>
  <c r="I45" i="1"/>
  <c r="I154" i="1"/>
  <c r="H8" i="1"/>
  <c r="H100" i="1"/>
  <c r="H91" i="1"/>
  <c r="H147" i="1"/>
  <c r="J112" i="1"/>
  <c r="H41" i="1"/>
  <c r="I50" i="1"/>
  <c r="I51" i="1"/>
  <c r="J39" i="1"/>
  <c r="H112" i="1"/>
  <c r="H51" i="1"/>
  <c r="J43" i="1"/>
  <c r="I37" i="1"/>
  <c r="H9" i="1"/>
  <c r="H42" i="1"/>
  <c r="I149" i="1"/>
  <c r="I108" i="1"/>
  <c r="I48" i="1"/>
  <c r="J77" i="1"/>
  <c r="J120" i="1"/>
  <c r="H127" i="1"/>
  <c r="I90" i="1"/>
  <c r="J25" i="1"/>
  <c r="J100" i="1"/>
  <c r="I41" i="1"/>
  <c r="H149" i="1"/>
  <c r="H130" i="1"/>
  <c r="J138" i="1"/>
  <c r="H45" i="1"/>
  <c r="I94" i="1"/>
  <c r="I81" i="1"/>
  <c r="J51" i="1"/>
  <c r="J133" i="1"/>
  <c r="I127" i="1"/>
  <c r="H138" i="1"/>
  <c r="H90" i="1"/>
  <c r="I74" i="1"/>
  <c r="H47" i="1"/>
  <c r="H152" i="1"/>
  <c r="I31" i="1"/>
  <c r="H97" i="1"/>
  <c r="H37" i="1"/>
  <c r="I119" i="1"/>
  <c r="J151" i="1"/>
  <c r="J81" i="1"/>
  <c r="J113" i="1"/>
  <c r="I136" i="1"/>
  <c r="H82" i="1"/>
  <c r="I25" i="1"/>
  <c r="J92" i="1"/>
  <c r="H120" i="1"/>
  <c r="J97" i="1"/>
  <c r="I157" i="1"/>
  <c r="H15" i="1"/>
  <c r="H53" i="1"/>
  <c r="J2" i="1"/>
  <c r="J3" i="1"/>
  <c r="I106" i="1"/>
  <c r="I112" i="1"/>
  <c r="J165" i="1"/>
  <c r="J161" i="1"/>
  <c r="J163" i="1"/>
  <c r="J72" i="1"/>
  <c r="J69" i="1"/>
  <c r="J21" i="1"/>
  <c r="H81" i="1"/>
  <c r="H86" i="1"/>
  <c r="I152" i="1"/>
  <c r="I23" i="1"/>
  <c r="H62" i="1"/>
  <c r="J15" i="1"/>
  <c r="H57" i="1"/>
  <c r="H163" i="1"/>
  <c r="H143" i="1"/>
  <c r="I109" i="1"/>
  <c r="H154" i="1"/>
  <c r="I163" i="1"/>
  <c r="I151" i="1"/>
  <c r="J109" i="1"/>
  <c r="I82" i="1"/>
  <c r="J149" i="1"/>
  <c r="I3" i="1"/>
  <c r="J101" i="1"/>
  <c r="J42" i="1"/>
  <c r="J91" i="1"/>
  <c r="J80" i="1"/>
  <c r="H93" i="1"/>
  <c r="J136" i="1"/>
  <c r="J41" i="1"/>
  <c r="J74" i="1"/>
  <c r="H103" i="1"/>
  <c r="I88" i="1"/>
  <c r="I125" i="1"/>
  <c r="I133" i="1"/>
  <c r="I91" i="1"/>
  <c r="H49" i="1"/>
  <c r="H13" i="1"/>
  <c r="J36" i="1"/>
  <c r="I123" i="1"/>
  <c r="H161" i="1"/>
  <c r="I92" i="1"/>
  <c r="H78" i="1"/>
  <c r="I143" i="1"/>
  <c r="H59" i="1"/>
  <c r="J8" i="1"/>
  <c r="J157" i="1"/>
  <c r="J10" i="1"/>
  <c r="I9" i="1"/>
  <c r="J63" i="1"/>
  <c r="J47" i="1"/>
  <c r="J143" i="1"/>
  <c r="H28" i="1"/>
  <c r="H92" i="1"/>
  <c r="H23" i="1"/>
  <c r="J53" i="1"/>
  <c r="H10" i="1"/>
  <c r="I139" i="1"/>
  <c r="H88" i="1"/>
  <c r="H74" i="1"/>
  <c r="J31" i="1"/>
  <c r="I14" i="1"/>
  <c r="H125" i="1"/>
  <c r="J84" i="1"/>
  <c r="I165" i="1"/>
  <c r="J128" i="1"/>
  <c r="H123" i="1"/>
  <c r="J88" i="1"/>
  <c r="I72" i="1"/>
  <c r="H157" i="1"/>
  <c r="H109" i="1"/>
  <c r="H14" i="1"/>
  <c r="H131" i="1"/>
  <c r="H75" i="1"/>
  <c r="J89" i="1"/>
  <c r="J38" i="1"/>
  <c r="I159" i="1"/>
  <c r="H50" i="1"/>
  <c r="J12" i="1"/>
  <c r="J152" i="1"/>
  <c r="J14" i="1"/>
  <c r="I95" i="1"/>
  <c r="J48" i="1"/>
  <c r="I97" i="1"/>
  <c r="J59" i="1"/>
  <c r="I131" i="1"/>
  <c r="J28" i="1"/>
  <c r="J86" i="1"/>
  <c r="H2" i="1"/>
  <c r="H133" i="1"/>
  <c r="H94" i="1"/>
  <c r="J90" i="1"/>
  <c r="H25" i="1"/>
  <c r="I144" i="1"/>
  <c r="H80" i="1"/>
  <c r="I89" i="1"/>
  <c r="H95" i="1"/>
  <c r="J95" i="1"/>
  <c r="H89" i="1"/>
  <c r="I96" i="1"/>
  <c r="I155" i="1"/>
  <c r="I2" i="1"/>
  <c r="J50" i="1"/>
  <c r="J123" i="1"/>
  <c r="H24" i="1"/>
  <c r="I61" i="1"/>
  <c r="H119" i="1"/>
  <c r="H144" i="1"/>
  <c r="J37" i="1"/>
  <c r="H64" i="1"/>
  <c r="J154" i="1"/>
  <c r="I4" i="1"/>
  <c r="I140" i="1"/>
  <c r="J130" i="1"/>
  <c r="J23" i="1"/>
  <c r="I128" i="1"/>
  <c r="H21" i="1"/>
  <c r="I160" i="1"/>
  <c r="I36" i="1"/>
  <c r="I64" i="1"/>
  <c r="J144" i="1"/>
  <c r="J96" i="1"/>
  <c r="J147" i="1"/>
  <c r="I77" i="1"/>
  <c r="H128" i="1"/>
  <c r="J103" i="1"/>
  <c r="I101" i="1"/>
  <c r="I100" i="1"/>
  <c r="I46" i="1"/>
  <c r="I43" i="1"/>
  <c r="H34" i="1"/>
  <c r="I129" i="1"/>
  <c r="I73" i="1"/>
  <c r="H141" i="1"/>
  <c r="I114" i="1"/>
  <c r="H110" i="1"/>
  <c r="H118" i="1"/>
  <c r="I117" i="1"/>
  <c r="J118" i="1"/>
  <c r="J78" i="1"/>
  <c r="H29" i="1"/>
  <c r="I118" i="1"/>
  <c r="I11" i="1"/>
  <c r="J111" i="1"/>
  <c r="I57" i="1"/>
  <c r="I110" i="1"/>
  <c r="J67" i="1"/>
  <c r="H83" i="1"/>
  <c r="I56" i="1"/>
  <c r="J68" i="1"/>
  <c r="J160" i="1"/>
  <c r="H19" i="1"/>
  <c r="H46" i="1"/>
  <c r="H134" i="1"/>
  <c r="J129" i="1"/>
  <c r="H106" i="1"/>
  <c r="J19" i="1"/>
  <c r="J117" i="1"/>
  <c r="J106" i="1"/>
  <c r="I32" i="1"/>
  <c r="J150" i="1"/>
  <c r="J56" i="1"/>
  <c r="J166" i="1"/>
  <c r="I134" i="1"/>
  <c r="I87" i="1"/>
  <c r="I141" i="1"/>
  <c r="J79" i="1"/>
  <c r="H129" i="1"/>
  <c r="H11" i="1"/>
  <c r="J11" i="1"/>
  <c r="J29" i="1"/>
  <c r="H117" i="1"/>
  <c r="J99" i="1"/>
  <c r="H56" i="1"/>
  <c r="H87" i="1"/>
  <c r="I111" i="1"/>
  <c r="I19" i="1"/>
  <c r="J73" i="1"/>
  <c r="H43" i="1"/>
  <c r="H114" i="1"/>
  <c r="I99" i="1"/>
  <c r="I78" i="1"/>
  <c r="J134" i="1"/>
  <c r="H22" i="1"/>
  <c r="H68" i="1"/>
  <c r="H67" i="1"/>
  <c r="J57" i="1"/>
  <c r="J83" i="1"/>
  <c r="H32" i="1"/>
  <c r="H148" i="1"/>
  <c r="J141" i="1"/>
  <c r="J65" i="1"/>
  <c r="J110" i="1"/>
  <c r="J22" i="1"/>
  <c r="I62" i="1"/>
  <c r="I79" i="1"/>
  <c r="J32" i="1"/>
  <c r="H99" i="1"/>
  <c r="H166" i="1"/>
  <c r="J62" i="1"/>
  <c r="I22" i="1"/>
  <c r="I166" i="1"/>
  <c r="J114" i="1"/>
  <c r="J46" i="1"/>
  <c r="I148" i="1"/>
  <c r="H160" i="1"/>
  <c r="J87" i="1"/>
  <c r="I29" i="1"/>
  <c r="H84" i="1"/>
  <c r="H79" i="1"/>
  <c r="I68" i="1"/>
  <c r="J148" i="1"/>
  <c r="I83" i="1"/>
  <c r="H111" i="1"/>
  <c r="I67" i="1"/>
  <c r="J139" i="1"/>
  <c r="H35" i="1"/>
  <c r="I54" i="1"/>
  <c r="I35" i="1"/>
  <c r="H139" i="1"/>
  <c r="I7" i="1"/>
  <c r="H135" i="1"/>
  <c r="I16" i="1"/>
  <c r="H159" i="1"/>
  <c r="P5" i="1"/>
  <c r="P126" i="1"/>
  <c r="P122" i="1"/>
  <c r="O33" i="1"/>
  <c r="O105" i="1"/>
  <c r="O58" i="1"/>
  <c r="O107" i="1"/>
  <c r="O104" i="1"/>
  <c r="O156" i="1"/>
  <c r="I34" i="1"/>
  <c r="H116" i="1"/>
  <c r="J162" i="1"/>
  <c r="I70" i="1"/>
  <c r="H76" i="1"/>
  <c r="I1" i="1"/>
  <c r="H102" i="1"/>
  <c r="I116" i="1"/>
  <c r="I18" i="1"/>
  <c r="I135" i="1"/>
  <c r="H142" i="1"/>
  <c r="J137" i="1"/>
  <c r="H60" i="1"/>
  <c r="I20" i="1"/>
  <c r="J116" i="1"/>
  <c r="I162" i="1"/>
  <c r="H162" i="1"/>
  <c r="I27" i="1"/>
  <c r="H70" i="1"/>
  <c r="J132" i="1"/>
  <c r="I76" i="1"/>
  <c r="J30" i="1"/>
  <c r="I137" i="1"/>
  <c r="J142" i="1"/>
  <c r="H44" i="1"/>
  <c r="H132" i="1"/>
  <c r="J7" i="1"/>
  <c r="J98" i="1"/>
  <c r="H16" i="1"/>
  <c r="H27" i="1"/>
  <c r="H7" i="1"/>
  <c r="I132" i="1"/>
  <c r="J70" i="1"/>
  <c r="I153" i="1"/>
  <c r="J135" i="1"/>
  <c r="J20" i="1"/>
  <c r="I44" i="1"/>
  <c r="I98" i="1"/>
  <c r="H20" i="1"/>
  <c r="J76" i="1"/>
  <c r="I6" i="1"/>
  <c r="I71" i="1"/>
  <c r="I142" i="1"/>
  <c r="J16" i="1"/>
  <c r="H98" i="1"/>
  <c r="J1" i="1"/>
  <c r="H137" i="1"/>
  <c r="H1" i="1"/>
  <c r="H104" i="1"/>
  <c r="J146" i="1"/>
  <c r="H153" i="1"/>
  <c r="H18" i="1"/>
  <c r="J102" i="1"/>
  <c r="J6" i="1"/>
  <c r="H66" i="1"/>
  <c r="H156" i="1"/>
  <c r="H30" i="1"/>
  <c r="J44" i="1"/>
  <c r="I66" i="1"/>
  <c r="H17" i="1"/>
  <c r="J66" i="1"/>
  <c r="I30" i="1"/>
  <c r="H158" i="1"/>
  <c r="J52" i="1"/>
  <c r="J158" i="1"/>
  <c r="J54" i="1"/>
  <c r="H146" i="1"/>
  <c r="I102" i="1"/>
  <c r="J55" i="1"/>
  <c r="J71" i="1"/>
  <c r="J26" i="1"/>
  <c r="I26" i="1"/>
  <c r="H54" i="1"/>
  <c r="H6" i="1"/>
  <c r="J17" i="1"/>
  <c r="H71" i="1"/>
  <c r="J153" i="1"/>
  <c r="H26" i="1"/>
  <c r="I156" i="1"/>
  <c r="J18" i="1"/>
  <c r="I158" i="1"/>
  <c r="I17" i="1"/>
  <c r="O115" i="1"/>
  <c r="O145" i="1"/>
  <c r="O122" i="1"/>
  <c r="O164" i="1"/>
  <c r="O5" i="1"/>
  <c r="O52" i="1"/>
  <c r="O55" i="1"/>
  <c r="O60" i="1"/>
  <c r="O126" i="1"/>
  <c r="O121" i="1"/>
  <c r="O40" i="1"/>
  <c r="O85" i="1"/>
  <c r="O124" i="1"/>
  <c r="P33" i="1"/>
  <c r="P105" i="1"/>
  <c r="P145" i="1"/>
  <c r="P58" i="1"/>
  <c r="P55" i="1"/>
  <c r="P60" i="1"/>
  <c r="P107" i="1"/>
  <c r="P104" i="1"/>
  <c r="P115" i="1"/>
  <c r="P85" i="1"/>
  <c r="P156" i="1"/>
  <c r="P52" i="1"/>
  <c r="P121" i="1"/>
  <c r="P124" i="1"/>
  <c r="P40" i="1"/>
  <c r="P164" i="1"/>
  <c r="N126" i="1"/>
  <c r="N121" i="1"/>
  <c r="I40" i="1"/>
  <c r="H124" i="1"/>
  <c r="J105" i="1"/>
  <c r="J121" i="1"/>
  <c r="J5" i="1"/>
  <c r="H33" i="1"/>
  <c r="I52" i="1"/>
  <c r="H85" i="1"/>
  <c r="H40" i="1"/>
  <c r="P70" i="1"/>
  <c r="P57" i="1"/>
  <c r="P159" i="1"/>
  <c r="P22" i="1"/>
  <c r="P76" i="1"/>
  <c r="P142" i="1"/>
  <c r="P139" i="1"/>
  <c r="P114" i="1"/>
  <c r="P62" i="1"/>
  <c r="P128" i="1"/>
  <c r="P113" i="1"/>
  <c r="P125" i="1"/>
  <c r="P36" i="1"/>
  <c r="P18" i="1"/>
  <c r="P135" i="1"/>
  <c r="P20" i="1"/>
  <c r="P27" i="1"/>
  <c r="P148" i="1"/>
  <c r="P73" i="1"/>
  <c r="P37" i="1"/>
  <c r="P41" i="1"/>
  <c r="P91" i="1"/>
  <c r="P152" i="1"/>
  <c r="P96" i="1"/>
  <c r="P146" i="1"/>
  <c r="P54" i="1"/>
  <c r="P66" i="1"/>
  <c r="P102" i="1"/>
  <c r="P26" i="1"/>
  <c r="P98" i="1"/>
  <c r="P34" i="1"/>
  <c r="P29" i="1"/>
  <c r="P32" i="1"/>
  <c r="P56" i="1"/>
  <c r="P106" i="1"/>
  <c r="P140" i="1"/>
  <c r="P129" i="1"/>
  <c r="P99" i="1"/>
  <c r="P4" i="1"/>
  <c r="P127" i="1"/>
  <c r="P95" i="1"/>
  <c r="P130" i="1"/>
  <c r="P155" i="1"/>
  <c r="P10" i="1"/>
  <c r="P123" i="1"/>
  <c r="P144" i="1"/>
  <c r="P77" i="1"/>
  <c r="P72" i="1"/>
  <c r="P171" i="1"/>
  <c r="P179" i="1"/>
  <c r="P187" i="1"/>
  <c r="P195" i="1"/>
  <c r="P15" i="1"/>
  <c r="P204" i="1"/>
  <c r="P220" i="1"/>
  <c r="P236" i="1"/>
  <c r="P45" i="1"/>
  <c r="P112" i="1"/>
  <c r="P64" i="1"/>
  <c r="P109" i="1"/>
  <c r="P175" i="1"/>
  <c r="P184" i="1"/>
  <c r="P196" i="1"/>
  <c r="P43" i="1"/>
  <c r="P212" i="1"/>
  <c r="P230" i="1"/>
  <c r="P252" i="1"/>
  <c r="P268" i="1"/>
  <c r="P284" i="1"/>
  <c r="P298" i="1"/>
  <c r="P203" i="1"/>
  <c r="P235" i="1"/>
  <c r="P267" i="1"/>
  <c r="P51" i="1"/>
  <c r="P31" i="1"/>
  <c r="P170" i="1"/>
  <c r="P210" i="1"/>
  <c r="P226" i="1"/>
  <c r="P242" i="1"/>
  <c r="P258" i="1"/>
  <c r="P274" i="1"/>
  <c r="P290" i="1"/>
  <c r="P279" i="1"/>
  <c r="P326" i="1"/>
  <c r="P358" i="1"/>
  <c r="P390" i="1"/>
  <c r="P422" i="1"/>
  <c r="P454" i="1"/>
  <c r="P486" i="1"/>
  <c r="P223" i="1"/>
  <c r="P325" i="1"/>
  <c r="P357" i="1"/>
  <c r="P389" i="1"/>
  <c r="P421" i="1"/>
  <c r="P453" i="1"/>
  <c r="P485" i="1"/>
  <c r="P514" i="1"/>
  <c r="P522" i="1"/>
  <c r="P530" i="1"/>
  <c r="P538" i="1"/>
  <c r="P546" i="1"/>
  <c r="P554" i="1"/>
  <c r="P562" i="1"/>
  <c r="P295" i="1"/>
  <c r="P337" i="1"/>
  <c r="P369" i="1"/>
  <c r="P401" i="1"/>
  <c r="P433" i="1"/>
  <c r="P465" i="1"/>
  <c r="P497" i="1"/>
  <c r="P207" i="1"/>
  <c r="P306" i="1"/>
  <c r="P330" i="1"/>
  <c r="P362" i="1"/>
  <c r="P394" i="1"/>
  <c r="P426" i="1"/>
  <c r="P458" i="1"/>
  <c r="P490" i="1"/>
  <c r="P499" i="1"/>
  <c r="P371" i="1"/>
  <c r="P471" i="1"/>
  <c r="P343" i="1"/>
  <c r="P443" i="1"/>
  <c r="P315" i="1"/>
  <c r="P552" i="1"/>
  <c r="P520" i="1"/>
  <c r="P424" i="1"/>
  <c r="P24" i="1"/>
  <c r="P87" i="1"/>
  <c r="P132" i="1"/>
  <c r="P162" i="1"/>
  <c r="P483" i="1"/>
  <c r="P355" i="1"/>
  <c r="P464" i="1"/>
  <c r="P336" i="1"/>
  <c r="P420" i="1"/>
  <c r="P564" i="1"/>
  <c r="P532" i="1"/>
  <c r="P463" i="1"/>
  <c r="P335" i="1"/>
  <c r="P241" i="1"/>
  <c r="P131" i="1"/>
  <c r="P84" i="1"/>
  <c r="P65" i="1"/>
  <c r="P160" i="1"/>
  <c r="P460" i="1"/>
  <c r="P332" i="1"/>
  <c r="P423" i="1"/>
  <c r="P221" i="1"/>
  <c r="P404" i="1"/>
  <c r="P213" i="1"/>
  <c r="P535" i="1"/>
  <c r="P479" i="1"/>
  <c r="P351" i="1"/>
  <c r="P237" i="1"/>
  <c r="P217" i="1"/>
  <c r="P508" i="1"/>
  <c r="P452" i="1"/>
  <c r="P531" i="1"/>
  <c r="P201" i="1"/>
  <c r="P185" i="1"/>
  <c r="P169" i="1"/>
  <c r="P92" i="1"/>
  <c r="P163" i="1"/>
  <c r="P136" i="1"/>
  <c r="P324" i="1"/>
  <c r="P253" i="1"/>
  <c r="P344" i="1"/>
  <c r="P515" i="1"/>
  <c r="P17" i="1"/>
  <c r="P416" i="1"/>
  <c r="P388" i="1"/>
  <c r="P472" i="1"/>
  <c r="P117" i="1"/>
  <c r="P111" i="1"/>
  <c r="P161" i="1"/>
  <c r="P90" i="1"/>
  <c r="P42" i="1"/>
  <c r="P21" i="1"/>
  <c r="P167" i="1"/>
  <c r="P176" i="1"/>
  <c r="P188" i="1"/>
  <c r="P199" i="1"/>
  <c r="P9" i="1"/>
  <c r="P178" i="1"/>
  <c r="P214" i="1"/>
  <c r="P238" i="1"/>
  <c r="P254" i="1"/>
  <c r="P270" i="1"/>
  <c r="P286" i="1"/>
  <c r="P300" i="1"/>
  <c r="P94" i="1"/>
  <c r="P157" i="1"/>
  <c r="P211" i="1"/>
  <c r="P243" i="1"/>
  <c r="P275" i="1"/>
  <c r="P186" i="1"/>
  <c r="P216" i="1"/>
  <c r="P232" i="1"/>
  <c r="P248" i="1"/>
  <c r="P264" i="1"/>
  <c r="P280" i="1"/>
  <c r="P296" i="1"/>
  <c r="P305" i="1"/>
  <c r="P329" i="1"/>
  <c r="P361" i="1"/>
  <c r="P393" i="1"/>
  <c r="P425" i="1"/>
  <c r="P457" i="1"/>
  <c r="P489" i="1"/>
  <c r="P49" i="1"/>
  <c r="P255" i="1"/>
  <c r="P338" i="1"/>
  <c r="P370" i="1"/>
  <c r="P402" i="1"/>
  <c r="P434" i="1"/>
  <c r="P466" i="1"/>
  <c r="P498" i="1"/>
  <c r="P517" i="1"/>
  <c r="P525" i="1"/>
  <c r="P533" i="1"/>
  <c r="P541" i="1"/>
  <c r="P549" i="1"/>
  <c r="P557" i="1"/>
  <c r="P565" i="1"/>
  <c r="P318" i="1"/>
  <c r="P350" i="1"/>
  <c r="P382" i="1"/>
  <c r="P414" i="1"/>
  <c r="P446" i="1"/>
  <c r="P478" i="1"/>
  <c r="P510" i="1"/>
  <c r="P89" i="1"/>
  <c r="P239" i="1"/>
  <c r="P310" i="1"/>
  <c r="P333" i="1"/>
  <c r="P365" i="1"/>
  <c r="P397" i="1"/>
  <c r="P429" i="1"/>
  <c r="P461" i="1"/>
  <c r="P493" i="1"/>
  <c r="P492" i="1"/>
  <c r="P364" i="1"/>
  <c r="P439" i="1"/>
  <c r="P285" i="1"/>
  <c r="P436" i="1"/>
  <c r="P311" i="1"/>
  <c r="P543" i="1"/>
  <c r="P511" i="1"/>
  <c r="P383" i="1"/>
  <c r="P297" i="1"/>
  <c r="P143" i="1"/>
  <c r="P71" i="1"/>
  <c r="P476" i="1"/>
  <c r="P348" i="1"/>
  <c r="P432" i="1"/>
  <c r="P491" i="1"/>
  <c r="P363" i="1"/>
  <c r="P555" i="1"/>
  <c r="P523" i="1"/>
  <c r="P440" i="1"/>
  <c r="P312" i="1"/>
  <c r="P209" i="1"/>
  <c r="P46" i="1"/>
  <c r="P403" i="1"/>
  <c r="P229" i="1"/>
  <c r="P391" i="1"/>
  <c r="P475" i="1"/>
  <c r="P347" i="1"/>
  <c r="P560" i="1"/>
  <c r="P528" i="1"/>
  <c r="P456" i="1"/>
  <c r="P328" i="1"/>
  <c r="P205" i="1"/>
  <c r="P110" i="1"/>
  <c r="P97" i="1"/>
  <c r="P134" i="1"/>
  <c r="P380" i="1"/>
  <c r="P395" i="1"/>
  <c r="P308" i="1"/>
  <c r="P197" i="1"/>
  <c r="P181" i="1"/>
  <c r="P74" i="1"/>
  <c r="P93" i="1"/>
  <c r="P120" i="1"/>
  <c r="P75" i="1"/>
  <c r="P103" i="1"/>
  <c r="P116" i="1"/>
  <c r="P524" i="1"/>
  <c r="P444" i="1"/>
  <c r="P459" i="1"/>
  <c r="P408" i="1"/>
  <c r="P316" i="1"/>
  <c r="P384" i="1"/>
  <c r="P331" i="1"/>
  <c r="P257" i="1"/>
  <c r="P150" i="1"/>
  <c r="P119" i="1"/>
  <c r="P12" i="1"/>
  <c r="P100" i="1"/>
  <c r="P86" i="1"/>
  <c r="P138" i="1"/>
  <c r="P38" i="1"/>
  <c r="P168" i="1"/>
  <c r="P180" i="1"/>
  <c r="P191" i="1"/>
  <c r="P200" i="1"/>
  <c r="P8" i="1"/>
  <c r="P48" i="1"/>
  <c r="P194" i="1"/>
  <c r="P222" i="1"/>
  <c r="P244" i="1"/>
  <c r="P260" i="1"/>
  <c r="P276" i="1"/>
  <c r="P292" i="1"/>
  <c r="P25" i="1"/>
  <c r="P174" i="1"/>
  <c r="P219" i="1"/>
  <c r="P251" i="1"/>
  <c r="P283" i="1"/>
  <c r="P202" i="1"/>
  <c r="P218" i="1"/>
  <c r="P234" i="1"/>
  <c r="P250" i="1"/>
  <c r="P266" i="1"/>
  <c r="P282" i="1"/>
  <c r="P215" i="1"/>
  <c r="P309" i="1"/>
  <c r="P342" i="1"/>
  <c r="P374" i="1"/>
  <c r="P406" i="1"/>
  <c r="P438" i="1"/>
  <c r="P470" i="1"/>
  <c r="P502" i="1"/>
  <c r="P287" i="1"/>
  <c r="P341" i="1"/>
  <c r="P373" i="1"/>
  <c r="P405" i="1"/>
  <c r="P437" i="1"/>
  <c r="P469" i="1"/>
  <c r="P501" i="1"/>
  <c r="P518" i="1"/>
  <c r="P526" i="1"/>
  <c r="P534" i="1"/>
  <c r="P542" i="1"/>
  <c r="P550" i="1"/>
  <c r="P558" i="1"/>
  <c r="P231" i="1"/>
  <c r="P321" i="1"/>
  <c r="P353" i="1"/>
  <c r="P385" i="1"/>
  <c r="P417" i="1"/>
  <c r="P449" i="1"/>
  <c r="P481" i="1"/>
  <c r="P147" i="1"/>
  <c r="P271" i="1"/>
  <c r="P314" i="1"/>
  <c r="P346" i="1"/>
  <c r="P378" i="1"/>
  <c r="P410" i="1"/>
  <c r="P442" i="1"/>
  <c r="P474" i="1"/>
  <c r="P506" i="1"/>
  <c r="P435" i="1"/>
  <c r="P293" i="1"/>
  <c r="P407" i="1"/>
  <c r="P507" i="1"/>
  <c r="P379" i="1"/>
  <c r="P277" i="1"/>
  <c r="P536" i="1"/>
  <c r="P488" i="1"/>
  <c r="P360" i="1"/>
  <c r="P265" i="1"/>
  <c r="P78" i="1"/>
  <c r="P141" i="1"/>
  <c r="P44" i="1"/>
  <c r="P419" i="1"/>
  <c r="P400" i="1"/>
  <c r="P484" i="1"/>
  <c r="P356" i="1"/>
  <c r="P548" i="1"/>
  <c r="P516" i="1"/>
  <c r="P399" i="1"/>
  <c r="P304" i="1"/>
  <c r="P28" i="1"/>
  <c r="P79" i="1"/>
  <c r="P67" i="1"/>
  <c r="P153" i="1"/>
  <c r="P6" i="1"/>
  <c r="P396" i="1"/>
  <c r="P487" i="1"/>
  <c r="P359" i="1"/>
  <c r="P468" i="1"/>
  <c r="P340" i="1"/>
  <c r="P551" i="1"/>
  <c r="P519" i="1"/>
  <c r="P415" i="1"/>
  <c r="P301" i="1"/>
  <c r="P53" i="1"/>
  <c r="P281" i="1"/>
  <c r="P323" i="1"/>
  <c r="P563" i="1"/>
  <c r="P289" i="1"/>
  <c r="P193" i="1"/>
  <c r="P177" i="1"/>
  <c r="P3" i="1"/>
  <c r="P69" i="1"/>
  <c r="P23" i="1"/>
  <c r="P101" i="1"/>
  <c r="P63" i="1"/>
  <c r="P225" i="1"/>
  <c r="P387" i="1"/>
  <c r="P245" i="1"/>
  <c r="P451" i="1"/>
  <c r="P480" i="1"/>
  <c r="P352" i="1"/>
  <c r="P299" i="1"/>
  <c r="P13" i="1"/>
  <c r="P1" i="1"/>
  <c r="P556" i="1"/>
  <c r="P30" i="1"/>
  <c r="P154" i="1"/>
  <c r="P50" i="1"/>
  <c r="P61" i="1"/>
  <c r="P133" i="1"/>
  <c r="P88" i="1"/>
  <c r="P151" i="1"/>
  <c r="P172" i="1"/>
  <c r="P183" i="1"/>
  <c r="P192" i="1"/>
  <c r="P14" i="1"/>
  <c r="P206" i="1"/>
  <c r="P228" i="1"/>
  <c r="P246" i="1"/>
  <c r="P262" i="1"/>
  <c r="P278" i="1"/>
  <c r="P294" i="1"/>
  <c r="P59" i="1"/>
  <c r="P190" i="1"/>
  <c r="P227" i="1"/>
  <c r="P259" i="1"/>
  <c r="P291" i="1"/>
  <c r="P208" i="1"/>
  <c r="P224" i="1"/>
  <c r="P240" i="1"/>
  <c r="P256" i="1"/>
  <c r="P272" i="1"/>
  <c r="P288" i="1"/>
  <c r="P247" i="1"/>
  <c r="P313" i="1"/>
  <c r="P345" i="1"/>
  <c r="P377" i="1"/>
  <c r="P409" i="1"/>
  <c r="P441" i="1"/>
  <c r="P473" i="1"/>
  <c r="P505" i="1"/>
  <c r="P182" i="1"/>
  <c r="P322" i="1"/>
  <c r="P354" i="1"/>
  <c r="P386" i="1"/>
  <c r="P418" i="1"/>
  <c r="P450" i="1"/>
  <c r="P482" i="1"/>
  <c r="P513" i="1"/>
  <c r="P521" i="1"/>
  <c r="P529" i="1"/>
  <c r="P537" i="1"/>
  <c r="P545" i="1"/>
  <c r="P553" i="1"/>
  <c r="P561" i="1"/>
  <c r="P263" i="1"/>
  <c r="P334" i="1"/>
  <c r="P366" i="1"/>
  <c r="P398" i="1"/>
  <c r="P430" i="1"/>
  <c r="P462" i="1"/>
  <c r="P494" i="1"/>
  <c r="P165" i="1"/>
  <c r="P198" i="1"/>
  <c r="P302" i="1"/>
  <c r="P317" i="1"/>
  <c r="P349" i="1"/>
  <c r="P381" i="1"/>
  <c r="P413" i="1"/>
  <c r="P445" i="1"/>
  <c r="P477" i="1"/>
  <c r="P509" i="1"/>
  <c r="P428" i="1"/>
  <c r="P503" i="1"/>
  <c r="P375" i="1"/>
  <c r="P500" i="1"/>
  <c r="P372" i="1"/>
  <c r="P559" i="1"/>
  <c r="P527" i="1"/>
  <c r="P447" i="1"/>
  <c r="P319" i="1"/>
  <c r="P233" i="1"/>
  <c r="P68" i="1"/>
  <c r="P83" i="1"/>
  <c r="P19" i="1"/>
  <c r="P35" i="1"/>
  <c r="P137" i="1"/>
  <c r="P412" i="1"/>
  <c r="P496" i="1"/>
  <c r="P368" i="1"/>
  <c r="P427" i="1"/>
  <c r="P307" i="1"/>
  <c r="P539" i="1"/>
  <c r="P504" i="1"/>
  <c r="P376" i="1"/>
  <c r="P273" i="1"/>
  <c r="P82" i="1"/>
  <c r="P166" i="1"/>
  <c r="P108" i="1"/>
  <c r="P11" i="1"/>
  <c r="P16" i="1"/>
  <c r="P467" i="1"/>
  <c r="P339" i="1"/>
  <c r="P455" i="1"/>
  <c r="P327" i="1"/>
  <c r="P411" i="1"/>
  <c r="P303" i="1"/>
  <c r="P544" i="1"/>
  <c r="P512" i="1"/>
  <c r="P392" i="1"/>
  <c r="P269" i="1"/>
  <c r="P81" i="1"/>
  <c r="P249" i="1"/>
  <c r="P540" i="1"/>
  <c r="P47" i="1"/>
  <c r="P189" i="1"/>
  <c r="P173" i="1"/>
  <c r="P80" i="1"/>
  <c r="P149" i="1"/>
  <c r="P2" i="1"/>
  <c r="P39" i="1"/>
  <c r="P7" i="1"/>
  <c r="P261" i="1"/>
  <c r="P367" i="1"/>
  <c r="P547" i="1"/>
  <c r="P448" i="1"/>
  <c r="P320" i="1"/>
  <c r="P495" i="1"/>
  <c r="P118" i="1"/>
  <c r="P431" i="1"/>
  <c r="P158" i="1"/>
  <c r="J122" i="1"/>
  <c r="I58" i="1"/>
  <c r="I104" i="1"/>
  <c r="I115" i="1"/>
  <c r="H52" i="1"/>
  <c r="I164" i="1"/>
  <c r="I5" i="1"/>
  <c r="H115" i="1"/>
  <c r="I85" i="1"/>
  <c r="J156" i="1"/>
  <c r="J126" i="1"/>
  <c r="H58" i="1"/>
  <c r="H122" i="1"/>
  <c r="O132" i="1"/>
  <c r="O7" i="1"/>
  <c r="O16" i="1"/>
  <c r="O11" i="1"/>
  <c r="O83" i="1"/>
  <c r="O68" i="1"/>
  <c r="O63" i="1"/>
  <c r="O101" i="1"/>
  <c r="O23" i="1"/>
  <c r="O69" i="1"/>
  <c r="O3" i="1"/>
  <c r="O177" i="1"/>
  <c r="O193" i="1"/>
  <c r="O209" i="1"/>
  <c r="O225" i="1"/>
  <c r="O241" i="1"/>
  <c r="O257" i="1"/>
  <c r="O273" i="1"/>
  <c r="O289" i="1"/>
  <c r="O143" i="1"/>
  <c r="O301" i="1"/>
  <c r="O315" i="1"/>
  <c r="O331" i="1"/>
  <c r="O347" i="1"/>
  <c r="O363" i="1"/>
  <c r="O379" i="1"/>
  <c r="O395" i="1"/>
  <c r="O411" i="1"/>
  <c r="O427" i="1"/>
  <c r="O443" i="1"/>
  <c r="O459" i="1"/>
  <c r="O475" i="1"/>
  <c r="O491" i="1"/>
  <c r="O507" i="1"/>
  <c r="O523" i="1"/>
  <c r="O539" i="1"/>
  <c r="O555" i="1"/>
  <c r="O305" i="1"/>
  <c r="O321" i="1"/>
  <c r="O337" i="1"/>
  <c r="O353" i="1"/>
  <c r="O369" i="1"/>
  <c r="O385" i="1"/>
  <c r="O401" i="1"/>
  <c r="O417" i="1"/>
  <c r="O433" i="1"/>
  <c r="O449" i="1"/>
  <c r="O465" i="1"/>
  <c r="O481" i="1"/>
  <c r="O497" i="1"/>
  <c r="O297" i="1"/>
  <c r="O518" i="1"/>
  <c r="O526" i="1"/>
  <c r="O534" i="1"/>
  <c r="O542" i="1"/>
  <c r="O550" i="1"/>
  <c r="O558" i="1"/>
  <c r="I124" i="1"/>
  <c r="O146" i="1"/>
  <c r="O17" i="1"/>
  <c r="O18" i="1"/>
  <c r="O137" i="1"/>
  <c r="O35" i="1"/>
  <c r="O67" i="1"/>
  <c r="O19" i="1"/>
  <c r="O160" i="1"/>
  <c r="O141" i="1"/>
  <c r="O82" i="1"/>
  <c r="O103" i="1"/>
  <c r="O75" i="1"/>
  <c r="O120" i="1"/>
  <c r="O93" i="1"/>
  <c r="O74" i="1"/>
  <c r="O181" i="1"/>
  <c r="O197" i="1"/>
  <c r="O213" i="1"/>
  <c r="O229" i="1"/>
  <c r="O245" i="1"/>
  <c r="O261" i="1"/>
  <c r="O277" i="1"/>
  <c r="O293" i="1"/>
  <c r="O108" i="1"/>
  <c r="O303" i="1"/>
  <c r="O319" i="1"/>
  <c r="O335" i="1"/>
  <c r="O351" i="1"/>
  <c r="O367" i="1"/>
  <c r="O383" i="1"/>
  <c r="O399" i="1"/>
  <c r="O415" i="1"/>
  <c r="O431" i="1"/>
  <c r="O447" i="1"/>
  <c r="O463" i="1"/>
  <c r="O479" i="1"/>
  <c r="O495" i="1"/>
  <c r="O511" i="1"/>
  <c r="O527" i="1"/>
  <c r="O543" i="1"/>
  <c r="O559" i="1"/>
  <c r="O309" i="1"/>
  <c r="O325" i="1"/>
  <c r="O341" i="1"/>
  <c r="O357" i="1"/>
  <c r="O373" i="1"/>
  <c r="O389" i="1"/>
  <c r="O405" i="1"/>
  <c r="O421" i="1"/>
  <c r="O437" i="1"/>
  <c r="O453" i="1"/>
  <c r="O469" i="1"/>
  <c r="O485" i="1"/>
  <c r="O501" i="1"/>
  <c r="O513" i="1"/>
  <c r="O521" i="1"/>
  <c r="O529" i="1"/>
  <c r="O537" i="1"/>
  <c r="O545" i="1"/>
  <c r="O553" i="1"/>
  <c r="O561" i="1"/>
  <c r="O256" i="1"/>
  <c r="O490" i="1"/>
  <c r="O240" i="1"/>
  <c r="O398" i="1"/>
  <c r="O271" i="1"/>
  <c r="O207" i="1"/>
  <c r="O174" i="1"/>
  <c r="O25" i="1"/>
  <c r="O128" i="1"/>
  <c r="O79" i="1"/>
  <c r="O20" i="1"/>
  <c r="O134" i="1"/>
  <c r="O338" i="1"/>
  <c r="O454" i="1"/>
  <c r="O326" i="1"/>
  <c r="O410" i="1"/>
  <c r="O211" i="1"/>
  <c r="O299" i="1"/>
  <c r="O175" i="1"/>
  <c r="O544" i="1"/>
  <c r="O512" i="1"/>
  <c r="O496" i="1"/>
  <c r="O480" i="1"/>
  <c r="O464" i="1"/>
  <c r="O448" i="1"/>
  <c r="O432" i="1"/>
  <c r="O416" i="1"/>
  <c r="O400" i="1"/>
  <c r="O384" i="1"/>
  <c r="O368" i="1"/>
  <c r="O352" i="1"/>
  <c r="O158" i="1"/>
  <c r="O6" i="1"/>
  <c r="O44" i="1"/>
  <c r="O102" i="1"/>
  <c r="O1" i="1"/>
  <c r="O116" i="1"/>
  <c r="O131" i="1"/>
  <c r="O13" i="1"/>
  <c r="O136" i="1"/>
  <c r="O163" i="1"/>
  <c r="O92" i="1"/>
  <c r="O169" i="1"/>
  <c r="O185" i="1"/>
  <c r="O201" i="1"/>
  <c r="O217" i="1"/>
  <c r="O233" i="1"/>
  <c r="O249" i="1"/>
  <c r="O265" i="1"/>
  <c r="O281" i="1"/>
  <c r="O46" i="1"/>
  <c r="O307" i="1"/>
  <c r="O323" i="1"/>
  <c r="O339" i="1"/>
  <c r="O355" i="1"/>
  <c r="O371" i="1"/>
  <c r="O387" i="1"/>
  <c r="O403" i="1"/>
  <c r="O419" i="1"/>
  <c r="O435" i="1"/>
  <c r="O451" i="1"/>
  <c r="O467" i="1"/>
  <c r="O483" i="1"/>
  <c r="O499" i="1"/>
  <c r="O515" i="1"/>
  <c r="O531" i="1"/>
  <c r="O547" i="1"/>
  <c r="O563" i="1"/>
  <c r="O313" i="1"/>
  <c r="O329" i="1"/>
  <c r="O345" i="1"/>
  <c r="O361" i="1"/>
  <c r="O377" i="1"/>
  <c r="O393" i="1"/>
  <c r="O409" i="1"/>
  <c r="O425" i="1"/>
  <c r="O441" i="1"/>
  <c r="O457" i="1"/>
  <c r="O473" i="1"/>
  <c r="O489" i="1"/>
  <c r="O505" i="1"/>
  <c r="O514" i="1"/>
  <c r="O522" i="1"/>
  <c r="O530" i="1"/>
  <c r="O538" i="1"/>
  <c r="O546" i="1"/>
  <c r="O554" i="1"/>
  <c r="O562" i="1"/>
  <c r="O482" i="1"/>
  <c r="O72" i="1"/>
  <c r="O426" i="1"/>
  <c r="O144" i="1"/>
  <c r="O334" i="1"/>
  <c r="O252" i="1"/>
  <c r="O183" i="1"/>
  <c r="O153" i="1"/>
  <c r="O54" i="1"/>
  <c r="O114" i="1"/>
  <c r="O28" i="1"/>
  <c r="O39" i="1"/>
  <c r="O2" i="1"/>
  <c r="O149" i="1"/>
  <c r="O80" i="1"/>
  <c r="O173" i="1"/>
  <c r="O189" i="1"/>
  <c r="O205" i="1"/>
  <c r="O221" i="1"/>
  <c r="O237" i="1"/>
  <c r="O253" i="1"/>
  <c r="O269" i="1"/>
  <c r="O285" i="1"/>
  <c r="O311" i="1"/>
  <c r="O327" i="1"/>
  <c r="O343" i="1"/>
  <c r="O359" i="1"/>
  <c r="O375" i="1"/>
  <c r="O391" i="1"/>
  <c r="O407" i="1"/>
  <c r="O423" i="1"/>
  <c r="O439" i="1"/>
  <c r="O455" i="1"/>
  <c r="O471" i="1"/>
  <c r="O487" i="1"/>
  <c r="O503" i="1"/>
  <c r="O519" i="1"/>
  <c r="O535" i="1"/>
  <c r="O551" i="1"/>
  <c r="O317" i="1"/>
  <c r="O333" i="1"/>
  <c r="O349" i="1"/>
  <c r="O365" i="1"/>
  <c r="O381" i="1"/>
  <c r="O397" i="1"/>
  <c r="O413" i="1"/>
  <c r="O429" i="1"/>
  <c r="O445" i="1"/>
  <c r="O461" i="1"/>
  <c r="O477" i="1"/>
  <c r="O493" i="1"/>
  <c r="O509" i="1"/>
  <c r="O517" i="1"/>
  <c r="O525" i="1"/>
  <c r="O533" i="1"/>
  <c r="O541" i="1"/>
  <c r="O549" i="1"/>
  <c r="O557" i="1"/>
  <c r="O565" i="1"/>
  <c r="O418" i="1"/>
  <c r="O130" i="1"/>
  <c r="O362" i="1"/>
  <c r="O127" i="1"/>
  <c r="O300" i="1"/>
  <c r="O239" i="1"/>
  <c r="O37" i="1"/>
  <c r="O110" i="1"/>
  <c r="O32" i="1"/>
  <c r="O466" i="1"/>
  <c r="O227" i="1"/>
  <c r="O390" i="1"/>
  <c r="O219" i="1"/>
  <c r="O306" i="1"/>
  <c r="O414" i="1"/>
  <c r="O235" i="1"/>
  <c r="O560" i="1"/>
  <c r="O528" i="1"/>
  <c r="O504" i="1"/>
  <c r="O488" i="1"/>
  <c r="O472" i="1"/>
  <c r="O456" i="1"/>
  <c r="O440" i="1"/>
  <c r="O424" i="1"/>
  <c r="O408" i="1"/>
  <c r="O392" i="1"/>
  <c r="O376" i="1"/>
  <c r="O360" i="1"/>
  <c r="O248" i="1"/>
  <c r="O220" i="1"/>
  <c r="O24" i="1"/>
  <c r="O157" i="1"/>
  <c r="O76" i="1"/>
  <c r="O498" i="1"/>
  <c r="O422" i="1"/>
  <c r="O346" i="1"/>
  <c r="O267" i="1"/>
  <c r="O508" i="1"/>
  <c r="O476" i="1"/>
  <c r="O444" i="1"/>
  <c r="O412" i="1"/>
  <c r="O380" i="1"/>
  <c r="O348" i="1"/>
  <c r="O332" i="1"/>
  <c r="O316" i="1"/>
  <c r="O292" i="1"/>
  <c r="O228" i="1"/>
  <c r="O123" i="1"/>
  <c r="O172" i="1"/>
  <c r="O88" i="1"/>
  <c r="O133" i="1"/>
  <c r="O61" i="1"/>
  <c r="O286" i="1"/>
  <c r="O254" i="1"/>
  <c r="O222" i="1"/>
  <c r="O178" i="1"/>
  <c r="O48" i="1"/>
  <c r="O43" i="1"/>
  <c r="O259" i="1"/>
  <c r="O251" i="1"/>
  <c r="O302" i="1"/>
  <c r="O494" i="1"/>
  <c r="O298" i="1"/>
  <c r="O236" i="1"/>
  <c r="O167" i="1"/>
  <c r="O111" i="1"/>
  <c r="O50" i="1"/>
  <c r="O182" i="1"/>
  <c r="O49" i="1"/>
  <c r="O106" i="1"/>
  <c r="O56" i="1"/>
  <c r="O161" i="1"/>
  <c r="O73" i="1"/>
  <c r="O100" i="1"/>
  <c r="O96" i="1"/>
  <c r="O258" i="1"/>
  <c r="O216" i="1"/>
  <c r="O296" i="1"/>
  <c r="O516" i="1"/>
  <c r="O176" i="1"/>
  <c r="O275" i="1"/>
  <c r="O112" i="1"/>
  <c r="O118" i="1"/>
  <c r="O370" i="1"/>
  <c r="O36" i="1"/>
  <c r="O231" i="1"/>
  <c r="O151" i="1"/>
  <c r="O282" i="1"/>
  <c r="O31" i="1"/>
  <c r="O502" i="1"/>
  <c r="O382" i="1"/>
  <c r="O91" i="1"/>
  <c r="O310" i="1"/>
  <c r="O59" i="1"/>
  <c r="O98" i="1"/>
  <c r="O71" i="1"/>
  <c r="O402" i="1"/>
  <c r="O358" i="1"/>
  <c r="O272" i="1"/>
  <c r="O203" i="1"/>
  <c r="O552" i="1"/>
  <c r="O500" i="1"/>
  <c r="O468" i="1"/>
  <c r="O436" i="1"/>
  <c r="O404" i="1"/>
  <c r="O372" i="1"/>
  <c r="O344" i="1"/>
  <c r="O328" i="1"/>
  <c r="O312" i="1"/>
  <c r="O279" i="1"/>
  <c r="O215" i="1"/>
  <c r="O196" i="1"/>
  <c r="O109" i="1"/>
  <c r="O119" i="1"/>
  <c r="O278" i="1"/>
  <c r="O246" i="1"/>
  <c r="O214" i="1"/>
  <c r="O9" i="1"/>
  <c r="O78" i="1"/>
  <c r="O450" i="1"/>
  <c r="O187" i="1"/>
  <c r="O458" i="1"/>
  <c r="O243" i="1"/>
  <c r="O430" i="1"/>
  <c r="O287" i="1"/>
  <c r="O223" i="1"/>
  <c r="O42" i="1"/>
  <c r="O47" i="1"/>
  <c r="O147" i="1"/>
  <c r="O8" i="1"/>
  <c r="O99" i="1"/>
  <c r="O434" i="1"/>
  <c r="O540" i="1"/>
  <c r="O200" i="1"/>
  <c r="O226" i="1"/>
  <c r="O57" i="1"/>
  <c r="O65" i="1"/>
  <c r="O291" i="1"/>
  <c r="O274" i="1"/>
  <c r="O135" i="1"/>
  <c r="O314" i="1"/>
  <c r="O232" i="1"/>
  <c r="O295" i="1"/>
  <c r="O21" i="1"/>
  <c r="O266" i="1"/>
  <c r="O30" i="1"/>
  <c r="O191" i="1"/>
  <c r="O22" i="1"/>
  <c r="O442" i="1"/>
  <c r="O564" i="1"/>
  <c r="O95" i="1"/>
  <c r="O250" i="1"/>
  <c r="O406" i="1"/>
  <c r="O524" i="1"/>
  <c r="O242" i="1"/>
  <c r="O462" i="1"/>
  <c r="O53" i="1"/>
  <c r="O94" i="1"/>
  <c r="O117" i="1"/>
  <c r="O288" i="1"/>
  <c r="O280" i="1"/>
  <c r="O478" i="1"/>
  <c r="O64" i="1"/>
  <c r="O536" i="1"/>
  <c r="O492" i="1"/>
  <c r="O460" i="1"/>
  <c r="O428" i="1"/>
  <c r="O396" i="1"/>
  <c r="O364" i="1"/>
  <c r="O340" i="1"/>
  <c r="O324" i="1"/>
  <c r="O308" i="1"/>
  <c r="O260" i="1"/>
  <c r="O195" i="1"/>
  <c r="O4" i="1"/>
  <c r="O188" i="1"/>
  <c r="O90" i="1"/>
  <c r="O270" i="1"/>
  <c r="O238" i="1"/>
  <c r="O206" i="1"/>
  <c r="O15" i="1"/>
  <c r="O142" i="1"/>
  <c r="O150" i="1"/>
  <c r="O162" i="1"/>
  <c r="O386" i="1"/>
  <c r="O10" i="1"/>
  <c r="O394" i="1"/>
  <c r="O171" i="1"/>
  <c r="O366" i="1"/>
  <c r="O268" i="1"/>
  <c r="O204" i="1"/>
  <c r="O506" i="1"/>
  <c r="O276" i="1"/>
  <c r="O168" i="1"/>
  <c r="O166" i="1"/>
  <c r="O159" i="1"/>
  <c r="O139" i="1"/>
  <c r="O470" i="1"/>
  <c r="O186" i="1"/>
  <c r="O208" i="1"/>
  <c r="O38" i="1"/>
  <c r="O77" i="1"/>
  <c r="O234" i="1"/>
  <c r="O438" i="1"/>
  <c r="O556" i="1"/>
  <c r="O210" i="1"/>
  <c r="O27" i="1"/>
  <c r="O446" i="1"/>
  <c r="O532" i="1"/>
  <c r="O152" i="1"/>
  <c r="O218" i="1"/>
  <c r="O283" i="1"/>
  <c r="O179" i="1"/>
  <c r="O354" i="1"/>
  <c r="O284" i="1"/>
  <c r="O81" i="1"/>
  <c r="O190" i="1"/>
  <c r="O62" i="1"/>
  <c r="O129" i="1"/>
  <c r="O486" i="1"/>
  <c r="O474" i="1"/>
  <c r="O350" i="1"/>
  <c r="O125" i="1"/>
  <c r="O520" i="1"/>
  <c r="O484" i="1"/>
  <c r="O452" i="1"/>
  <c r="O420" i="1"/>
  <c r="O388" i="1"/>
  <c r="O356" i="1"/>
  <c r="O336" i="1"/>
  <c r="O320" i="1"/>
  <c r="O304" i="1"/>
  <c r="O247" i="1"/>
  <c r="O180" i="1"/>
  <c r="O138" i="1"/>
  <c r="O12" i="1"/>
  <c r="O45" i="1"/>
  <c r="O294" i="1"/>
  <c r="O262" i="1"/>
  <c r="O230" i="1"/>
  <c r="O194" i="1"/>
  <c r="O14" i="1"/>
  <c r="O41" i="1"/>
  <c r="O87" i="1"/>
  <c r="O148" i="1"/>
  <c r="O66" i="1"/>
  <c r="O322" i="1"/>
  <c r="O29" i="1"/>
  <c r="O330" i="1"/>
  <c r="O155" i="1"/>
  <c r="O154" i="1"/>
  <c r="O255" i="1"/>
  <c r="O199" i="1"/>
  <c r="O113" i="1"/>
  <c r="O97" i="1"/>
  <c r="O198" i="1"/>
  <c r="O89" i="1"/>
  <c r="O165" i="1"/>
  <c r="O70" i="1"/>
  <c r="O26" i="1"/>
  <c r="O510" i="1"/>
  <c r="O263" i="1"/>
  <c r="O86" i="1"/>
  <c r="O290" i="1"/>
  <c r="O374" i="1"/>
  <c r="O224" i="1"/>
  <c r="O318" i="1"/>
  <c r="O548" i="1"/>
  <c r="O140" i="1"/>
  <c r="O202" i="1"/>
  <c r="O342" i="1"/>
  <c r="O212" i="1"/>
  <c r="O51" i="1"/>
  <c r="O264" i="1"/>
  <c r="O244" i="1"/>
  <c r="O192" i="1"/>
  <c r="O84" i="1"/>
  <c r="O170" i="1"/>
  <c r="O34" i="1"/>
  <c r="O378" i="1"/>
  <c r="O184" i="1"/>
  <c r="I107" i="1"/>
  <c r="H164" i="1"/>
  <c r="I105" i="1"/>
  <c r="J104" i="1"/>
  <c r="J60" i="1"/>
  <c r="J33" i="1"/>
  <c r="J58" i="1"/>
  <c r="I33" i="1"/>
  <c r="I55" i="1"/>
  <c r="H126" i="1"/>
  <c r="J85" i="1"/>
  <c r="H5" i="1"/>
  <c r="H55" i="1"/>
  <c r="J145" i="1"/>
  <c r="H121" i="1"/>
  <c r="I145" i="1"/>
  <c r="J124" i="1"/>
  <c r="I126" i="1"/>
  <c r="I121" i="1"/>
  <c r="I122" i="1"/>
  <c r="H105" i="1"/>
  <c r="H145" i="1"/>
  <c r="J107" i="1"/>
  <c r="I60" i="1"/>
  <c r="J115" i="1"/>
  <c r="J40" i="1"/>
  <c r="J164" i="1"/>
  <c r="H107" i="1"/>
  <c r="Q2" i="1" l="1"/>
  <c r="Q80" i="1"/>
  <c r="Q101" i="1"/>
  <c r="Q165" i="1"/>
  <c r="Q50" i="1"/>
  <c r="Q53" i="1"/>
  <c r="Q38" i="1"/>
  <c r="Q12" i="1"/>
  <c r="Q75" i="1"/>
  <c r="Q49" i="1"/>
  <c r="Q163" i="1"/>
  <c r="Q31" i="1"/>
  <c r="Q95" i="1"/>
  <c r="Q152" i="1"/>
  <c r="Q23" i="1"/>
  <c r="Q157" i="1"/>
  <c r="Q92" i="1"/>
  <c r="Q51" i="1"/>
  <c r="Q45" i="1"/>
  <c r="Q127" i="1"/>
  <c r="Q36" i="1"/>
  <c r="Q151" i="1"/>
  <c r="Q28" i="1"/>
  <c r="Q138" i="1"/>
  <c r="Q39" i="1"/>
  <c r="Q149" i="1"/>
  <c r="Q47" i="1"/>
  <c r="Q108" i="1"/>
  <c r="Q59" i="1"/>
  <c r="Q14" i="1"/>
  <c r="Q88" i="1"/>
  <c r="Q61" i="1"/>
  <c r="Q63" i="1"/>
  <c r="Q3" i="1"/>
  <c r="Q147" i="1"/>
  <c r="Q8" i="1"/>
  <c r="Q100" i="1"/>
  <c r="Q103" i="1"/>
  <c r="Q74" i="1"/>
  <c r="Q143" i="1"/>
  <c r="Q109" i="1"/>
  <c r="Q112" i="1"/>
  <c r="Q72" i="1"/>
  <c r="Q10" i="1"/>
  <c r="Q130" i="1"/>
  <c r="Q96" i="1"/>
  <c r="Q125" i="1"/>
  <c r="Q97" i="1"/>
  <c r="Q77" i="1"/>
  <c r="Q41" i="1"/>
  <c r="Q113" i="1"/>
  <c r="Q154" i="1"/>
  <c r="Q119" i="1"/>
  <c r="Q120" i="1"/>
  <c r="Q21" i="1"/>
  <c r="Q90" i="1"/>
  <c r="Q24" i="1"/>
  <c r="Q64" i="1"/>
  <c r="Q91" i="1"/>
  <c r="Q128" i="1"/>
  <c r="Q82" i="1"/>
  <c r="Q144" i="1"/>
  <c r="Q155" i="1"/>
  <c r="Q81" i="1"/>
  <c r="Q133" i="1"/>
  <c r="Q13" i="1"/>
  <c r="Q69" i="1"/>
  <c r="Q25" i="1"/>
  <c r="Q48" i="1"/>
  <c r="Q86" i="1"/>
  <c r="Q93" i="1"/>
  <c r="Q89" i="1"/>
  <c r="Q94" i="1"/>
  <c r="Q9" i="1"/>
  <c r="Q42" i="1"/>
  <c r="Q161" i="1"/>
  <c r="Q136" i="1"/>
  <c r="Q131" i="1"/>
  <c r="Q15" i="1"/>
  <c r="Q123" i="1"/>
  <c r="Q4" i="1"/>
  <c r="Q140" i="1"/>
  <c r="Q37" i="1"/>
  <c r="Q166" i="1"/>
  <c r="Q79" i="1"/>
  <c r="Q46" i="1"/>
  <c r="Q117" i="1"/>
  <c r="Q160" i="1"/>
  <c r="Q65" i="1"/>
  <c r="Q43" i="1"/>
  <c r="Q129" i="1"/>
  <c r="Q106" i="1"/>
  <c r="Q62" i="1"/>
  <c r="Q11" i="1"/>
  <c r="Q19" i="1"/>
  <c r="Q83" i="1"/>
  <c r="Q150" i="1"/>
  <c r="Q84" i="1"/>
  <c r="Q29" i="1"/>
  <c r="Q114" i="1"/>
  <c r="Q118" i="1"/>
  <c r="Q68" i="1"/>
  <c r="Q78" i="1"/>
  <c r="Q110" i="1"/>
  <c r="Q56" i="1"/>
  <c r="Q32" i="1"/>
  <c r="Q22" i="1"/>
  <c r="Q67" i="1"/>
  <c r="Q141" i="1"/>
  <c r="Q134" i="1"/>
  <c r="Q111" i="1"/>
  <c r="Q87" i="1"/>
  <c r="Q99" i="1"/>
  <c r="Q73" i="1"/>
  <c r="Q148" i="1"/>
  <c r="Q57" i="1"/>
  <c r="Q35" i="1"/>
  <c r="Q159" i="1"/>
  <c r="Q34" i="1"/>
  <c r="Q139" i="1"/>
  <c r="Q1" i="1"/>
  <c r="Q116" i="1"/>
  <c r="Q142" i="1"/>
  <c r="Q70" i="1"/>
  <c r="Q16" i="1"/>
  <c r="Q137" i="1"/>
  <c r="Q27" i="1"/>
  <c r="Q76" i="1"/>
  <c r="Q162" i="1"/>
  <c r="Q135" i="1"/>
  <c r="Q7" i="1"/>
  <c r="Q132" i="1"/>
  <c r="Q98" i="1"/>
  <c r="Q20" i="1"/>
  <c r="Q158" i="1"/>
  <c r="Q30" i="1"/>
  <c r="Q17" i="1"/>
  <c r="Q26" i="1"/>
  <c r="Q102" i="1"/>
  <c r="Q18" i="1"/>
  <c r="Q40" i="1"/>
  <c r="Q121" i="1"/>
  <c r="Q85" i="1"/>
  <c r="Q5" i="1"/>
  <c r="Q66" i="1"/>
  <c r="Q164" i="1"/>
  <c r="Q52" i="1"/>
  <c r="Q105" i="1"/>
  <c r="Q126" i="1"/>
  <c r="Q6" i="1"/>
  <c r="Q146" i="1"/>
  <c r="Q156" i="1"/>
  <c r="Q115" i="1"/>
  <c r="Q107" i="1"/>
  <c r="Q60" i="1"/>
  <c r="Q33" i="1"/>
  <c r="Q153" i="1"/>
  <c r="Q44" i="1"/>
  <c r="Q71" i="1"/>
  <c r="Q54" i="1"/>
  <c r="Q124" i="1"/>
  <c r="Q104" i="1"/>
  <c r="Q55" i="1"/>
  <c r="Q58" i="1"/>
  <c r="Q145" i="1"/>
  <c r="Q122" i="1"/>
</calcChain>
</file>

<file path=xl/sharedStrings.xml><?xml version="1.0" encoding="utf-8"?>
<sst xmlns="http://schemas.openxmlformats.org/spreadsheetml/2006/main" count="1232" uniqueCount="843">
  <si>
    <t>ג</t>
  </si>
  <si>
    <t>ד</t>
  </si>
  <si>
    <t>ח</t>
  </si>
  <si>
    <t>ט</t>
  </si>
  <si>
    <t>כ</t>
  </si>
  <si>
    <t>ל</t>
  </si>
  <si>
    <t>מ</t>
  </si>
  <si>
    <t>נ</t>
  </si>
  <si>
    <t>ס</t>
  </si>
  <si>
    <t>ע</t>
  </si>
  <si>
    <t>פ</t>
  </si>
  <si>
    <t>צ</t>
  </si>
  <si>
    <t>ק</t>
  </si>
  <si>
    <t>ר</t>
  </si>
  <si>
    <t>ש</t>
  </si>
  <si>
    <t>ת</t>
  </si>
  <si>
    <t>freq X/milion</t>
  </si>
  <si>
    <t>trans</t>
  </si>
  <si>
    <t>sub</t>
  </si>
  <si>
    <t>word&gt;trans</t>
  </si>
  <si>
    <t>word&lt;trans</t>
  </si>
  <si>
    <t>word&gt;sub</t>
  </si>
  <si>
    <t>word&lt;sub</t>
  </si>
  <si>
    <t>trans&gt;sub</t>
  </si>
  <si>
    <t>trans&lt;sub</t>
  </si>
  <si>
    <t>word?trans=word?sub</t>
  </si>
  <si>
    <t>בקרים</t>
  </si>
  <si>
    <t>ברקים</t>
  </si>
  <si>
    <t>בגדים</t>
  </si>
  <si>
    <t>ברחה</t>
  </si>
  <si>
    <t>בחרה</t>
  </si>
  <si>
    <t>בגדה</t>
  </si>
  <si>
    <t>גלמים</t>
  </si>
  <si>
    <t>גמלים</t>
  </si>
  <si>
    <t>גשרים</t>
  </si>
  <si>
    <t>גברים</t>
  </si>
  <si>
    <t>גרבים</t>
  </si>
  <si>
    <t>גלדים</t>
  </si>
  <si>
    <t>דגרה</t>
  </si>
  <si>
    <t>דרגה</t>
  </si>
  <si>
    <t>דחתה</t>
  </si>
  <si>
    <t>החלמה</t>
  </si>
  <si>
    <t>הלחמה</t>
  </si>
  <si>
    <t>הפנמה</t>
  </si>
  <si>
    <t>העשרה</t>
  </si>
  <si>
    <t>השערה</t>
  </si>
  <si>
    <t>הספיק</t>
  </si>
  <si>
    <t>הפסיק</t>
  </si>
  <si>
    <t>החליק</t>
  </si>
  <si>
    <t>הפעלה</t>
  </si>
  <si>
    <t>העפלה</t>
  </si>
  <si>
    <t>הגרלה</t>
  </si>
  <si>
    <t>הצניח</t>
  </si>
  <si>
    <t>הנציח</t>
  </si>
  <si>
    <t>הבליח</t>
  </si>
  <si>
    <t>הרעשנו</t>
  </si>
  <si>
    <t>הרשענו</t>
  </si>
  <si>
    <t>הרגזנו</t>
  </si>
  <si>
    <t>הרקיב</t>
  </si>
  <si>
    <t>הקריב</t>
  </si>
  <si>
    <t>התגבר</t>
  </si>
  <si>
    <t>התבגר</t>
  </si>
  <si>
    <t>התנצר</t>
  </si>
  <si>
    <t>התנגב</t>
  </si>
  <si>
    <t>התגנב</t>
  </si>
  <si>
    <t>התקרב</t>
  </si>
  <si>
    <t>התקלח</t>
  </si>
  <si>
    <t>התלקח</t>
  </si>
  <si>
    <t>התנצח</t>
  </si>
  <si>
    <t>זמרת</t>
  </si>
  <si>
    <t>זרמת</t>
  </si>
  <si>
    <t>זעקת</t>
  </si>
  <si>
    <t>חבלן</t>
  </si>
  <si>
    <t>חלבן</t>
  </si>
  <si>
    <t>חמדן</t>
  </si>
  <si>
    <t>חדרים</t>
  </si>
  <si>
    <t>חרדים</t>
  </si>
  <si>
    <t>חגבים</t>
  </si>
  <si>
    <t>חדשות</t>
  </si>
  <si>
    <t>חשדות</t>
  </si>
  <si>
    <t>חרבות</t>
  </si>
  <si>
    <t>חוברות</t>
  </si>
  <si>
    <t>חורבות</t>
  </si>
  <si>
    <t>חושדות</t>
  </si>
  <si>
    <t>חודשים</t>
  </si>
  <si>
    <t>חושדים</t>
  </si>
  <si>
    <t>חונקים</t>
  </si>
  <si>
    <t>חורזים</t>
  </si>
  <si>
    <t>חוזרים</t>
  </si>
  <si>
    <t>חומדים</t>
  </si>
  <si>
    <t>חוקרים</t>
  </si>
  <si>
    <t>חורקים</t>
  </si>
  <si>
    <t>חופנים</t>
  </si>
  <si>
    <t>חוקרת</t>
  </si>
  <si>
    <t>חורקת</t>
  </si>
  <si>
    <t>חובשת</t>
  </si>
  <si>
    <t>חושבת</t>
  </si>
  <si>
    <t>חרקנו</t>
  </si>
  <si>
    <t>חקרנו</t>
  </si>
  <si>
    <t>חלמנו</t>
  </si>
  <si>
    <t>חברות</t>
  </si>
  <si>
    <t>חרטות</t>
  </si>
  <si>
    <t>חשבה</t>
  </si>
  <si>
    <t>חבשה</t>
  </si>
  <si>
    <t>חגרה</t>
  </si>
  <si>
    <t>חדשן</t>
  </si>
  <si>
    <t>חשדן</t>
  </si>
  <si>
    <t>חתרן</t>
  </si>
  <si>
    <t>יבדקו</t>
  </si>
  <si>
    <t>ידבקו</t>
  </si>
  <si>
    <t>יחרקו</t>
  </si>
  <si>
    <t>יגרעו</t>
  </si>
  <si>
    <t>ירגעו</t>
  </si>
  <si>
    <t>יטבעו</t>
  </si>
  <si>
    <t>יחבלו</t>
  </si>
  <si>
    <t>יחלבו</t>
  </si>
  <si>
    <t>יחטאו</t>
  </si>
  <si>
    <t>יחקרו</t>
  </si>
  <si>
    <t>יחלשו</t>
  </si>
  <si>
    <t>ילחש</t>
  </si>
  <si>
    <t>יחלש</t>
  </si>
  <si>
    <t>יגרש</t>
  </si>
  <si>
    <t>ינצח</t>
  </si>
  <si>
    <t>יצנח</t>
  </si>
  <si>
    <t>ימרח</t>
  </si>
  <si>
    <t>ירצפו</t>
  </si>
  <si>
    <t>יצרפו</t>
  </si>
  <si>
    <t>ישקפו</t>
  </si>
  <si>
    <t>יצרחו</t>
  </si>
  <si>
    <t>ירצחו</t>
  </si>
  <si>
    <t>ישפוט</t>
  </si>
  <si>
    <t>יפשוט</t>
  </si>
  <si>
    <t>יחרוט</t>
  </si>
  <si>
    <t>ישקרו</t>
  </si>
  <si>
    <t>יקשרו</t>
  </si>
  <si>
    <t>יחברו</t>
  </si>
  <si>
    <t>כלבים</t>
  </si>
  <si>
    <t>כבלים</t>
  </si>
  <si>
    <t>כפרים</t>
  </si>
  <si>
    <t>לחבור</t>
  </si>
  <si>
    <t>לבחור</t>
  </si>
  <si>
    <t>לגמור</t>
  </si>
  <si>
    <t>לבחוש</t>
  </si>
  <si>
    <t>לחבוש</t>
  </si>
  <si>
    <t>לנפוש</t>
  </si>
  <si>
    <t>לבצוע</t>
  </si>
  <si>
    <t>לצבוע</t>
  </si>
  <si>
    <t>לקרוע</t>
  </si>
  <si>
    <t>להשכיר</t>
  </si>
  <si>
    <t>להכשיר</t>
  </si>
  <si>
    <t>להגדיר</t>
  </si>
  <si>
    <t>לחמוק</t>
  </si>
  <si>
    <t>למחוק</t>
  </si>
  <si>
    <t>לבדוק</t>
  </si>
  <si>
    <t>לסרק</t>
  </si>
  <si>
    <t>לרסק</t>
  </si>
  <si>
    <t>לחבק</t>
  </si>
  <si>
    <t>לעבור</t>
  </si>
  <si>
    <t>לבעור</t>
  </si>
  <si>
    <t>לגזור</t>
  </si>
  <si>
    <t>לעמוד</t>
  </si>
  <si>
    <t>למעוד</t>
  </si>
  <si>
    <t>לעמול</t>
  </si>
  <si>
    <t>למעול</t>
  </si>
  <si>
    <t>לנבול</t>
  </si>
  <si>
    <t>לרקוע</t>
  </si>
  <si>
    <t>לקשר</t>
  </si>
  <si>
    <t>לשקר</t>
  </si>
  <si>
    <t>לחסר</t>
  </si>
  <si>
    <t>מברשת</t>
  </si>
  <si>
    <t>מבשרת</t>
  </si>
  <si>
    <t>מבצעת</t>
  </si>
  <si>
    <t>מדען</t>
  </si>
  <si>
    <t>מעדן</t>
  </si>
  <si>
    <t>מקרן</t>
  </si>
  <si>
    <t>מדענים</t>
  </si>
  <si>
    <t>מעדנים</t>
  </si>
  <si>
    <t>מזרנים</t>
  </si>
  <si>
    <t>מדרגה</t>
  </si>
  <si>
    <t>מדגרה</t>
  </si>
  <si>
    <t>מבחר</t>
  </si>
  <si>
    <t>מחבר</t>
  </si>
  <si>
    <t>מגדר</t>
  </si>
  <si>
    <t>מספידה</t>
  </si>
  <si>
    <t>מפסידה</t>
  </si>
  <si>
    <t>מטרידה</t>
  </si>
  <si>
    <t>מרקיב</t>
  </si>
  <si>
    <t>מקריב</t>
  </si>
  <si>
    <t>מחשיב</t>
  </si>
  <si>
    <t>מקשר</t>
  </si>
  <si>
    <t>משקר</t>
  </si>
  <si>
    <t>מפגר</t>
  </si>
  <si>
    <t>מקשרת</t>
  </si>
  <si>
    <t>משקרת</t>
  </si>
  <si>
    <t>מאחרת</t>
  </si>
  <si>
    <t>מרגיל</t>
  </si>
  <si>
    <t>מגריל</t>
  </si>
  <si>
    <t>מפשיל</t>
  </si>
  <si>
    <t>מרצפת</t>
  </si>
  <si>
    <t>מצרפת</t>
  </si>
  <si>
    <t>מרחפת</t>
  </si>
  <si>
    <t>מפזרת</t>
  </si>
  <si>
    <t>מתגרשים</t>
  </si>
  <si>
    <t>מתרגשים</t>
  </si>
  <si>
    <t>מתבקשים</t>
  </si>
  <si>
    <t>מתערבת</t>
  </si>
  <si>
    <t>מתעברת</t>
  </si>
  <si>
    <t>מתעלקת</t>
  </si>
  <si>
    <t>נבדק</t>
  </si>
  <si>
    <t>נדבק</t>
  </si>
  <si>
    <t>נזרק</t>
  </si>
  <si>
    <t>נופשים</t>
  </si>
  <si>
    <t>נושפים</t>
  </si>
  <si>
    <t>נוקמים</t>
  </si>
  <si>
    <t>סגרתי</t>
  </si>
  <si>
    <t>סרגתי</t>
  </si>
  <si>
    <t>סלחתי</t>
  </si>
  <si>
    <t>סוגרת</t>
  </si>
  <si>
    <t>סורגת</t>
  </si>
  <si>
    <t>סולחת</t>
  </si>
  <si>
    <t>עברית</t>
  </si>
  <si>
    <t>ערבית</t>
  </si>
  <si>
    <t>פושרת</t>
  </si>
  <si>
    <t>פורשת</t>
  </si>
  <si>
    <t>פועלת</t>
  </si>
  <si>
    <t>פיטרה</t>
  </si>
  <si>
    <t>פירטה</t>
  </si>
  <si>
    <t>פיצחה</t>
  </si>
  <si>
    <t>פרשנות</t>
  </si>
  <si>
    <t>פשרנות</t>
  </si>
  <si>
    <t>פחדנות</t>
  </si>
  <si>
    <t>פשרה</t>
  </si>
  <si>
    <t>פרשה</t>
  </si>
  <si>
    <t>קוצרים</t>
  </si>
  <si>
    <t>קורצים</t>
  </si>
  <si>
    <t>קוסמים</t>
  </si>
  <si>
    <t>קפלים</t>
  </si>
  <si>
    <t>קלפים</t>
  </si>
  <si>
    <t>קשרים</t>
  </si>
  <si>
    <t>קערה</t>
  </si>
  <si>
    <t>קרעה</t>
  </si>
  <si>
    <t>קטלה</t>
  </si>
  <si>
    <t>קצפת</t>
  </si>
  <si>
    <t>קפצת</t>
  </si>
  <si>
    <t>קשרת</t>
  </si>
  <si>
    <t>קרשים</t>
  </si>
  <si>
    <t>קסמים</t>
  </si>
  <si>
    <t>רעבים</t>
  </si>
  <si>
    <t>רבעים</t>
  </si>
  <si>
    <t>רשעים</t>
  </si>
  <si>
    <t>רעשים</t>
  </si>
  <si>
    <t>רבדים</t>
  </si>
  <si>
    <t>תברחי</t>
  </si>
  <si>
    <t>תבחרי</t>
  </si>
  <si>
    <t>תבקשי</t>
  </si>
  <si>
    <t>תגנבו</t>
  </si>
  <si>
    <t>תנגבו</t>
  </si>
  <si>
    <t>תרעבו</t>
  </si>
  <si>
    <t>תופסת</t>
  </si>
  <si>
    <t>תוספת</t>
  </si>
  <si>
    <t>תוצרת</t>
  </si>
  <si>
    <t>תחלשו</t>
  </si>
  <si>
    <t>תלחשו</t>
  </si>
  <si>
    <t>תחמקו</t>
  </si>
  <si>
    <t>תמחקו</t>
  </si>
  <si>
    <t>תבדקו</t>
  </si>
  <si>
    <t>תסרקי</t>
  </si>
  <si>
    <t>תסקרי</t>
  </si>
  <si>
    <t>תסמני</t>
  </si>
  <si>
    <t>תעמלי</t>
  </si>
  <si>
    <t>תמעלי</t>
  </si>
  <si>
    <t>תגדלי</t>
  </si>
  <si>
    <t>תשרקו</t>
  </si>
  <si>
    <t>תשקרו</t>
  </si>
  <si>
    <t>תשלמו</t>
  </si>
  <si>
    <t>מבדרת</t>
  </si>
  <si>
    <t>מדברת</t>
  </si>
  <si>
    <t>מספרת</t>
  </si>
  <si>
    <t>false-font</t>
  </si>
  <si>
    <t>RW</t>
  </si>
  <si>
    <t>word-count - subtitle</t>
  </si>
  <si>
    <t>PW</t>
  </si>
  <si>
    <t>ችኅስር</t>
  </si>
  <si>
    <t>בסדר</t>
  </si>
  <si>
    <t>ድህቡጵህይ</t>
  </si>
  <si>
    <t>גינופיט</t>
  </si>
  <si>
    <t>ቡኡክር</t>
  </si>
  <si>
    <t>נולר</t>
  </si>
  <si>
    <t>ክቭሁኡ፣</t>
  </si>
  <si>
    <t>להיות</t>
  </si>
  <si>
    <t>ኣኡምህ</t>
  </si>
  <si>
    <t>שוצי</t>
  </si>
  <si>
    <t>ቹኡ፤</t>
  </si>
  <si>
    <t>בוף</t>
  </si>
  <si>
    <t>ጅሁኡኡክ፣</t>
  </si>
  <si>
    <t>חיוולת</t>
  </si>
  <si>
    <t>ዱኡንህክ</t>
  </si>
  <si>
    <t>גומיל</t>
  </si>
  <si>
    <t>ጉኡዝንብ፣</t>
  </si>
  <si>
    <t>עוזמת</t>
  </si>
  <si>
    <t>ኑኡዝ፤</t>
  </si>
  <si>
    <t>מוזף</t>
  </si>
  <si>
    <t>ኅብንር</t>
  </si>
  <si>
    <t>סנמר</t>
  </si>
  <si>
    <t>ቱኡንር</t>
  </si>
  <si>
    <t>אומר</t>
  </si>
  <si>
    <t>ትርፕ።</t>
  </si>
  <si>
    <t>ארפץ</t>
  </si>
  <si>
    <t>ምርህል</t>
  </si>
  <si>
    <t>צריך</t>
  </si>
  <si>
    <t>ኅህሙኡ</t>
  </si>
  <si>
    <t>סיצו</t>
  </si>
  <si>
    <t>ክዏኣኡ፣</t>
  </si>
  <si>
    <t>לעשות</t>
  </si>
  <si>
    <t>ኗኣአዝ</t>
  </si>
  <si>
    <t>משקז</t>
  </si>
  <si>
    <t>ምጅ፣ኡ</t>
  </si>
  <si>
    <t>צחתו</t>
  </si>
  <si>
    <t>ትቧኣሆኦ</t>
  </si>
  <si>
    <t>אנשים</t>
  </si>
  <si>
    <t>ኣሩኡፕክ</t>
  </si>
  <si>
    <t>שרופל</t>
  </si>
  <si>
    <t>ቹኡክል</t>
  </si>
  <si>
    <t>בולך</t>
  </si>
  <si>
    <t>ሩኡምቭ</t>
  </si>
  <si>
    <t>רוצה</t>
  </si>
  <si>
    <t>ዏኣንድ</t>
  </si>
  <si>
    <t>ישמג</t>
  </si>
  <si>
    <t>ኩኡንህዬአ</t>
  </si>
  <si>
    <t>לומיטר</t>
  </si>
  <si>
    <t>ጉኡአቭ</t>
  </si>
  <si>
    <t>עוקה</t>
  </si>
  <si>
    <t>ኣኩኡኦ</t>
  </si>
  <si>
    <t>שלום</t>
  </si>
  <si>
    <t>ኩኡርድ</t>
  </si>
  <si>
    <t>לורג</t>
  </si>
  <si>
    <t>ዙኡድር</t>
  </si>
  <si>
    <t>זוגר</t>
  </si>
  <si>
    <t>ትችክህጎኦ</t>
  </si>
  <si>
    <t>אבליעם</t>
  </si>
  <si>
    <t>ፉኡድስ፣</t>
  </si>
  <si>
    <t>כוגדת</t>
  </si>
  <si>
    <t>ሁኡስግ</t>
  </si>
  <si>
    <t>יודע</t>
  </si>
  <si>
    <t>ን፣አቿኣ</t>
  </si>
  <si>
    <t>מתקבש</t>
  </si>
  <si>
    <t>ክርቱኡ፣</t>
  </si>
  <si>
    <t>לראות</t>
  </si>
  <si>
    <t>ንጁኡድኅ</t>
  </si>
  <si>
    <t>מחוגס</t>
  </si>
  <si>
    <t>ብፉኡኢ</t>
  </si>
  <si>
    <t>נכון</t>
  </si>
  <si>
    <t>ክሙኡቺኢ</t>
  </si>
  <si>
    <t>לצובן</t>
  </si>
  <si>
    <t>ፗኣኡይ</t>
  </si>
  <si>
    <t>פשוט</t>
  </si>
  <si>
    <t>ቡኡቿኣ</t>
  </si>
  <si>
    <t>נובש</t>
  </si>
  <si>
    <t>ችሽሁኡአ</t>
  </si>
  <si>
    <t>בדיוק</t>
  </si>
  <si>
    <t>ምጅንር</t>
  </si>
  <si>
    <t>צחמר</t>
  </si>
  <si>
    <t>ጉኡኣቭ</t>
  </si>
  <si>
    <t>עושה</t>
  </si>
  <si>
    <t>ፑኡቷኣ</t>
  </si>
  <si>
    <t>פואש</t>
  </si>
  <si>
    <t>አኡሶኦ</t>
  </si>
  <si>
    <t>קוגם</t>
  </si>
  <si>
    <t>ህፉኡክቭ</t>
  </si>
  <si>
    <t>יכולה</t>
  </si>
  <si>
    <t>ፕምኗኣ</t>
  </si>
  <si>
    <t>פצנש</t>
  </si>
  <si>
    <t>ንዏኣቩኡ</t>
  </si>
  <si>
    <t>מישהו</t>
  </si>
  <si>
    <t>ጉኡድ።</t>
  </si>
  <si>
    <t>עוגץ</t>
  </si>
  <si>
    <t>ክስችር</t>
  </si>
  <si>
    <t>לדבר</t>
  </si>
  <si>
    <t>ግህችኩኡ</t>
  </si>
  <si>
    <t>עיבלו</t>
  </si>
  <si>
    <t>ጁኡኣች</t>
  </si>
  <si>
    <t>חושב</t>
  </si>
  <si>
    <t>ኑኡሽህች</t>
  </si>
  <si>
    <t>מודיב</t>
  </si>
  <si>
    <t>ቩኡክል</t>
  </si>
  <si>
    <t>הולך</t>
  </si>
  <si>
    <t>ጅኅህይክ</t>
  </si>
  <si>
    <t>חסיטל</t>
  </si>
  <si>
    <t>ምርህፍቭ</t>
  </si>
  <si>
    <t>צריכה</t>
  </si>
  <si>
    <t>ድህክች</t>
  </si>
  <si>
    <t>גילב</t>
  </si>
  <si>
    <t>ቱኡቭች</t>
  </si>
  <si>
    <t>אוהב</t>
  </si>
  <si>
    <t>ሁኡስግ፣</t>
  </si>
  <si>
    <t>יודעת</t>
  </si>
  <si>
    <t>ትኩኡቭሆኦ</t>
  </si>
  <si>
    <t>אלוהים</t>
  </si>
  <si>
    <t>አሽህንቭ</t>
  </si>
  <si>
    <t>קדימה</t>
  </si>
  <si>
    <t>ንምይግር</t>
  </si>
  <si>
    <t>מצטער</t>
  </si>
  <si>
    <t>base</t>
  </si>
  <si>
    <t>תפוז</t>
  </si>
  <si>
    <t>תפוח</t>
  </si>
  <si>
    <t>אגס</t>
  </si>
  <si>
    <t>תות</t>
  </si>
  <si>
    <t>מלון</t>
  </si>
  <si>
    <t>אבטיח</t>
  </si>
  <si>
    <t>בננה</t>
  </si>
  <si>
    <t>אפרסק</t>
  </si>
  <si>
    <t>שזיף</t>
  </si>
  <si>
    <t>שסק</t>
  </si>
  <si>
    <t>לימון</t>
  </si>
  <si>
    <t>עגבניה</t>
  </si>
  <si>
    <t>פלפל</t>
  </si>
  <si>
    <t>בטטה</t>
  </si>
  <si>
    <t>חסה</t>
  </si>
  <si>
    <t>קישוא</t>
  </si>
  <si>
    <t>סלק</t>
  </si>
  <si>
    <t>דלעת</t>
  </si>
  <si>
    <t>תירס</t>
  </si>
  <si>
    <t>אננס</t>
  </si>
  <si>
    <t>רימון</t>
  </si>
  <si>
    <t>תמר</t>
  </si>
  <si>
    <t>בצל</t>
  </si>
  <si>
    <t>אפונה</t>
  </si>
  <si>
    <t>שום</t>
  </si>
  <si>
    <t>אבוקדו</t>
  </si>
  <si>
    <t>תרד</t>
  </si>
  <si>
    <t>מנגו</t>
  </si>
  <si>
    <t>חציל</t>
  </si>
  <si>
    <t>גזר</t>
  </si>
  <si>
    <t>זית</t>
  </si>
  <si>
    <t>ענבים</t>
  </si>
  <si>
    <t>סלרי</t>
  </si>
  <si>
    <t>ענקית</t>
  </si>
  <si>
    <t>תפעול 2-3 3-4</t>
  </si>
  <si>
    <t>המון מהשורש הזה  חרק</t>
  </si>
  <si>
    <t>רצינו רק אותיות עיצור, לא אהוי</t>
  </si>
  <si>
    <t>לא ממש מילה בלי י</t>
  </si>
  <si>
    <t>עדיף בלי כפולות</t>
  </si>
  <si>
    <t>יש הרבה מילות פונקציה, בשונה מברשימות המילים - זה משנה לנו?</t>
  </si>
  <si>
    <t>לוודא שלא יווצר סיפור (צריך לעשות אותם אנשים)</t>
  </si>
  <si>
    <t xml:space="preserve"> 2013 אכפת לנו מבנה הברה? ראי טאפט</t>
  </si>
  <si>
    <t>חלקי מילה שיוצרים מילה קיימת - לשלוט בין טורים</t>
  </si>
  <si>
    <t>האם יכולים להקשות עלינו בגלל שויזואלית ז צרה יותר מכל השאר?</t>
  </si>
  <si>
    <t>אכפת לנו נדיד או לא במילות הביקורת? סימנתי נדידיות</t>
  </si>
  <si>
    <t>סירבתי בלי יוד בעייתי</t>
  </si>
  <si>
    <t>שורש פגום לא של שלוש אותיות עיצוריות</t>
  </si>
  <si>
    <t>לא ממש מילהעדיף שפטה שטפה שרקה)</t>
  </si>
  <si>
    <t>שפטה</t>
  </si>
  <si>
    <t>שטפה</t>
  </si>
  <si>
    <t>שרקה</t>
  </si>
  <si>
    <t>חמלנו</t>
  </si>
  <si>
    <t>ירגש</t>
  </si>
  <si>
    <t>לדבוק</t>
  </si>
  <si>
    <t>לשרוד</t>
  </si>
  <si>
    <t>מרפק</t>
  </si>
  <si>
    <t>מפרק</t>
  </si>
  <si>
    <t>נבחר</t>
  </si>
  <si>
    <t>נחבר</t>
  </si>
  <si>
    <t>יקלוט</t>
  </si>
  <si>
    <t>ילקוט</t>
  </si>
  <si>
    <t>זרמים</t>
  </si>
  <si>
    <t>זמרים</t>
  </si>
  <si>
    <t>משכיל</t>
  </si>
  <si>
    <t>מכשיל</t>
  </si>
  <si>
    <t>בשלים</t>
  </si>
  <si>
    <t>בלשים</t>
  </si>
  <si>
    <t>הגדרה</t>
  </si>
  <si>
    <t>העליב</t>
  </si>
  <si>
    <t>חולפת</t>
  </si>
  <si>
    <t>חתמנו</t>
  </si>
  <si>
    <t>יצחקו</t>
  </si>
  <si>
    <t>יבקש</t>
  </si>
  <si>
    <t>ישכחו</t>
  </si>
  <si>
    <t>חטפנו</t>
  </si>
  <si>
    <t>יחפש</t>
  </si>
  <si>
    <t>לסרוק</t>
  </si>
  <si>
    <t>לזרוק</t>
  </si>
  <si>
    <t>מדבקה</t>
  </si>
  <si>
    <t>פסקה</t>
  </si>
  <si>
    <t>קברים</t>
  </si>
  <si>
    <t>רמזים</t>
  </si>
  <si>
    <t>תפגשו</t>
  </si>
  <si>
    <t>מחלק</t>
  </si>
  <si>
    <t>נגמר</t>
  </si>
  <si>
    <t>יצבוט</t>
  </si>
  <si>
    <t>זקנים</t>
  </si>
  <si>
    <t>מפעיל</t>
  </si>
  <si>
    <t>בחנים</t>
  </si>
  <si>
    <t>חולקת</t>
  </si>
  <si>
    <t>חשפן</t>
  </si>
  <si>
    <t>מעשנת</t>
  </si>
  <si>
    <t>משענת</t>
  </si>
  <si>
    <t>מטגנת</t>
  </si>
  <si>
    <t>החזיק</t>
  </si>
  <si>
    <t>מחסן</t>
  </si>
  <si>
    <t>בלמים</t>
  </si>
  <si>
    <t>אוכל</t>
  </si>
  <si>
    <t>מותק</t>
  </si>
  <si>
    <t>מספיק</t>
  </si>
  <si>
    <t>מקום</t>
  </si>
  <si>
    <t>מתכוון</t>
  </si>
  <si>
    <t>עבודה</t>
  </si>
  <si>
    <t>קסגים</t>
  </si>
  <si>
    <t>አኅድሆኦ</t>
  </si>
  <si>
    <t>בחור</t>
  </si>
  <si>
    <t>בעיה</t>
  </si>
  <si>
    <t>אכפת</t>
  </si>
  <si>
    <t>ግኁኡስቭ</t>
  </si>
  <si>
    <t>ቱኡድክ</t>
  </si>
  <si>
    <t>ኑኡ፣አ</t>
  </si>
  <si>
    <t>ንኅጵሄአ</t>
  </si>
  <si>
    <t>ኔአኡኦ</t>
  </si>
  <si>
    <t>ን፣ፉኡኡኢ</t>
  </si>
  <si>
    <t>ችጁኡር</t>
  </si>
  <si>
    <t>ችግህቭ</t>
  </si>
  <si>
    <t>ትፍፕ፣</t>
  </si>
  <si>
    <t>לשמוע</t>
  </si>
  <si>
    <t>ראשון</t>
  </si>
  <si>
    <t>ሏኣኑኡግ</t>
  </si>
  <si>
    <t>ርቷኣኡኢ</t>
  </si>
  <si>
    <t>קבטל</t>
  </si>
  <si>
    <t>צבסל</t>
  </si>
  <si>
    <t>קטבל</t>
  </si>
  <si>
    <t>צסבל</t>
  </si>
  <si>
    <t>חצבר</t>
  </si>
  <si>
    <t>חבצר</t>
  </si>
  <si>
    <t>דטבס</t>
  </si>
  <si>
    <t>דבטס</t>
  </si>
  <si>
    <t>דכבר</t>
  </si>
  <si>
    <t>דבכר</t>
  </si>
  <si>
    <t>דשבט</t>
  </si>
  <si>
    <t>דבשט</t>
  </si>
  <si>
    <t>סדבר</t>
  </si>
  <si>
    <t>סבדר</t>
  </si>
  <si>
    <t>עקבד</t>
  </si>
  <si>
    <t>עבקד</t>
  </si>
  <si>
    <t>פטבח</t>
  </si>
  <si>
    <t>פבטח</t>
  </si>
  <si>
    <t>עסבק</t>
  </si>
  <si>
    <t>עבסק</t>
  </si>
  <si>
    <t>קעבד</t>
  </si>
  <si>
    <t>קבעד</t>
  </si>
  <si>
    <t>סגבק</t>
  </si>
  <si>
    <t>סבגק</t>
  </si>
  <si>
    <t>חעבש</t>
  </si>
  <si>
    <t>חבעש</t>
  </si>
  <si>
    <t>זפבר</t>
  </si>
  <si>
    <t>זבפר</t>
  </si>
  <si>
    <t>פמבק</t>
  </si>
  <si>
    <t>פבמק</t>
  </si>
  <si>
    <t>גחבט</t>
  </si>
  <si>
    <t>גבחט</t>
  </si>
  <si>
    <t>זלבס</t>
  </si>
  <si>
    <t>זבלס</t>
  </si>
  <si>
    <t>ז</t>
  </si>
  <si>
    <t>סחבש</t>
  </si>
  <si>
    <t>סבחש</t>
  </si>
  <si>
    <t>פתבד</t>
  </si>
  <si>
    <t>פבתד</t>
  </si>
  <si>
    <t>זמבש</t>
  </si>
  <si>
    <t>זבמש</t>
  </si>
  <si>
    <t>חדבק</t>
  </si>
  <si>
    <t>חבדק</t>
  </si>
  <si>
    <t>גתבט</t>
  </si>
  <si>
    <t>גבתט</t>
  </si>
  <si>
    <t>רזבג</t>
  </si>
  <si>
    <t>רבזג</t>
  </si>
  <si>
    <t>טקבע</t>
  </si>
  <si>
    <t>טבקע</t>
  </si>
  <si>
    <t>קסבח</t>
  </si>
  <si>
    <t>קבסח</t>
  </si>
  <si>
    <t>צגבד</t>
  </si>
  <si>
    <t>צבגד</t>
  </si>
  <si>
    <t>צרבז</t>
  </si>
  <si>
    <t>צברז</t>
  </si>
  <si>
    <t>קשבס</t>
  </si>
  <si>
    <t>קבשס</t>
  </si>
  <si>
    <t>סלבע</t>
  </si>
  <si>
    <t>סבלע</t>
  </si>
  <si>
    <t>סרבט</t>
  </si>
  <si>
    <t>סברט</t>
  </si>
  <si>
    <t>פחבר</t>
  </si>
  <si>
    <t>פבחר</t>
  </si>
  <si>
    <t>טפבח</t>
  </si>
  <si>
    <t>טבפח</t>
  </si>
  <si>
    <t>פצבס</t>
  </si>
  <si>
    <t>פבצס</t>
  </si>
  <si>
    <t>פנבע</t>
  </si>
  <si>
    <t>פבנע</t>
  </si>
  <si>
    <t>זטבק</t>
  </si>
  <si>
    <t>זבטק</t>
  </si>
  <si>
    <t>חשבס</t>
  </si>
  <si>
    <t>חבשס</t>
  </si>
  <si>
    <t>טגבל</t>
  </si>
  <si>
    <t>טבגל</t>
  </si>
  <si>
    <t>עלבד</t>
  </si>
  <si>
    <t>עבלד</t>
  </si>
  <si>
    <t>רנבז</t>
  </si>
  <si>
    <t>רבנז</t>
  </si>
  <si>
    <t>דגבע</t>
  </si>
  <si>
    <t>דבגע</t>
  </si>
  <si>
    <t>זרבל</t>
  </si>
  <si>
    <t>זברל</t>
  </si>
  <si>
    <t>רפבד</t>
  </si>
  <si>
    <t>רבפד</t>
  </si>
  <si>
    <t>גרבע</t>
  </si>
  <si>
    <t>גברע</t>
  </si>
  <si>
    <t>צפבל</t>
  </si>
  <si>
    <t>צבפל</t>
  </si>
  <si>
    <t>גצבר</t>
  </si>
  <si>
    <t>גבצר</t>
  </si>
  <si>
    <t>עכבג</t>
  </si>
  <si>
    <t>עבכג</t>
  </si>
  <si>
    <t>פשבט</t>
  </si>
  <si>
    <t>פבשט</t>
  </si>
  <si>
    <t>חגבש</t>
  </si>
  <si>
    <t>חבגש</t>
  </si>
  <si>
    <t>טלבד</t>
  </si>
  <si>
    <t>טבלד</t>
  </si>
  <si>
    <t>גזבר</t>
  </si>
  <si>
    <t>גבזר</t>
  </si>
  <si>
    <t>קתבש</t>
  </si>
  <si>
    <t>קבתש</t>
  </si>
  <si>
    <t>גפבל</t>
  </si>
  <si>
    <t>גבפל</t>
  </si>
  <si>
    <t>סטבש</t>
  </si>
  <si>
    <t>סבטש</t>
  </si>
  <si>
    <t>עשבט</t>
  </si>
  <si>
    <t>עבשט</t>
  </si>
  <si>
    <t>פתבע</t>
  </si>
  <si>
    <t>פבתע</t>
  </si>
  <si>
    <t>סדבג</t>
  </si>
  <si>
    <t>סבדג</t>
  </si>
  <si>
    <t>קמבל</t>
  </si>
  <si>
    <t>קבמל</t>
  </si>
  <si>
    <t>דרבש</t>
  </si>
  <si>
    <t>דברש</t>
  </si>
  <si>
    <t>גסבש</t>
  </si>
  <si>
    <t>גבסש</t>
  </si>
  <si>
    <t>חצבז</t>
  </si>
  <si>
    <t>חבצז</t>
  </si>
  <si>
    <t>גרבז</t>
  </si>
  <si>
    <t>גברז</t>
  </si>
  <si>
    <t>זשבג</t>
  </si>
  <si>
    <t>זבשג</t>
  </si>
  <si>
    <t>חסבג</t>
  </si>
  <si>
    <t>חבסג</t>
  </si>
  <si>
    <t>רזבד</t>
  </si>
  <si>
    <t>רבזד</t>
  </si>
  <si>
    <t>עכבז</t>
  </si>
  <si>
    <t>עבכז</t>
  </si>
  <si>
    <t>פמבל</t>
  </si>
  <si>
    <t>פבמל</t>
  </si>
  <si>
    <t>סמבח</t>
  </si>
  <si>
    <t>סבמח</t>
  </si>
  <si>
    <t>רנבש</t>
  </si>
  <si>
    <t>רבנש</t>
  </si>
  <si>
    <t>זחבג</t>
  </si>
  <si>
    <t>זבחג</t>
  </si>
  <si>
    <t>צקבד</t>
  </si>
  <si>
    <t>צבקד</t>
  </si>
  <si>
    <t>גנבל</t>
  </si>
  <si>
    <t>גבנל</t>
  </si>
  <si>
    <t>פגבק</t>
  </si>
  <si>
    <t>פבגק</t>
  </si>
  <si>
    <t>צתבר</t>
  </si>
  <si>
    <t>צבתר</t>
  </si>
  <si>
    <t>קזבד</t>
  </si>
  <si>
    <t>קבזד</t>
  </si>
  <si>
    <t>דצבק</t>
  </si>
  <si>
    <t>דבצק</t>
  </si>
  <si>
    <t>זדבל</t>
  </si>
  <si>
    <t>זבדל</t>
  </si>
  <si>
    <t>סצבז</t>
  </si>
  <si>
    <t>סבצז</t>
  </si>
  <si>
    <t>טמבח</t>
  </si>
  <si>
    <t>טבמח</t>
  </si>
  <si>
    <t>חעבד</t>
  </si>
  <si>
    <t>חבעד</t>
  </si>
  <si>
    <t>רדבט</t>
  </si>
  <si>
    <t>רבדט</t>
  </si>
  <si>
    <t>טלבז</t>
  </si>
  <si>
    <t>טבלז</t>
  </si>
  <si>
    <t>דחבר</t>
  </si>
  <si>
    <t>דבחר</t>
  </si>
  <si>
    <t>חטבז</t>
  </si>
  <si>
    <t>חבטז</t>
  </si>
  <si>
    <t>עדבח</t>
  </si>
  <si>
    <t>עבדח</t>
  </si>
  <si>
    <t>דנבס</t>
  </si>
  <si>
    <t>דבנס</t>
  </si>
  <si>
    <t>צנבק</t>
  </si>
  <si>
    <t>צבנק</t>
  </si>
  <si>
    <t>ספבע</t>
  </si>
  <si>
    <t>סבפע</t>
  </si>
  <si>
    <t>דעבש</t>
  </si>
  <si>
    <t>דבעש</t>
  </si>
  <si>
    <t>גטבש</t>
  </si>
  <si>
    <t>גבטש</t>
  </si>
  <si>
    <t>עפבט</t>
  </si>
  <si>
    <t>עבפט</t>
  </si>
  <si>
    <t>חמבל</t>
  </si>
  <si>
    <t>חבמל</t>
  </si>
  <si>
    <t>געבח</t>
  </si>
  <si>
    <t>גבעח</t>
  </si>
  <si>
    <t>זפבט</t>
  </si>
  <si>
    <t>זבפט</t>
  </si>
  <si>
    <t>צסבש</t>
  </si>
  <si>
    <t>צבסש</t>
  </si>
  <si>
    <t>רתבט</t>
  </si>
  <si>
    <t>רבתט</t>
  </si>
  <si>
    <t>פרבל</t>
  </si>
  <si>
    <t>פברל</t>
  </si>
  <si>
    <t>רשבע</t>
  </si>
  <si>
    <t>רבשע</t>
  </si>
  <si>
    <t>קנבר</t>
  </si>
  <si>
    <t>קבנר</t>
  </si>
  <si>
    <t>רמבע</t>
  </si>
  <si>
    <t>רבמע</t>
  </si>
  <si>
    <t>עסבג</t>
  </si>
  <si>
    <t>עבסג</t>
  </si>
  <si>
    <t>צדבט</t>
  </si>
  <si>
    <t>צבדט</t>
  </si>
  <si>
    <t>דחבק</t>
  </si>
  <si>
    <t>דבחק</t>
  </si>
  <si>
    <t>חזבר</t>
  </si>
  <si>
    <t>חבזר</t>
  </si>
  <si>
    <t>צקבס</t>
  </si>
  <si>
    <t>צבקס</t>
  </si>
  <si>
    <t>טחבס</t>
  </si>
  <si>
    <t>טבחס</t>
  </si>
  <si>
    <t>פמבט</t>
  </si>
  <si>
    <t>פבמט</t>
  </si>
  <si>
    <t>עשבר</t>
  </si>
  <si>
    <t>עבשר</t>
  </si>
  <si>
    <t>זכבט</t>
  </si>
  <si>
    <t>זבכט</t>
  </si>
  <si>
    <t>רצבח</t>
  </si>
  <si>
    <t>רבצח</t>
  </si>
  <si>
    <t>געבס</t>
  </si>
  <si>
    <t>גבעס</t>
  </si>
  <si>
    <t>ספבק</t>
  </si>
  <si>
    <t>סבפק</t>
  </si>
  <si>
    <t>זכבח</t>
  </si>
  <si>
    <t>זבכח</t>
  </si>
  <si>
    <t>חזבע</t>
  </si>
  <si>
    <t>חבזע</t>
  </si>
  <si>
    <t>דלבש</t>
  </si>
  <si>
    <t>דבלש</t>
  </si>
  <si>
    <t>עתבג</t>
  </si>
  <si>
    <t>עבתג</t>
  </si>
  <si>
    <t>טקבז</t>
  </si>
  <si>
    <t>טבקז</t>
  </si>
  <si>
    <t>רדבג</t>
  </si>
  <si>
    <t>רבדג</t>
  </si>
  <si>
    <t>סקבד</t>
  </si>
  <si>
    <t>סבקד</t>
  </si>
  <si>
    <t>טדבס</t>
  </si>
  <si>
    <t>טבדס</t>
  </si>
  <si>
    <t>סלבש</t>
  </si>
  <si>
    <t>סבלש</t>
  </si>
  <si>
    <t>צגבע</t>
  </si>
  <si>
    <t>צבגע</t>
  </si>
  <si>
    <t>קכבח</t>
  </si>
  <si>
    <t>קבכח</t>
  </si>
  <si>
    <t>טשבד</t>
  </si>
  <si>
    <t>טבשד</t>
  </si>
  <si>
    <t>ערבק</t>
  </si>
  <si>
    <t>עברק</t>
  </si>
  <si>
    <t>קזבט</t>
  </si>
  <si>
    <t>קבזט</t>
  </si>
  <si>
    <t>גטבל</t>
  </si>
  <si>
    <t>גבטל</t>
  </si>
  <si>
    <t>חנבג</t>
  </si>
  <si>
    <t>חבנג</t>
  </si>
  <si>
    <t>צקבז</t>
  </si>
  <si>
    <t>צבקז</t>
  </si>
  <si>
    <t>טלבח</t>
  </si>
  <si>
    <t>טבלח</t>
  </si>
  <si>
    <t>זצבע</t>
  </si>
  <si>
    <t>זבצע</t>
  </si>
  <si>
    <t>רקבס</t>
  </si>
  <si>
    <t>רבקס</t>
  </si>
  <si>
    <t>פלבס</t>
  </si>
  <si>
    <t>פבלס</t>
  </si>
  <si>
    <t>טזבג</t>
  </si>
  <si>
    <t>טבזג</t>
  </si>
  <si>
    <t>סשבר</t>
  </si>
  <si>
    <t>סבשר</t>
  </si>
  <si>
    <t>צחבק</t>
  </si>
  <si>
    <t>צבחק</t>
  </si>
  <si>
    <t>רכבז</t>
  </si>
  <si>
    <t>רבכז</t>
  </si>
  <si>
    <t>עזבד</t>
  </si>
  <si>
    <t>עבזד</t>
  </si>
  <si>
    <t>קטבע</t>
  </si>
  <si>
    <t>קבטע</t>
  </si>
  <si>
    <t>גתבז</t>
  </si>
  <si>
    <t>גבתז</t>
  </si>
  <si>
    <t>טעבג</t>
  </si>
  <si>
    <t>טבעג</t>
  </si>
  <si>
    <t>קכבל</t>
  </si>
  <si>
    <t>קבכל</t>
  </si>
  <si>
    <t>צפבס</t>
  </si>
  <si>
    <t>צבפס</t>
  </si>
  <si>
    <t>חנבז</t>
  </si>
  <si>
    <t>חבנז</t>
  </si>
  <si>
    <t>דצבח</t>
  </si>
  <si>
    <t>דבצח</t>
  </si>
  <si>
    <t>זגבק</t>
  </si>
  <si>
    <t>זבגק</t>
  </si>
  <si>
    <t>פרבח</t>
  </si>
  <si>
    <t>פברח</t>
  </si>
  <si>
    <t>טחבד</t>
  </si>
  <si>
    <t>טבחד</t>
  </si>
  <si>
    <t>רסבק</t>
  </si>
  <si>
    <t>רבסק</t>
  </si>
  <si>
    <t>גזבע</t>
  </si>
  <si>
    <t>גבזע</t>
  </si>
  <si>
    <t>קגבר</t>
  </si>
  <si>
    <t>קבגר</t>
  </si>
  <si>
    <t>קעבט</t>
  </si>
  <si>
    <t>קבעט</t>
  </si>
  <si>
    <t>דתבג</t>
  </si>
  <si>
    <t>דבתג</t>
  </si>
  <si>
    <t>עכבק</t>
  </si>
  <si>
    <t>עבכק</t>
  </si>
  <si>
    <t>זרבח</t>
  </si>
  <si>
    <t>זברח</t>
  </si>
  <si>
    <t>פקבע</t>
  </si>
  <si>
    <t>פבקע</t>
  </si>
  <si>
    <t>דמבס</t>
  </si>
  <si>
    <t>דבמס</t>
  </si>
  <si>
    <t>קדבז</t>
  </si>
  <si>
    <t>קבדז</t>
  </si>
  <si>
    <t>זסבג</t>
  </si>
  <si>
    <t>זבסג</t>
  </si>
  <si>
    <t>צסבז</t>
  </si>
  <si>
    <t>צבסז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</si>
</sst>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0"/>
      <name val="Tahoma"/>
      <family val="2"/>
    </font>
    <font>
      <sz val="10"/>
      <name val="Arial"/>
      <family val="2"/>
      <charset val="1"/>
    </font>
    <font>
      <sz val="11"/>
      <color indexed="8"/>
      <name val="Calibri"/>
      <family val="2"/>
      <charset val="1"/>
    </font>
    <font>
      <sz val="11"/>
      <color indexed="8"/>
      <name val="Tahoma"/>
      <family val="2"/>
    </font>
    <font>
      <sz val="11"/>
      <color indexed="8"/>
      <name val="Courier New"/>
      <family val="3"/>
      <charset val="1"/>
    </font>
    <font>
      <b/>
      <sz val="11"/>
      <color indexed="9"/>
      <name val="Calibri"/>
      <family val="2"/>
    </font>
    <font>
      <sz val="11"/>
      <color indexed="8"/>
      <name val="Abyssinica SIL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Tahoma"/>
      <family val="2"/>
    </font>
    <font>
      <sz val="10"/>
      <name val="Tahoma"/>
      <family val="2"/>
    </font>
    <font>
      <sz val="10"/>
      <name val="Arial"/>
      <family val="2"/>
    </font>
    <font>
      <sz val="11"/>
      <name val="Tahoma"/>
      <family val="2"/>
    </font>
    <font>
      <sz val="11"/>
      <color rgb="FFC00000"/>
      <name val="Tahoma"/>
      <family val="2"/>
    </font>
    <font>
      <sz val="10"/>
      <color rgb="FFC00000"/>
      <name val="Tahoma"/>
      <family val="2"/>
    </font>
    <font>
      <sz val="10"/>
      <name val="Arial"/>
      <family val="2"/>
    </font>
    <font>
      <sz val="11"/>
      <color rgb="FF9C0006"/>
      <name val="Tahoma"/>
      <family val="2"/>
    </font>
    <font>
      <sz val="11"/>
      <color rgb="FF006100"/>
      <name val="Tahoma"/>
      <family val="2"/>
    </font>
    <font>
      <sz val="11"/>
      <color rgb="FF9C6500"/>
      <name val="Tahoma"/>
      <family val="2"/>
    </font>
    <font>
      <sz val="11"/>
      <color rgb="FF3F3F76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medium">
        <color indexed="8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8"/>
      </left>
      <right style="thin">
        <color theme="0"/>
      </right>
      <top style="medium">
        <color indexed="8"/>
      </top>
      <bottom/>
      <diagonal/>
    </border>
    <border>
      <left/>
      <right style="thin">
        <color theme="0"/>
      </right>
      <top style="medium">
        <color indexed="8"/>
      </top>
      <bottom/>
      <diagonal/>
    </border>
    <border>
      <left style="thin">
        <color theme="0"/>
      </left>
      <right style="thin">
        <color theme="0"/>
      </right>
      <top style="medium">
        <color indexed="8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8">
    <xf numFmtId="0" fontId="0" fillId="0" borderId="0"/>
    <xf numFmtId="0" fontId="8" fillId="4" borderId="0" applyNumberFormat="0" applyBorder="0" applyAlignment="0" applyProtection="0"/>
    <xf numFmtId="0" fontId="11" fillId="7" borderId="2" applyNumberFormat="0" applyAlignment="0" applyProtection="0"/>
    <xf numFmtId="0" fontId="2" fillId="0" borderId="0"/>
    <xf numFmtId="0" fontId="7" fillId="3" borderId="0" applyNumberFormat="0" applyBorder="0" applyAlignment="0" applyProtection="0"/>
    <xf numFmtId="0" fontId="10" fillId="6" borderId="2" applyNumberFormat="0" applyAlignment="0" applyProtection="0"/>
    <xf numFmtId="0" fontId="9" fillId="5" borderId="0" applyNumberFormat="0" applyBorder="0" applyAlignment="0" applyProtection="0"/>
    <xf numFmtId="0" fontId="1" fillId="0" borderId="0"/>
  </cellStyleXfs>
  <cellXfs count="42">
    <xf numFmtId="0" fontId="0" fillId="0" borderId="0" xfId="0"/>
    <xf numFmtId="0" fontId="3" fillId="0" borderId="0" xfId="3" applyFont="1"/>
    <xf numFmtId="0" fontId="4" fillId="0" borderId="0" xfId="3" applyFont="1"/>
    <xf numFmtId="0" fontId="5" fillId="2" borderId="0" xfId="3" applyFont="1" applyFill="1"/>
    <xf numFmtId="0" fontId="6" fillId="0" borderId="0" xfId="3" applyFont="1"/>
    <xf numFmtId="0" fontId="2" fillId="0" borderId="0" xfId="3" applyFont="1"/>
    <xf numFmtId="0" fontId="11" fillId="7" borderId="2" xfId="2"/>
    <xf numFmtId="0" fontId="14" fillId="0" borderId="0" xfId="0" applyFont="1" applyFill="1" applyBorder="1" applyAlignment="1" applyProtection="1">
      <alignment horizontal="left" readingOrder="2"/>
    </xf>
    <xf numFmtId="0" fontId="15" fillId="0" borderId="0" xfId="3" applyFont="1"/>
    <xf numFmtId="0" fontId="16" fillId="0" borderId="0" xfId="3" applyFont="1"/>
    <xf numFmtId="0" fontId="18" fillId="0" borderId="0" xfId="0" applyFont="1" applyFill="1" applyBorder="1" applyAlignment="1" applyProtection="1">
      <alignment horizontal="left" readingOrder="2"/>
    </xf>
    <xf numFmtId="0" fontId="12" fillId="10" borderId="3" xfId="3" applyFont="1" applyFill="1" applyBorder="1" applyAlignment="1">
      <alignment horizontal="right"/>
    </xf>
    <xf numFmtId="0" fontId="12" fillId="10" borderId="5" xfId="3" applyFont="1" applyFill="1" applyBorder="1" applyAlignment="1">
      <alignment horizontal="right"/>
    </xf>
    <xf numFmtId="0" fontId="12" fillId="10" borderId="4" xfId="3" applyFont="1" applyFill="1" applyBorder="1" applyAlignment="1">
      <alignment horizontal="right"/>
    </xf>
    <xf numFmtId="0" fontId="12" fillId="10" borderId="8" xfId="3" applyFont="1" applyFill="1" applyBorder="1" applyAlignment="1">
      <alignment horizontal="right"/>
    </xf>
    <xf numFmtId="0" fontId="12" fillId="10" borderId="6" xfId="3" applyFont="1" applyFill="1" applyBorder="1" applyAlignment="1">
      <alignment horizontal="right"/>
    </xf>
    <xf numFmtId="0" fontId="12" fillId="10" borderId="0" xfId="3" applyFont="1" applyFill="1" applyBorder="1" applyAlignment="1">
      <alignment horizontal="right"/>
    </xf>
    <xf numFmtId="0" fontId="12" fillId="10" borderId="7" xfId="3" applyFont="1" applyFill="1" applyBorder="1" applyAlignment="1">
      <alignment horizontal="right"/>
    </xf>
    <xf numFmtId="0" fontId="3" fillId="0" borderId="1" xfId="3" applyFont="1" applyBorder="1" applyAlignment="1">
      <alignment horizontal="right"/>
    </xf>
    <xf numFmtId="0" fontId="13" fillId="0" borderId="0" xfId="0" applyFont="1" applyBorder="1" applyAlignment="1">
      <alignment horizontal="right"/>
    </xf>
    <xf numFmtId="0" fontId="3" fillId="0" borderId="0" xfId="3" applyFont="1" applyBorder="1" applyAlignment="1">
      <alignment horizontal="right"/>
    </xf>
    <xf numFmtId="0" fontId="3" fillId="0" borderId="0" xfId="3" applyFont="1" applyAlignment="1">
      <alignment horizontal="right"/>
    </xf>
    <xf numFmtId="0" fontId="19" fillId="4" borderId="0" xfId="1" applyFont="1" applyAlignment="1">
      <alignment horizontal="right"/>
    </xf>
    <xf numFmtId="0" fontId="16" fillId="0" borderId="0" xfId="3" applyFont="1" applyFill="1" applyBorder="1" applyAlignment="1">
      <alignment horizontal="right"/>
    </xf>
    <xf numFmtId="0" fontId="16" fillId="0" borderId="0" xfId="1" applyFont="1" applyFill="1" applyBorder="1" applyAlignment="1">
      <alignment horizontal="right"/>
    </xf>
    <xf numFmtId="0" fontId="20" fillId="3" borderId="0" xfId="4" applyFont="1" applyAlignment="1">
      <alignment horizontal="right"/>
    </xf>
    <xf numFmtId="0" fontId="3" fillId="8" borderId="0" xfId="3" applyFont="1" applyFill="1" applyAlignment="1">
      <alignment horizontal="right"/>
    </xf>
    <xf numFmtId="0" fontId="3" fillId="9" borderId="0" xfId="3" applyFont="1" applyFill="1" applyAlignment="1">
      <alignment horizontal="right"/>
    </xf>
    <xf numFmtId="0" fontId="16" fillId="0" borderId="0" xfId="3" applyFont="1" applyBorder="1" applyAlignment="1">
      <alignment horizontal="right"/>
    </xf>
    <xf numFmtId="0" fontId="21" fillId="5" borderId="0" xfId="6" applyFont="1" applyAlignment="1">
      <alignment horizontal="right"/>
    </xf>
    <xf numFmtId="0" fontId="16" fillId="0" borderId="0" xfId="5" applyFont="1" applyFill="1" applyBorder="1" applyAlignment="1">
      <alignment horizontal="right"/>
    </xf>
    <xf numFmtId="0" fontId="22" fillId="6" borderId="2" xfId="5" applyFont="1" applyAlignment="1">
      <alignment horizontal="right"/>
    </xf>
    <xf numFmtId="0" fontId="16" fillId="0" borderId="1" xfId="4" applyFont="1" applyFill="1" applyBorder="1" applyAlignment="1">
      <alignment horizontal="right"/>
    </xf>
    <xf numFmtId="0" fontId="16" fillId="0" borderId="0" xfId="4" applyFont="1" applyFill="1" applyBorder="1" applyAlignment="1">
      <alignment horizontal="right"/>
    </xf>
    <xf numFmtId="0" fontId="13" fillId="0" borderId="0" xfId="0" applyFont="1" applyAlignment="1">
      <alignment horizontal="right"/>
    </xf>
    <xf numFmtId="0" fontId="16" fillId="0" borderId="0" xfId="3" applyFont="1" applyAlignment="1">
      <alignment horizontal="right"/>
    </xf>
    <xf numFmtId="0" fontId="16" fillId="0" borderId="0" xfId="7" applyFont="1" applyBorder="1" applyAlignment="1">
      <alignment horizontal="right" wrapText="1" readingOrder="2"/>
    </xf>
    <xf numFmtId="0" fontId="17" fillId="0" borderId="0" xfId="0" applyFont="1" applyAlignment="1">
      <alignment horizontal="right"/>
    </xf>
    <xf numFmtId="0" fontId="16" fillId="0" borderId="1" xfId="3" applyFont="1" applyFill="1" applyBorder="1" applyAlignment="1">
      <alignment horizontal="right"/>
    </xf>
    <xf numFmtId="0" fontId="11" fillId="7" borderId="2" xfId="2" applyBorder="1"/>
    <xf numFmtId="0" fontId="3" fillId="0" borderId="0" xfId="3" applyFont="1" applyBorder="1"/>
    <xf numFmtId="0" fontId="15" fillId="0" borderId="0" xfId="0" applyFont="1"/>
  </cellXfs>
  <cellStyles count="8">
    <cellStyle name="Bad" xfId="1" builtinId="27"/>
    <cellStyle name="Calculation" xfId="2" builtinId="22"/>
    <cellStyle name="Excel Built-in Normal" xfId="3"/>
    <cellStyle name="Good" xfId="4" builtinId="26"/>
    <cellStyle name="Input" xfId="5" builtinId="20"/>
    <cellStyle name="Neutral" xfId="6" builtinId="28"/>
    <cellStyle name="Normal" xfId="0" builtinId="0"/>
    <cellStyle name="Normal 23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B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763"/>
  <sheetViews>
    <sheetView tabSelected="1" zoomScale="85" zoomScaleNormal="85" workbookViewId="0">
      <selection activeCell="B8" sqref="B8"/>
    </sheetView>
  </sheetViews>
  <sheetFormatPr defaultColWidth="8.88671875" defaultRowHeight="13.8" x14ac:dyDescent="0.25"/>
  <cols>
    <col min="1" max="1" width="8.88671875" style="1"/>
    <col min="3" max="3" width="10.77734375" style="1" customWidth="1"/>
    <col min="5" max="8" width="10.77734375" style="1" hidden="1" customWidth="1"/>
    <col min="9" max="9" width="8.77734375" style="1" hidden="1" customWidth="1"/>
    <col min="10" max="10" width="10.77734375" style="1" hidden="1" customWidth="1"/>
    <col min="11" max="11" width="2.44140625" style="1" hidden="1" customWidth="1"/>
    <col min="12" max="13" width="2.6640625" style="1" hidden="1" customWidth="1"/>
    <col min="14" max="16" width="3.21875" style="1" hidden="1" customWidth="1"/>
    <col min="17" max="20" width="8.88671875" style="1"/>
    <col min="21" max="21" width="31.109375" style="1" bestFit="1" customWidth="1"/>
    <col min="22" max="23" width="8.88671875" style="1"/>
    <col min="24" max="40" width="5.109375" style="1" customWidth="1"/>
    <col min="41" max="16384" width="8.88671875" style="1"/>
  </cols>
  <sheetData>
    <row r="1" spans="1:36" ht="14.4" x14ac:dyDescent="0.3">
      <c r="A1" s="41" t="s">
        <v>619</v>
      </c>
      <c r="B1">
        <v>2</v>
      </c>
      <c r="C1" s="41" t="s">
        <v>620</v>
      </c>
      <c r="D1">
        <v>1</v>
      </c>
      <c r="E1" s="1" t="str">
        <f>MID(A1,1,2)</f>
        <v>חג</v>
      </c>
      <c r="F1" s="1" t="str">
        <f>MID(C1,3,2)</f>
        <v>גש</v>
      </c>
      <c r="G1" s="1" t="str">
        <f>CONCATENATE(K1,M1)</f>
        <v>חש</v>
      </c>
      <c r="H1" s="1">
        <f>VLOOKUP(K1,$W$23:$AN$40,MATCH(L1,$W$23:$AN$23,0),FALSE)</f>
        <v>4</v>
      </c>
      <c r="I1" s="1">
        <f>VLOOKUP(L1,$W$23:$AN$40,MATCH(M1,$W$23:$AN$23,0),FALSE)</f>
        <v>3</v>
      </c>
      <c r="J1" s="1">
        <f>VLOOKUP(K1,$W$23:$AN$40,MATCH(M1,$W$23:$AN$23,0),FALSE)</f>
        <v>4</v>
      </c>
      <c r="K1" s="1" t="str">
        <f>MID(A1,1,1)</f>
        <v>ח</v>
      </c>
      <c r="L1" s="1" t="str">
        <f>MID(A1,2,1)</f>
        <v>ג</v>
      </c>
      <c r="M1" s="1" t="str">
        <f>MID(A1,4,1)</f>
        <v>ש</v>
      </c>
      <c r="N1" s="1">
        <f>VLOOKUP(K1,$W:$X,2,0)</f>
        <v>14</v>
      </c>
      <c r="O1" s="1">
        <f>VLOOKUP(L1,$Z:$AA,2,0)</f>
        <v>9</v>
      </c>
      <c r="P1" s="1">
        <f>VLOOKUP(M1,$AC:$AD,2,0)</f>
        <v>14</v>
      </c>
      <c r="Q1" s="1">
        <f>IF(A1&lt;&gt;"",P1+O1+N1+H1+I1+J1,0)</f>
        <v>48</v>
      </c>
      <c r="U1" s="39" t="s">
        <v>446</v>
      </c>
      <c r="W1" s="1" t="s">
        <v>0</v>
      </c>
      <c r="X1" s="1">
        <f>COUNTIF($A:$A,W1&amp;"*")</f>
        <v>15</v>
      </c>
      <c r="Z1" s="1" t="s">
        <v>0</v>
      </c>
      <c r="AA1" s="1">
        <f>COUNTIF($A:$A,"?*"&amp;Z1&amp;"?*")</f>
        <v>9</v>
      </c>
      <c r="AC1" s="1" t="s">
        <v>0</v>
      </c>
      <c r="AD1" s="1">
        <f>COUNTIF($A:$A,"*"&amp;AC1)</f>
        <v>14</v>
      </c>
    </row>
    <row r="2" spans="1:36" ht="14.4" x14ac:dyDescent="0.3">
      <c r="A2" s="1" t="s">
        <v>532</v>
      </c>
      <c r="B2">
        <v>2</v>
      </c>
      <c r="C2" s="1" t="s">
        <v>533</v>
      </c>
      <c r="D2">
        <v>2</v>
      </c>
      <c r="E2" s="1" t="str">
        <f>MID(A2,1,2)</f>
        <v>דכ</v>
      </c>
      <c r="F2" s="1" t="str">
        <f>MID(C2,3,2)</f>
        <v>כר</v>
      </c>
      <c r="G2" s="1" t="str">
        <f>CONCATENATE(K2,M2)</f>
        <v>דר</v>
      </c>
      <c r="H2" s="1">
        <f>VLOOKUP(K2,$W$23:$AN$40,MATCH(L2,$W$23:$AN$23,0),FALSE)</f>
        <v>1</v>
      </c>
      <c r="I2" s="1">
        <f>VLOOKUP(L2,$W$23:$AN$40,MATCH(M2,$W$23:$AN$23,0),FALSE)</f>
        <v>1</v>
      </c>
      <c r="J2" s="1">
        <f>VLOOKUP(K2,$W$23:$AN$40,MATCH(M2,$W$23:$AN$23,0),FALSE)</f>
        <v>4</v>
      </c>
      <c r="K2" s="1" t="str">
        <f>MID(A2,1,1)</f>
        <v>ד</v>
      </c>
      <c r="L2" s="1" t="str">
        <f>MID(A2,2,1)</f>
        <v>כ</v>
      </c>
      <c r="M2" s="1" t="str">
        <f>MID(A2,4,1)</f>
        <v>ר</v>
      </c>
      <c r="N2" s="1">
        <f>VLOOKUP(K2,$W:$X,2,0)</f>
        <v>14</v>
      </c>
      <c r="O2" s="1">
        <f>VLOOKUP(L2,$Z:$AA,2,0)</f>
        <v>9</v>
      </c>
      <c r="P2" s="1">
        <f>VLOOKUP(M2,$AC:$AD,2,0)</f>
        <v>14</v>
      </c>
      <c r="Q2" s="1">
        <f>IF(A2&lt;&gt;"",P2+O2+N2+H2+I2+J2,0)</f>
        <v>43</v>
      </c>
      <c r="U2" s="39" t="s">
        <v>444</v>
      </c>
      <c r="V2" s="1">
        <f>COUNTA(A:A)</f>
        <v>160</v>
      </c>
      <c r="W2" s="1" t="s">
        <v>1</v>
      </c>
      <c r="X2" s="1">
        <f>COUNTIF($A:$A,W2&amp;"*")</f>
        <v>14</v>
      </c>
      <c r="Z2" s="1" t="s">
        <v>1</v>
      </c>
      <c r="AA2" s="1">
        <f>COUNTIF($A:$A,"?*"&amp;Z2&amp;"?*")</f>
        <v>10</v>
      </c>
      <c r="AC2" s="1" t="s">
        <v>1</v>
      </c>
      <c r="AD2" s="1">
        <f>COUNTIF($A:$A,"*"&amp;AC2)</f>
        <v>15</v>
      </c>
    </row>
    <row r="3" spans="1:36" ht="14.4" x14ac:dyDescent="0.3">
      <c r="A3" s="1" t="s">
        <v>665</v>
      </c>
      <c r="B3">
        <v>1</v>
      </c>
      <c r="C3" s="1" t="s">
        <v>666</v>
      </c>
      <c r="D3">
        <v>1</v>
      </c>
      <c r="E3" s="1" t="str">
        <f>MID(A3,1,2)</f>
        <v>גנ</v>
      </c>
      <c r="F3" s="1" t="str">
        <f>MID(C3,3,2)</f>
        <v>נל</v>
      </c>
      <c r="G3" s="1" t="str">
        <f>CONCATENATE(K3,M3)</f>
        <v>גל</v>
      </c>
      <c r="H3" s="1">
        <f>VLOOKUP(K3,$W$23:$AN$40,MATCH(L3,$W$23:$AN$23,0),FALSE)</f>
        <v>1</v>
      </c>
      <c r="I3" s="1">
        <f>VLOOKUP(L3,$W$23:$AN$40,MATCH(M3,$W$23:$AN$23,0),FALSE)</f>
        <v>1</v>
      </c>
      <c r="J3" s="1">
        <f>VLOOKUP(K3,$W$23:$AN$40,MATCH(M3,$W$23:$AN$23,0),FALSE)</f>
        <v>4</v>
      </c>
      <c r="K3" s="1" t="str">
        <f>MID(A3,1,1)</f>
        <v>ג</v>
      </c>
      <c r="L3" s="1" t="str">
        <f>MID(A3,2,1)</f>
        <v>נ</v>
      </c>
      <c r="M3" s="1" t="str">
        <f>MID(A3,4,1)</f>
        <v>ל</v>
      </c>
      <c r="N3" s="1">
        <f>VLOOKUP(K3,$W:$X,2,0)</f>
        <v>15</v>
      </c>
      <c r="O3" s="1">
        <f>VLOOKUP(L3,$Z:$AA,2,0)</f>
        <v>9</v>
      </c>
      <c r="P3" s="1">
        <f>VLOOKUP(M3,$AC:$AD,2,0)</f>
        <v>14</v>
      </c>
      <c r="Q3" s="1">
        <f>IF(A3&lt;&gt;"",P3+O3+N3+H3+I3+J3,0)</f>
        <v>44</v>
      </c>
      <c r="U3" s="39" t="s">
        <v>445</v>
      </c>
      <c r="W3" s="1" t="s">
        <v>558</v>
      </c>
      <c r="X3" s="1">
        <f>COUNTIF($A:$A,W3&amp;"*")</f>
        <v>15</v>
      </c>
      <c r="Z3" s="1" t="s">
        <v>558</v>
      </c>
      <c r="AA3" s="1">
        <f>COUNTIF($A:$A,"?*"&amp;Z3&amp;"?*")</f>
        <v>10</v>
      </c>
      <c r="AC3" s="1" t="s">
        <v>558</v>
      </c>
      <c r="AD3" s="1">
        <f>COUNTIF($A:$A,"*"&amp;AC3)</f>
        <v>15</v>
      </c>
    </row>
    <row r="4" spans="1:36" x14ac:dyDescent="0.25">
      <c r="A4" s="41" t="s">
        <v>647</v>
      </c>
      <c r="B4">
        <v>1</v>
      </c>
      <c r="C4" s="41" t="s">
        <v>648</v>
      </c>
      <c r="D4">
        <v>0</v>
      </c>
      <c r="E4" s="1" t="str">
        <f>MID(A4,1,2)</f>
        <v>זש</v>
      </c>
      <c r="F4" s="1" t="str">
        <f>MID(C4,3,2)</f>
        <v>שג</v>
      </c>
      <c r="G4" s="1" t="str">
        <f>CONCATENATE(K4,M4)</f>
        <v>זג</v>
      </c>
      <c r="H4" s="1">
        <f>VLOOKUP(K4,$W$23:$AN$40,MATCH(L4,$W$23:$AN$23,0),FALSE)</f>
        <v>2</v>
      </c>
      <c r="I4" s="1">
        <f>VLOOKUP(L4,$W$23:$AN$40,MATCH(M4,$W$23:$AN$23,0),FALSE)</f>
        <v>1</v>
      </c>
      <c r="J4" s="1">
        <f>VLOOKUP(K4,$W$23:$AN$40,MATCH(M4,$W$23:$AN$23,0),FALSE)</f>
        <v>6</v>
      </c>
      <c r="K4" s="1" t="str">
        <f>MID(A4,1,1)</f>
        <v>ז</v>
      </c>
      <c r="L4" s="1" t="str">
        <f>MID(A4,2,1)</f>
        <v>ש</v>
      </c>
      <c r="M4" s="1" t="str">
        <f>MID(A4,4,1)</f>
        <v>ג</v>
      </c>
      <c r="N4" s="1">
        <f>VLOOKUP(K4,$W:$X,2,0)</f>
        <v>15</v>
      </c>
      <c r="O4" s="1">
        <f>VLOOKUP(L4,$Z:$AA,2,0)</f>
        <v>10</v>
      </c>
      <c r="P4" s="1">
        <f>VLOOKUP(M4,$AC:$AD,2,0)</f>
        <v>14</v>
      </c>
      <c r="Q4" s="1">
        <f>IF(A4&lt;&gt;"",P4+O4+N4+H4+I4+J4,0)</f>
        <v>48</v>
      </c>
      <c r="W4" s="1" t="s">
        <v>2</v>
      </c>
      <c r="X4" s="1">
        <f>COUNTIF($A:$A,W4&amp;"*")</f>
        <v>14</v>
      </c>
      <c r="Z4" s="1" t="s">
        <v>2</v>
      </c>
      <c r="AA4" s="1">
        <f>COUNTIF($A:$A,"?*"&amp;Z4&amp;"?*")</f>
        <v>10</v>
      </c>
      <c r="AC4" s="1" t="s">
        <v>2</v>
      </c>
      <c r="AD4" s="1">
        <f>COUNTIF($A:$A,"*"&amp;AC4)</f>
        <v>14</v>
      </c>
    </row>
    <row r="5" spans="1:36" x14ac:dyDescent="0.25">
      <c r="A5" s="41" t="s">
        <v>677</v>
      </c>
      <c r="B5">
        <v>2</v>
      </c>
      <c r="C5" s="41" t="s">
        <v>678</v>
      </c>
      <c r="D5">
        <v>1</v>
      </c>
      <c r="E5" s="1" t="str">
        <f>MID(A5,1,2)</f>
        <v>סצ</v>
      </c>
      <c r="F5" s="1" t="str">
        <f>MID(C5,3,2)</f>
        <v>צז</v>
      </c>
      <c r="G5" s="1" t="str">
        <f>CONCATENATE(K5,M5)</f>
        <v>סז</v>
      </c>
      <c r="H5" s="1">
        <f>VLOOKUP(K5,$W$23:$AN$40,MATCH(L5,$W$23:$AN$23,0),FALSE)</f>
        <v>1</v>
      </c>
      <c r="I5" s="1">
        <f>VLOOKUP(L5,$W$23:$AN$40,MATCH(M5,$W$23:$AN$23,0),FALSE)</f>
        <v>5</v>
      </c>
      <c r="J5" s="1">
        <f>VLOOKUP(K5,$W$23:$AN$40,MATCH(M5,$W$23:$AN$23,0),FALSE)</f>
        <v>2</v>
      </c>
      <c r="K5" s="1" t="str">
        <f>MID(A5,1,1)</f>
        <v>ס</v>
      </c>
      <c r="L5" s="1" t="str">
        <f>MID(A5,2,1)</f>
        <v>צ</v>
      </c>
      <c r="M5" s="1" t="str">
        <f>MID(A5,4,1)</f>
        <v>ז</v>
      </c>
      <c r="N5" s="1">
        <f>VLOOKUP(K5,$W:$X,2,0)</f>
        <v>14</v>
      </c>
      <c r="O5" s="1">
        <f>VLOOKUP(L5,$Z:$AA,2,0)</f>
        <v>9</v>
      </c>
      <c r="P5" s="1">
        <f>VLOOKUP(M5,$AC:$AD,2,0)</f>
        <v>15</v>
      </c>
      <c r="Q5" s="1">
        <f>IF(A5&lt;&gt;"",P5+O5+N5+H5+I5+J5,0)</f>
        <v>46</v>
      </c>
      <c r="W5" s="1" t="s">
        <v>3</v>
      </c>
      <c r="X5" s="1">
        <f>COUNTIF($A:$A,W5&amp;"*")</f>
        <v>15</v>
      </c>
      <c r="Z5" s="1" t="s">
        <v>3</v>
      </c>
      <c r="AA5" s="1">
        <f>COUNTIF($A:$A,"?*"&amp;Z5&amp;"?*")</f>
        <v>9</v>
      </c>
      <c r="AC5" s="1" t="s">
        <v>3</v>
      </c>
      <c r="AD5" s="1">
        <f>COUNTIF($A:$A,"*"&amp;AC5)</f>
        <v>15</v>
      </c>
    </row>
    <row r="6" spans="1:36" x14ac:dyDescent="0.25">
      <c r="A6" s="1" t="s">
        <v>725</v>
      </c>
      <c r="B6">
        <v>2</v>
      </c>
      <c r="C6" s="1" t="s">
        <v>726</v>
      </c>
      <c r="D6">
        <v>2</v>
      </c>
      <c r="E6" s="1" t="str">
        <f>MID(A6,1,2)</f>
        <v>צד</v>
      </c>
      <c r="F6" s="1" t="str">
        <f>MID(C6,3,2)</f>
        <v>דט</v>
      </c>
      <c r="G6" s="1" t="str">
        <f>CONCATENATE(K6,M6)</f>
        <v>צט</v>
      </c>
      <c r="H6" s="1">
        <f>VLOOKUP(K6,$W$23:$AN$40,MATCH(L6,$W$23:$AN$23,0),FALSE)</f>
        <v>3</v>
      </c>
      <c r="I6" s="1">
        <f>VLOOKUP(L6,$W$23:$AN$40,MATCH(M6,$W$23:$AN$23,0),FALSE)</f>
        <v>4</v>
      </c>
      <c r="J6" s="1">
        <f>VLOOKUP(K6,$W$23:$AN$40,MATCH(M6,$W$23:$AN$23,0),FALSE)</f>
        <v>1</v>
      </c>
      <c r="K6" s="1" t="str">
        <f>MID(A6,1,1)</f>
        <v>צ</v>
      </c>
      <c r="L6" s="1" t="str">
        <f>MID(A6,2,1)</f>
        <v>ד</v>
      </c>
      <c r="M6" s="1" t="str">
        <f>MID(A6,4,1)</f>
        <v>ט</v>
      </c>
      <c r="N6" s="1">
        <f>VLOOKUP(K6,$W:$X,2,0)</f>
        <v>15</v>
      </c>
      <c r="O6" s="1">
        <f>VLOOKUP(L6,$Z:$AA,2,0)</f>
        <v>10</v>
      </c>
      <c r="P6" s="1">
        <f>VLOOKUP(M6,$AC:$AD,2,0)</f>
        <v>15</v>
      </c>
      <c r="Q6" s="1">
        <f>IF(A6&lt;&gt;"",P6+O6+N6+H6+I6+J6,0)</f>
        <v>48</v>
      </c>
      <c r="W6" s="1" t="s">
        <v>4</v>
      </c>
      <c r="X6" s="1">
        <f>COUNTIF($A:$A,W6&amp;"*")</f>
        <v>0</v>
      </c>
      <c r="Z6" s="1" t="s">
        <v>4</v>
      </c>
      <c r="AA6" s="1">
        <f>COUNTIF($A:$A,"?*"&amp;Z6&amp;"?*")</f>
        <v>9</v>
      </c>
      <c r="AC6" s="1" t="s">
        <v>4</v>
      </c>
      <c r="AD6" s="1">
        <f>COUNTIF($A:$A,"*"&amp;AC6)</f>
        <v>0</v>
      </c>
      <c r="AJ6" s="1">
        <f>SUM(B:B)</f>
        <v>237</v>
      </c>
    </row>
    <row r="7" spans="1:36" x14ac:dyDescent="0.25">
      <c r="A7" s="1" t="s">
        <v>544</v>
      </c>
      <c r="B7">
        <v>3</v>
      </c>
      <c r="C7" s="1" t="s">
        <v>545</v>
      </c>
      <c r="D7">
        <v>3</v>
      </c>
      <c r="E7" s="1" t="str">
        <f>MID(A7,1,2)</f>
        <v>קע</v>
      </c>
      <c r="F7" s="1" t="str">
        <f>MID(C7,3,2)</f>
        <v>עד</v>
      </c>
      <c r="G7" s="1" t="str">
        <f>CONCATENATE(K7,M7)</f>
        <v>קד</v>
      </c>
      <c r="H7" s="1">
        <f>VLOOKUP(K7,$W$23:$AN$40,MATCH(L7,$W$23:$AN$23,0),FALSE)</f>
        <v>5</v>
      </c>
      <c r="I7" s="1">
        <f>VLOOKUP(L7,$W$23:$AN$40,MATCH(M7,$W$23:$AN$23,0),FALSE)</f>
        <v>6</v>
      </c>
      <c r="J7" s="1">
        <f>VLOOKUP(K7,$W$23:$AN$40,MATCH(M7,$W$23:$AN$23,0),FALSE)</f>
        <v>6</v>
      </c>
      <c r="K7" s="1" t="str">
        <f>MID(A7,1,1)</f>
        <v>ק</v>
      </c>
      <c r="L7" s="1" t="str">
        <f>MID(A7,2,1)</f>
        <v>ע</v>
      </c>
      <c r="M7" s="1" t="str">
        <f>MID(A7,4,1)</f>
        <v>ד</v>
      </c>
      <c r="N7" s="1">
        <f>VLOOKUP(K7,$W:$X,2,0)</f>
        <v>15</v>
      </c>
      <c r="O7" s="1">
        <f>VLOOKUP(L7,$Z:$AA,2,0)</f>
        <v>8</v>
      </c>
      <c r="P7" s="1">
        <f>VLOOKUP(M7,$AC:$AD,2,0)</f>
        <v>15</v>
      </c>
      <c r="Q7" s="1">
        <f>IF(A7&lt;&gt;"",P7+O7+N7+H7+I7+J7,0)</f>
        <v>55</v>
      </c>
      <c r="W7" s="1" t="s">
        <v>5</v>
      </c>
      <c r="X7" s="1">
        <f>COUNTIF($A:$A,W7&amp;"*")</f>
        <v>0</v>
      </c>
      <c r="Z7" s="1" t="s">
        <v>5</v>
      </c>
      <c r="AA7" s="1">
        <f>COUNTIF($A:$A,"?*"&amp;Z7&amp;"?*")</f>
        <v>9</v>
      </c>
      <c r="AC7" s="1" t="s">
        <v>5</v>
      </c>
      <c r="AD7" s="1">
        <f>COUNTIF($A:$A,"*"&amp;AC7)</f>
        <v>14</v>
      </c>
      <c r="AJ7" s="1">
        <f>SUM(D:D)</f>
        <v>262</v>
      </c>
    </row>
    <row r="8" spans="1:36" x14ac:dyDescent="0.25">
      <c r="A8" s="41" t="s">
        <v>721</v>
      </c>
      <c r="B8">
        <v>0</v>
      </c>
      <c r="C8" s="41" t="s">
        <v>722</v>
      </c>
      <c r="D8">
        <v>1</v>
      </c>
      <c r="E8" s="1" t="str">
        <f>MID(A8,1,2)</f>
        <v>רמ</v>
      </c>
      <c r="F8" s="1" t="str">
        <f>MID(C8,3,2)</f>
        <v>מע</v>
      </c>
      <c r="G8" s="1" t="str">
        <f>CONCATENATE(K8,M8)</f>
        <v>רע</v>
      </c>
      <c r="H8" s="1">
        <f>VLOOKUP(K8,$W$23:$AN$40,MATCH(L8,$W$23:$AN$23,0),FALSE)</f>
        <v>1</v>
      </c>
      <c r="I8" s="1">
        <f>VLOOKUP(L8,$W$23:$AN$40,MATCH(M8,$W$23:$AN$23,0),FALSE)</f>
        <v>1</v>
      </c>
      <c r="J8" s="1">
        <f>VLOOKUP(K8,$W$23:$AN$40,MATCH(M8,$W$23:$AN$23,0),FALSE)</f>
        <v>3</v>
      </c>
      <c r="K8" s="1" t="str">
        <f>MID(A8,1,1)</f>
        <v>ר</v>
      </c>
      <c r="L8" s="1" t="str">
        <f>MID(A8,2,1)</f>
        <v>מ</v>
      </c>
      <c r="M8" s="1" t="str">
        <f>MID(A8,4,1)</f>
        <v>ע</v>
      </c>
      <c r="N8" s="1">
        <f>VLOOKUP(K8,$W:$X,2,0)</f>
        <v>14</v>
      </c>
      <c r="O8" s="1">
        <f>VLOOKUP(L8,$Z:$AA,2,0)</f>
        <v>10</v>
      </c>
      <c r="P8" s="1">
        <f>VLOOKUP(M8,$AC:$AD,2,0)</f>
        <v>15</v>
      </c>
      <c r="Q8" s="1">
        <f>IF(A8&lt;&gt;"",P8+O8+N8+H8+I8+J8,0)</f>
        <v>44</v>
      </c>
      <c r="W8" s="1" t="s">
        <v>6</v>
      </c>
      <c r="X8" s="1">
        <f>COUNTIF($A:$A,W8&amp;"*")</f>
        <v>0</v>
      </c>
      <c r="Z8" s="1" t="s">
        <v>6</v>
      </c>
      <c r="AA8" s="1">
        <f>COUNTIF($A:$A,"?*"&amp;Z8&amp;"?*")</f>
        <v>10</v>
      </c>
      <c r="AC8" s="1" t="s">
        <v>6</v>
      </c>
      <c r="AD8" s="1">
        <f>COUNTIF($A:$A,"*"&amp;AC8)</f>
        <v>0</v>
      </c>
    </row>
    <row r="9" spans="1:36" x14ac:dyDescent="0.25">
      <c r="A9" s="1" t="s">
        <v>540</v>
      </c>
      <c r="B9">
        <v>1</v>
      </c>
      <c r="C9" s="1" t="s">
        <v>541</v>
      </c>
      <c r="D9">
        <v>1</v>
      </c>
      <c r="E9" s="1" t="str">
        <f>MID(A9,1,2)</f>
        <v>פט</v>
      </c>
      <c r="F9" s="1" t="str">
        <f>MID(C9,3,2)</f>
        <v>טח</v>
      </c>
      <c r="G9" s="1" t="str">
        <f>CONCATENATE(K9,M9)</f>
        <v>פח</v>
      </c>
      <c r="H9" s="1">
        <f>VLOOKUP(K9,$W$23:$AN$40,MATCH(L9,$W$23:$AN$23,0),FALSE)</f>
        <v>5</v>
      </c>
      <c r="I9" s="1">
        <f>VLOOKUP(L9,$W$23:$AN$40,MATCH(M9,$W$23:$AN$23,0),FALSE)</f>
        <v>7</v>
      </c>
      <c r="J9" s="1">
        <f>VLOOKUP(K9,$W$23:$AN$40,MATCH(M9,$W$23:$AN$23,0),FALSE)</f>
        <v>4</v>
      </c>
      <c r="K9" s="1" t="str">
        <f>MID(A9,1,1)</f>
        <v>פ</v>
      </c>
      <c r="L9" s="1" t="str">
        <f>MID(A9,2,1)</f>
        <v>ט</v>
      </c>
      <c r="M9" s="1" t="str">
        <f>MID(A9,4,1)</f>
        <v>ח</v>
      </c>
      <c r="N9" s="1">
        <f>VLOOKUP(K9,$W:$X,2,0)</f>
        <v>15</v>
      </c>
      <c r="O9" s="1">
        <f>VLOOKUP(L9,$Z:$AA,2,0)</f>
        <v>9</v>
      </c>
      <c r="P9" s="1">
        <f>VLOOKUP(M9,$AC:$AD,2,0)</f>
        <v>14</v>
      </c>
      <c r="Q9" s="1">
        <f>IF(A9&lt;&gt;"",P9+O9+N9+H9+I9+J9,0)</f>
        <v>54</v>
      </c>
      <c r="W9" s="1" t="s">
        <v>7</v>
      </c>
      <c r="X9" s="1">
        <f>COUNTIF($A:$A,W9&amp;"*")</f>
        <v>0</v>
      </c>
      <c r="Z9" s="1" t="s">
        <v>7</v>
      </c>
      <c r="AA9" s="1">
        <f>COUNTIF($A:$A,"?*"&amp;Z9&amp;"?*")</f>
        <v>9</v>
      </c>
      <c r="AC9" s="1" t="s">
        <v>7</v>
      </c>
      <c r="AD9" s="1">
        <f>COUNTIF($A:$A,"*"&amp;AC9)</f>
        <v>0</v>
      </c>
    </row>
    <row r="10" spans="1:36" x14ac:dyDescent="0.25">
      <c r="A10" s="41" t="s">
        <v>538</v>
      </c>
      <c r="B10">
        <v>3</v>
      </c>
      <c r="C10" s="41" t="s">
        <v>539</v>
      </c>
      <c r="D10">
        <v>2</v>
      </c>
      <c r="E10" s="1" t="str">
        <f>MID(A10,1,2)</f>
        <v>עק</v>
      </c>
      <c r="F10" s="1" t="str">
        <f>MID(C10,3,2)</f>
        <v>קד</v>
      </c>
      <c r="G10" s="1" t="str">
        <f>CONCATENATE(K10,M10)</f>
        <v>עד</v>
      </c>
      <c r="H10" s="1">
        <f>VLOOKUP(K10,$W$23:$AN$40,MATCH(L10,$W$23:$AN$23,0),FALSE)</f>
        <v>4</v>
      </c>
      <c r="I10" s="1">
        <f>VLOOKUP(L10,$W$23:$AN$40,MATCH(M10,$W$23:$AN$23,0),FALSE)</f>
        <v>6</v>
      </c>
      <c r="J10" s="1">
        <f>VLOOKUP(K10,$W$23:$AN$40,MATCH(M10,$W$23:$AN$23,0),FALSE)</f>
        <v>6</v>
      </c>
      <c r="K10" s="1" t="str">
        <f>MID(A10,1,1)</f>
        <v>ע</v>
      </c>
      <c r="L10" s="1" t="str">
        <f>MID(A10,2,1)</f>
        <v>ק</v>
      </c>
      <c r="M10" s="1" t="str">
        <f>MID(A10,4,1)</f>
        <v>ד</v>
      </c>
      <c r="N10" s="1">
        <f>VLOOKUP(K10,$W:$X,2,0)</f>
        <v>14</v>
      </c>
      <c r="O10" s="1">
        <f>VLOOKUP(L10,$Z:$AA,2,0)</f>
        <v>9</v>
      </c>
      <c r="P10" s="1">
        <f>VLOOKUP(M10,$AC:$AD,2,0)</f>
        <v>15</v>
      </c>
      <c r="Q10" s="1">
        <f>IF(A10&lt;&gt;"",P10+O10+N10+H10+I10+J10,0)</f>
        <v>54</v>
      </c>
      <c r="W10" s="1" t="s">
        <v>8</v>
      </c>
      <c r="X10" s="1">
        <f>COUNTIF($A:$A,W10&amp;"*")</f>
        <v>14</v>
      </c>
      <c r="Z10" s="1" t="s">
        <v>8</v>
      </c>
      <c r="AA10" s="1">
        <f>COUNTIF($A:$A,"?*"&amp;Z10&amp;"?*")</f>
        <v>10</v>
      </c>
      <c r="AC10" s="1" t="s">
        <v>8</v>
      </c>
      <c r="AD10" s="1">
        <f>COUNTIF($A:$A,"*"&amp;AC10)</f>
        <v>15</v>
      </c>
    </row>
    <row r="11" spans="1:36" x14ac:dyDescent="0.25">
      <c r="A11" s="41" t="s">
        <v>587</v>
      </c>
      <c r="B11">
        <v>0</v>
      </c>
      <c r="C11" s="41" t="s">
        <v>588</v>
      </c>
      <c r="D11">
        <v>2</v>
      </c>
      <c r="E11" s="1" t="str">
        <f>MID(A11,1,2)</f>
        <v>טפ</v>
      </c>
      <c r="F11" s="1" t="str">
        <f>MID(C11,3,2)</f>
        <v>פח</v>
      </c>
      <c r="G11" s="1" t="str">
        <f>CONCATENATE(K11,M11)</f>
        <v>טח</v>
      </c>
      <c r="H11" s="1">
        <f>VLOOKUP(K11,$W$23:$AN$40,MATCH(L11,$W$23:$AN$23,0),FALSE)</f>
        <v>1</v>
      </c>
      <c r="I11" s="1">
        <f>VLOOKUP(L11,$W$23:$AN$40,MATCH(M11,$W$23:$AN$23,0),FALSE)</f>
        <v>4</v>
      </c>
      <c r="J11" s="1">
        <f>VLOOKUP(K11,$W$23:$AN$40,MATCH(M11,$W$23:$AN$23,0),FALSE)</f>
        <v>7</v>
      </c>
      <c r="K11" s="1" t="str">
        <f>MID(A11,1,1)</f>
        <v>ט</v>
      </c>
      <c r="L11" s="1" t="str">
        <f>MID(A11,2,1)</f>
        <v>פ</v>
      </c>
      <c r="M11" s="1" t="str">
        <f>MID(A11,4,1)</f>
        <v>ח</v>
      </c>
      <c r="N11" s="1">
        <f>VLOOKUP(K11,$W:$X,2,0)</f>
        <v>15</v>
      </c>
      <c r="O11" s="1">
        <f>VLOOKUP(L11,$Z:$AA,2,0)</f>
        <v>10</v>
      </c>
      <c r="P11" s="1">
        <f>VLOOKUP(M11,$AC:$AD,2,0)</f>
        <v>14</v>
      </c>
      <c r="Q11" s="1">
        <f>IF(A11&lt;&gt;"",P11+O11+N11+H11+I11+J11,0)</f>
        <v>51</v>
      </c>
      <c r="W11" s="1" t="s">
        <v>9</v>
      </c>
      <c r="X11" s="1">
        <f>COUNTIF($A:$A,W11&amp;"*")</f>
        <v>14</v>
      </c>
      <c r="Z11" s="1" t="s">
        <v>9</v>
      </c>
      <c r="AA11" s="1">
        <f>COUNTIF($A:$A,"?*"&amp;Z11&amp;"?*")</f>
        <v>8</v>
      </c>
      <c r="AC11" s="1" t="s">
        <v>9</v>
      </c>
      <c r="AD11" s="1">
        <f>COUNTIF($A:$A,"*"&amp;AC11)</f>
        <v>15</v>
      </c>
    </row>
    <row r="12" spans="1:36" x14ac:dyDescent="0.25">
      <c r="A12" s="1" t="s">
        <v>727</v>
      </c>
      <c r="B12">
        <v>0</v>
      </c>
      <c r="C12" s="1" t="s">
        <v>728</v>
      </c>
      <c r="D12">
        <v>1</v>
      </c>
      <c r="E12" s="1" t="str">
        <f>MID(A12,1,2)</f>
        <v>דח</v>
      </c>
      <c r="F12" s="1" t="str">
        <f>MID(C12,3,2)</f>
        <v>חק</v>
      </c>
      <c r="G12" s="1" t="str">
        <f>CONCATENATE(K12,M12)</f>
        <v>דק</v>
      </c>
      <c r="H12" s="1">
        <f>VLOOKUP(K12,$W$23:$AN$40,MATCH(L12,$W$23:$AN$23,0),FALSE)</f>
        <v>4</v>
      </c>
      <c r="I12" s="1">
        <f>VLOOKUP(L12,$W$23:$AN$40,MATCH(M12,$W$23:$AN$23,0),FALSE)</f>
        <v>3</v>
      </c>
      <c r="J12" s="1">
        <f>VLOOKUP(K12,$W$23:$AN$40,MATCH(M12,$W$23:$AN$23,0),FALSE)</f>
        <v>3</v>
      </c>
      <c r="K12" s="1" t="str">
        <f>MID(A12,1,1)</f>
        <v>ד</v>
      </c>
      <c r="L12" s="1" t="str">
        <f>MID(A12,2,1)</f>
        <v>ח</v>
      </c>
      <c r="M12" s="1" t="str">
        <f>MID(A12,4,1)</f>
        <v>ק</v>
      </c>
      <c r="N12" s="1">
        <f>VLOOKUP(K12,$W:$X,2,0)</f>
        <v>14</v>
      </c>
      <c r="O12" s="1">
        <f>VLOOKUP(L12,$Z:$AA,2,0)</f>
        <v>10</v>
      </c>
      <c r="P12" s="1">
        <f>VLOOKUP(M12,$AC:$AD,2,0)</f>
        <v>15</v>
      </c>
      <c r="Q12" s="1">
        <f>IF(A12&lt;&gt;"",P12+O12+N12+H12+I12+J12,0)</f>
        <v>49</v>
      </c>
      <c r="W12" s="1" t="s">
        <v>10</v>
      </c>
      <c r="X12" s="1">
        <f>COUNTIF($A:$A,W12&amp;"*")</f>
        <v>15</v>
      </c>
      <c r="Z12" s="1" t="s">
        <v>10</v>
      </c>
      <c r="AA12" s="1">
        <f>COUNTIF($A:$A,"?*"&amp;Z12&amp;"?*")</f>
        <v>10</v>
      </c>
      <c r="AC12" s="1" t="s">
        <v>10</v>
      </c>
      <c r="AD12" s="1">
        <f>COUNTIF($A:$A,"*"&amp;AC12)</f>
        <v>0</v>
      </c>
    </row>
    <row r="13" spans="1:36" x14ac:dyDescent="0.25">
      <c r="A13" s="41" t="s">
        <v>625</v>
      </c>
      <c r="B13">
        <v>1</v>
      </c>
      <c r="C13" s="41" t="s">
        <v>626</v>
      </c>
      <c r="D13">
        <v>3</v>
      </c>
      <c r="E13" s="1" t="str">
        <f>MID(A13,1,2)</f>
        <v>קת</v>
      </c>
      <c r="F13" s="1" t="str">
        <f>MID(C13,3,2)</f>
        <v>תש</v>
      </c>
      <c r="G13" s="1" t="str">
        <f>CONCATENATE(K13,M13)</f>
        <v>קש</v>
      </c>
      <c r="H13" s="1">
        <f>VLOOKUP(K13,$W$23:$AN$40,MATCH(L13,$W$23:$AN$23,0),FALSE)</f>
        <v>1</v>
      </c>
      <c r="I13" s="1">
        <f>VLOOKUP(L13,$W$23:$AN$40,MATCH(M13,$W$23:$AN$23,0),FALSE)</f>
        <v>1</v>
      </c>
      <c r="J13" s="1">
        <f>VLOOKUP(K13,$W$23:$AN$40,MATCH(M13,$W$23:$AN$23,0),FALSE)</f>
        <v>2</v>
      </c>
      <c r="K13" s="1" t="str">
        <f>MID(A13,1,1)</f>
        <v>ק</v>
      </c>
      <c r="L13" s="1" t="str">
        <f>MID(A13,2,1)</f>
        <v>ת</v>
      </c>
      <c r="M13" s="1" t="str">
        <f>MID(A13,4,1)</f>
        <v>ש</v>
      </c>
      <c r="N13" s="1">
        <f>VLOOKUP(K13,$W:$X,2,0)</f>
        <v>15</v>
      </c>
      <c r="O13" s="1">
        <f>VLOOKUP(L13,$Z:$AA,2,0)</f>
        <v>9</v>
      </c>
      <c r="P13" s="1">
        <f>VLOOKUP(M13,$AC:$AD,2,0)</f>
        <v>14</v>
      </c>
      <c r="Q13" s="1">
        <f>IF(A13&lt;&gt;"",P13+O13+N13+H13+I13+J13,0)</f>
        <v>42</v>
      </c>
      <c r="W13" s="1" t="s">
        <v>11</v>
      </c>
      <c r="X13" s="1">
        <f>COUNTIF($A:$A,W13&amp;"*")</f>
        <v>15</v>
      </c>
      <c r="Z13" s="1" t="s">
        <v>11</v>
      </c>
      <c r="AA13" s="1">
        <f>COUNTIF($A:$A,"?*"&amp;Z13&amp;"?*")</f>
        <v>9</v>
      </c>
      <c r="AC13" s="1" t="s">
        <v>11</v>
      </c>
      <c r="AD13" s="1">
        <f>COUNTIF($A:$A,"*"&amp;AC13)</f>
        <v>0</v>
      </c>
    </row>
    <row r="14" spans="1:36" x14ac:dyDescent="0.25">
      <c r="A14" s="1" t="s">
        <v>645</v>
      </c>
      <c r="B14">
        <v>3</v>
      </c>
      <c r="C14" s="1" t="s">
        <v>646</v>
      </c>
      <c r="D14">
        <v>4</v>
      </c>
      <c r="E14" s="1" t="str">
        <f>MID(A14,1,2)</f>
        <v>גר</v>
      </c>
      <c r="F14" s="1" t="str">
        <f>MID(C14,3,2)</f>
        <v>רז</v>
      </c>
      <c r="G14" s="1" t="str">
        <f>CONCATENATE(K14,M14)</f>
        <v>גז</v>
      </c>
      <c r="H14" s="1">
        <f>VLOOKUP(K14,$W$23:$AN$40,MATCH(L14,$W$23:$AN$23,0),FALSE)</f>
        <v>5</v>
      </c>
      <c r="I14" s="1">
        <f>VLOOKUP(L14,$W$23:$AN$40,MATCH(M14,$W$23:$AN$23,0),FALSE)</f>
        <v>6</v>
      </c>
      <c r="J14" s="1">
        <f>VLOOKUP(K14,$W$23:$AN$40,MATCH(M14,$W$23:$AN$23,0),FALSE)</f>
        <v>4</v>
      </c>
      <c r="K14" s="1" t="str">
        <f>MID(A14,1,1)</f>
        <v>ג</v>
      </c>
      <c r="L14" s="1" t="str">
        <f>MID(A14,2,1)</f>
        <v>ר</v>
      </c>
      <c r="M14" s="1" t="str">
        <f>MID(A14,4,1)</f>
        <v>ז</v>
      </c>
      <c r="N14" s="1">
        <f>VLOOKUP(K14,$W:$X,2,0)</f>
        <v>15</v>
      </c>
      <c r="O14" s="1">
        <f>VLOOKUP(L14,$Z:$AA,2,0)</f>
        <v>10</v>
      </c>
      <c r="P14" s="1">
        <f>VLOOKUP(M14,$AC:$AD,2,0)</f>
        <v>15</v>
      </c>
      <c r="Q14" s="1">
        <f>IF(A14&lt;&gt;"",P14+O14+N14+H14+I14+J14,0)</f>
        <v>55</v>
      </c>
      <c r="W14" s="1" t="s">
        <v>12</v>
      </c>
      <c r="X14" s="1">
        <f>COUNTIF($A:$A,W14&amp;"*")</f>
        <v>15</v>
      </c>
      <c r="Z14" s="1" t="s">
        <v>12</v>
      </c>
      <c r="AA14" s="1">
        <f>COUNTIF($A:$A,"?*"&amp;Z14&amp;"?*")</f>
        <v>9</v>
      </c>
      <c r="AC14" s="1" t="s">
        <v>12</v>
      </c>
      <c r="AD14" s="1">
        <f>COUNTIF($A:$A,"*"&amp;AC14)</f>
        <v>15</v>
      </c>
    </row>
    <row r="15" spans="1:36" x14ac:dyDescent="0.25">
      <c r="A15" s="1" t="s">
        <v>569</v>
      </c>
      <c r="B15">
        <v>1</v>
      </c>
      <c r="C15" s="1" t="s">
        <v>570</v>
      </c>
      <c r="D15">
        <v>2</v>
      </c>
      <c r="E15" s="1" t="str">
        <f>MID(A15,1,2)</f>
        <v>רז</v>
      </c>
      <c r="F15" s="1" t="str">
        <f>MID(C15,3,2)</f>
        <v>זג</v>
      </c>
      <c r="G15" s="1" t="str">
        <f>CONCATENATE(K15,M15)</f>
        <v>רג</v>
      </c>
      <c r="H15" s="1">
        <f>VLOOKUP(K15,$W$23:$AN$40,MATCH(L15,$W$23:$AN$23,0),FALSE)</f>
        <v>6</v>
      </c>
      <c r="I15" s="1">
        <f>VLOOKUP(L15,$W$23:$AN$40,MATCH(M15,$W$23:$AN$23,0),FALSE)</f>
        <v>6</v>
      </c>
      <c r="J15" s="1">
        <f>VLOOKUP(K15,$W$23:$AN$40,MATCH(M15,$W$23:$AN$23,0),FALSE)</f>
        <v>2</v>
      </c>
      <c r="K15" s="1" t="str">
        <f>MID(A15,1,1)</f>
        <v>ר</v>
      </c>
      <c r="L15" s="1" t="str">
        <f>MID(A15,2,1)</f>
        <v>ז</v>
      </c>
      <c r="M15" s="1" t="str">
        <f>MID(A15,4,1)</f>
        <v>ג</v>
      </c>
      <c r="N15" s="1">
        <f>VLOOKUP(K15,$W:$X,2,0)</f>
        <v>14</v>
      </c>
      <c r="O15" s="1">
        <f>VLOOKUP(L15,$Z:$AA,2,0)</f>
        <v>10</v>
      </c>
      <c r="P15" s="1">
        <f>VLOOKUP(M15,$AC:$AD,2,0)</f>
        <v>14</v>
      </c>
      <c r="Q15" s="1">
        <f>IF(A15&lt;&gt;"",P15+O15+N15+H15+I15+J15,0)</f>
        <v>52</v>
      </c>
      <c r="W15" s="1" t="s">
        <v>13</v>
      </c>
      <c r="X15" s="1">
        <f>COUNTIF($A:$A,W15&amp;"*")</f>
        <v>14</v>
      </c>
      <c r="Z15" s="1" t="s">
        <v>13</v>
      </c>
      <c r="AA15" s="1">
        <f>COUNTIF($A:$A,"?*"&amp;Z15&amp;"?*")</f>
        <v>10</v>
      </c>
      <c r="AC15" s="1" t="s">
        <v>13</v>
      </c>
      <c r="AD15" s="1">
        <f>COUNTIF($A:$A,"*"&amp;AC15)</f>
        <v>14</v>
      </c>
    </row>
    <row r="16" spans="1:36" x14ac:dyDescent="0.25">
      <c r="A16" s="1" t="s">
        <v>581</v>
      </c>
      <c r="B16">
        <v>2</v>
      </c>
      <c r="C16" s="1" t="s">
        <v>582</v>
      </c>
      <c r="D16">
        <v>2</v>
      </c>
      <c r="E16" s="1" t="str">
        <f>MID(A16,1,2)</f>
        <v>סל</v>
      </c>
      <c r="F16" s="1" t="str">
        <f>MID(C16,3,2)</f>
        <v>לע</v>
      </c>
      <c r="G16" s="1" t="str">
        <f>CONCATENATE(K16,M16)</f>
        <v>סע</v>
      </c>
      <c r="H16" s="1">
        <f>VLOOKUP(K16,$W$23:$AN$40,MATCH(L16,$W$23:$AN$23,0),FALSE)</f>
        <v>3</v>
      </c>
      <c r="I16" s="1">
        <f>VLOOKUP(L16,$W$23:$AN$40,MATCH(M16,$W$23:$AN$23,0),FALSE)</f>
        <v>1</v>
      </c>
      <c r="J16" s="1">
        <f>VLOOKUP(K16,$W$23:$AN$40,MATCH(M16,$W$23:$AN$23,0),FALSE)</f>
        <v>2</v>
      </c>
      <c r="K16" s="1" t="str">
        <f>MID(A16,1,1)</f>
        <v>ס</v>
      </c>
      <c r="L16" s="1" t="str">
        <f>MID(A16,2,1)</f>
        <v>ל</v>
      </c>
      <c r="M16" s="1" t="str">
        <f>MID(A16,4,1)</f>
        <v>ע</v>
      </c>
      <c r="N16" s="1">
        <f>VLOOKUP(K16,$W:$X,2,0)</f>
        <v>14</v>
      </c>
      <c r="O16" s="1">
        <f>VLOOKUP(L16,$Z:$AA,2,0)</f>
        <v>9</v>
      </c>
      <c r="P16" s="1">
        <f>VLOOKUP(M16,$AC:$AD,2,0)</f>
        <v>15</v>
      </c>
      <c r="Q16" s="1">
        <f>IF(A16&lt;&gt;"",P16+O16+N16+H16+I16+J16,0)</f>
        <v>44</v>
      </c>
      <c r="W16" s="1" t="s">
        <v>14</v>
      </c>
      <c r="X16" s="1">
        <f>COUNTIF($A:$A,W16&amp;"*")</f>
        <v>0</v>
      </c>
      <c r="Z16" s="1" t="s">
        <v>14</v>
      </c>
      <c r="AA16" s="1">
        <f>COUNTIF($A:$A,"?*"&amp;Z16&amp;"?*")</f>
        <v>10</v>
      </c>
      <c r="AC16" s="1" t="s">
        <v>14</v>
      </c>
      <c r="AD16" s="1">
        <f>COUNTIF($A:$A,"*"&amp;AC16)</f>
        <v>14</v>
      </c>
    </row>
    <row r="17" spans="1:40" x14ac:dyDescent="0.25">
      <c r="A17" s="1" t="s">
        <v>542</v>
      </c>
      <c r="B17">
        <v>1</v>
      </c>
      <c r="C17" s="1" t="s">
        <v>543</v>
      </c>
      <c r="D17">
        <v>2</v>
      </c>
      <c r="E17" s="1" t="str">
        <f>MID(A17,1,2)</f>
        <v>עס</v>
      </c>
      <c r="F17" s="1" t="str">
        <f>MID(C17,3,2)</f>
        <v>סק</v>
      </c>
      <c r="G17" s="1" t="str">
        <f>CONCATENATE(K17,M17)</f>
        <v>עק</v>
      </c>
      <c r="H17" s="1">
        <f>VLOOKUP(K17,$W$23:$AN$40,MATCH(L17,$W$23:$AN$23,0),FALSE)</f>
        <v>3</v>
      </c>
      <c r="I17" s="1">
        <f>VLOOKUP(L17,$W$23:$AN$40,MATCH(M17,$W$23:$AN$23,0),FALSE)</f>
        <v>5</v>
      </c>
      <c r="J17" s="1">
        <f>VLOOKUP(K17,$W$23:$AN$40,MATCH(M17,$W$23:$AN$23,0),FALSE)</f>
        <v>4</v>
      </c>
      <c r="K17" s="1" t="str">
        <f>MID(A17,1,1)</f>
        <v>ע</v>
      </c>
      <c r="L17" s="1" t="str">
        <f>MID(A17,2,1)</f>
        <v>ס</v>
      </c>
      <c r="M17" s="1" t="str">
        <f>MID(A17,4,1)</f>
        <v>ק</v>
      </c>
      <c r="N17" s="1">
        <f>VLOOKUP(K17,$W:$X,2,0)</f>
        <v>14</v>
      </c>
      <c r="O17" s="1">
        <f>VLOOKUP(L17,$Z:$AA,2,0)</f>
        <v>10</v>
      </c>
      <c r="P17" s="1">
        <f>VLOOKUP(M17,$AC:$AD,2,0)</f>
        <v>15</v>
      </c>
      <c r="Q17" s="1">
        <f>IF(A17&lt;&gt;"",P17+O17+N17+H17+I17+J17,0)</f>
        <v>51</v>
      </c>
      <c r="W17" s="1" t="s">
        <v>15</v>
      </c>
      <c r="X17" s="1">
        <f>COUNTIF($A:$A,W17&amp;"*")</f>
        <v>0</v>
      </c>
      <c r="Z17" s="1" t="s">
        <v>15</v>
      </c>
      <c r="AA17" s="1">
        <f>COUNTIF($A:$A,"?*"&amp;Z17&amp;"?*")</f>
        <v>9</v>
      </c>
      <c r="AC17" s="1" t="s">
        <v>15</v>
      </c>
      <c r="AD17" s="1">
        <f>COUNTIF($A:$A,"*"&amp;AC17)</f>
        <v>0</v>
      </c>
    </row>
    <row r="18" spans="1:40" x14ac:dyDescent="0.25">
      <c r="A18" s="41" t="s">
        <v>729</v>
      </c>
      <c r="B18">
        <v>1</v>
      </c>
      <c r="C18" s="41" t="s">
        <v>730</v>
      </c>
      <c r="D18">
        <v>2</v>
      </c>
      <c r="E18" s="1" t="str">
        <f>MID(A18,1,2)</f>
        <v>חז</v>
      </c>
      <c r="F18" s="1" t="str">
        <f>MID(C18,3,2)</f>
        <v>זר</v>
      </c>
      <c r="G18" s="1" t="str">
        <f>CONCATENATE(K18,M18)</f>
        <v>חר</v>
      </c>
      <c r="H18" s="1">
        <f>VLOOKUP(K18,$W$23:$AN$40,MATCH(L18,$W$23:$AN$23,0),FALSE)</f>
        <v>5</v>
      </c>
      <c r="I18" s="1">
        <f>VLOOKUP(L18,$W$23:$AN$40,MATCH(M18,$W$23:$AN$23,0),FALSE)</f>
        <v>5</v>
      </c>
      <c r="J18" s="1">
        <f>VLOOKUP(K18,$W$23:$AN$40,MATCH(M18,$W$23:$AN$23,0),FALSE)</f>
        <v>4</v>
      </c>
      <c r="K18" s="1" t="str">
        <f>MID(A18,1,1)</f>
        <v>ח</v>
      </c>
      <c r="L18" s="1" t="str">
        <f>MID(A18,2,1)</f>
        <v>ז</v>
      </c>
      <c r="M18" s="1" t="str">
        <f>MID(A18,4,1)</f>
        <v>ר</v>
      </c>
      <c r="N18" s="1">
        <f>VLOOKUP(K18,$W:$X,2,0)</f>
        <v>14</v>
      </c>
      <c r="O18" s="1">
        <f>VLOOKUP(L18,$Z:$AA,2,0)</f>
        <v>10</v>
      </c>
      <c r="P18" s="1">
        <f>VLOOKUP(M18,$AC:$AD,2,0)</f>
        <v>14</v>
      </c>
      <c r="Q18" s="1">
        <f>IF(A18&lt;&gt;"",P18+O18+N18+H18+I18+J18,0)</f>
        <v>52</v>
      </c>
    </row>
    <row r="19" spans="1:40" x14ac:dyDescent="0.25">
      <c r="A19" s="1" t="s">
        <v>731</v>
      </c>
      <c r="B19">
        <v>2</v>
      </c>
      <c r="C19" s="1" t="s">
        <v>732</v>
      </c>
      <c r="D19">
        <v>1</v>
      </c>
      <c r="E19" s="1" t="str">
        <f>MID(A19,1,2)</f>
        <v>צק</v>
      </c>
      <c r="F19" s="1" t="str">
        <f>MID(C19,3,2)</f>
        <v>קס</v>
      </c>
      <c r="G19" s="1" t="str">
        <f>CONCATENATE(K19,M19)</f>
        <v>צס</v>
      </c>
      <c r="H19" s="1">
        <f>VLOOKUP(K19,$W$23:$AN$40,MATCH(L19,$W$23:$AN$23,0),FALSE)</f>
        <v>6</v>
      </c>
      <c r="I19" s="1">
        <f>VLOOKUP(L19,$W$23:$AN$40,MATCH(M19,$W$23:$AN$23,0),FALSE)</f>
        <v>4</v>
      </c>
      <c r="J19" s="1">
        <f>VLOOKUP(K19,$W$23:$AN$40,MATCH(M19,$W$23:$AN$23,0),FALSE)</f>
        <v>6</v>
      </c>
      <c r="K19" s="1" t="str">
        <f>MID(A19,1,1)</f>
        <v>צ</v>
      </c>
      <c r="L19" s="1" t="str">
        <f>MID(A19,2,1)</f>
        <v>ק</v>
      </c>
      <c r="M19" s="1" t="str">
        <f>MID(A19,4,1)</f>
        <v>ס</v>
      </c>
      <c r="N19" s="1">
        <f>VLOOKUP(K19,$W:$X,2,0)</f>
        <v>15</v>
      </c>
      <c r="O19" s="1">
        <f>VLOOKUP(L19,$Z:$AA,2,0)</f>
        <v>9</v>
      </c>
      <c r="P19" s="1">
        <f>VLOOKUP(M19,$AC:$AD,2,0)</f>
        <v>15</v>
      </c>
      <c r="Q19" s="1">
        <f>IF(A19&lt;&gt;"",P19+O19+N19+H19+I19+J19,0)</f>
        <v>55</v>
      </c>
    </row>
    <row r="20" spans="1:40" x14ac:dyDescent="0.25">
      <c r="A20" s="1" t="s">
        <v>675</v>
      </c>
      <c r="B20">
        <v>2</v>
      </c>
      <c r="C20" s="1" t="s">
        <v>676</v>
      </c>
      <c r="D20">
        <v>2</v>
      </c>
      <c r="E20" s="1" t="str">
        <f>MID(A20,1,2)</f>
        <v>זד</v>
      </c>
      <c r="F20" s="1" t="str">
        <f>MID(C20,3,2)</f>
        <v>דל</v>
      </c>
      <c r="G20" s="1" t="str">
        <f>CONCATENATE(K20,M20)</f>
        <v>זל</v>
      </c>
      <c r="H20" s="1">
        <f>VLOOKUP(K20,$W$23:$AN$40,MATCH(L20,$W$23:$AN$23,0),FALSE)</f>
        <v>4</v>
      </c>
      <c r="I20" s="1">
        <f>VLOOKUP(L20,$W$23:$AN$40,MATCH(M20,$W$23:$AN$23,0),FALSE)</f>
        <v>2</v>
      </c>
      <c r="J20" s="1">
        <f>VLOOKUP(K20,$W$23:$AN$40,MATCH(M20,$W$23:$AN$23,0),FALSE)</f>
        <v>3</v>
      </c>
      <c r="K20" s="1" t="str">
        <f>MID(A20,1,1)</f>
        <v>ז</v>
      </c>
      <c r="L20" s="1" t="str">
        <f>MID(A20,2,1)</f>
        <v>ד</v>
      </c>
      <c r="M20" s="1" t="str">
        <f>MID(A20,4,1)</f>
        <v>ל</v>
      </c>
      <c r="N20" s="1">
        <f>VLOOKUP(K20,$W:$X,2,0)</f>
        <v>15</v>
      </c>
      <c r="O20" s="1">
        <f>VLOOKUP(L20,$Z:$AA,2,0)</f>
        <v>10</v>
      </c>
      <c r="P20" s="1">
        <f>VLOOKUP(M20,$AC:$AD,2,0)</f>
        <v>14</v>
      </c>
      <c r="Q20" s="1">
        <f>IF(A20&lt;&gt;"",P20+O20+N20+H20+I20+J20,0)</f>
        <v>48</v>
      </c>
    </row>
    <row r="21" spans="1:40" x14ac:dyDescent="0.25">
      <c r="A21" s="41" t="s">
        <v>733</v>
      </c>
      <c r="B21">
        <v>1</v>
      </c>
      <c r="C21" s="41" t="s">
        <v>734</v>
      </c>
      <c r="D21">
        <v>1</v>
      </c>
      <c r="E21" s="1" t="str">
        <f>MID(A21,1,2)</f>
        <v>טח</v>
      </c>
      <c r="F21" s="1" t="str">
        <f>MID(C21,3,2)</f>
        <v>חס</v>
      </c>
      <c r="G21" s="1" t="str">
        <f>CONCATENATE(K21,M21)</f>
        <v>טס</v>
      </c>
      <c r="H21" s="1">
        <f>VLOOKUP(K21,$W$23:$AN$40,MATCH(L21,$W$23:$AN$23,0),FALSE)</f>
        <v>7</v>
      </c>
      <c r="I21" s="1">
        <f>VLOOKUP(L21,$W$23:$AN$40,MATCH(M21,$W$23:$AN$23,0),FALSE)</f>
        <v>4</v>
      </c>
      <c r="J21" s="1">
        <f>VLOOKUP(K21,$W$23:$AN$40,MATCH(M21,$W$23:$AN$23,0),FALSE)</f>
        <v>4</v>
      </c>
      <c r="K21" s="1" t="str">
        <f>MID(A21,1,1)</f>
        <v>ט</v>
      </c>
      <c r="L21" s="1" t="str">
        <f>MID(A21,2,1)</f>
        <v>ח</v>
      </c>
      <c r="M21" s="1" t="str">
        <f>MID(A21,4,1)</f>
        <v>ס</v>
      </c>
      <c r="N21" s="1">
        <f>VLOOKUP(K21,$W:$X,2,0)</f>
        <v>15</v>
      </c>
      <c r="O21" s="1">
        <f>VLOOKUP(L21,$Z:$AA,2,0)</f>
        <v>10</v>
      </c>
      <c r="P21" s="1">
        <f>VLOOKUP(M21,$AC:$AD,2,0)</f>
        <v>15</v>
      </c>
      <c r="Q21" s="1">
        <f>IF(A21&lt;&gt;"",P21+O21+N21+H21+I21+J21,0)</f>
        <v>55</v>
      </c>
    </row>
    <row r="22" spans="1:40" x14ac:dyDescent="0.25">
      <c r="A22" s="1" t="s">
        <v>735</v>
      </c>
      <c r="B22">
        <v>1</v>
      </c>
      <c r="C22" s="1" t="s">
        <v>736</v>
      </c>
      <c r="D22">
        <v>1</v>
      </c>
      <c r="E22" s="1" t="str">
        <f>MID(A22,1,2)</f>
        <v>פמ</v>
      </c>
      <c r="F22" s="1" t="str">
        <f>MID(C22,3,2)</f>
        <v>מט</v>
      </c>
      <c r="G22" s="1" t="str">
        <f>CONCATENATE(K22,M22)</f>
        <v>פט</v>
      </c>
      <c r="H22" s="1">
        <f>VLOOKUP(K22,$W$23:$AN$40,MATCH(L22,$W$23:$AN$23,0),FALSE)</f>
        <v>3</v>
      </c>
      <c r="I22" s="1">
        <f>VLOOKUP(L22,$W$23:$AN$40,MATCH(M22,$W$23:$AN$23,0),FALSE)</f>
        <v>1</v>
      </c>
      <c r="J22" s="1">
        <f>VLOOKUP(K22,$W$23:$AN$40,MATCH(M22,$W$23:$AN$23,0),FALSE)</f>
        <v>5</v>
      </c>
      <c r="K22" s="1" t="str">
        <f>MID(A22,1,1)</f>
        <v>פ</v>
      </c>
      <c r="L22" s="1" t="str">
        <f>MID(A22,2,1)</f>
        <v>מ</v>
      </c>
      <c r="M22" s="1" t="str">
        <f>MID(A22,4,1)</f>
        <v>ט</v>
      </c>
      <c r="N22" s="1">
        <f>VLOOKUP(K22,$W:$X,2,0)</f>
        <v>15</v>
      </c>
      <c r="O22" s="1">
        <f>VLOOKUP(L22,$Z:$AA,2,0)</f>
        <v>10</v>
      </c>
      <c r="P22" s="1">
        <f>VLOOKUP(M22,$AC:$AD,2,0)</f>
        <v>15</v>
      </c>
      <c r="Q22" s="1">
        <f>IF(A22&lt;&gt;"",P22+O22+N22+H22+I22+J22,0)</f>
        <v>49</v>
      </c>
    </row>
    <row r="23" spans="1:40" x14ac:dyDescent="0.25">
      <c r="A23" s="41" t="s">
        <v>639</v>
      </c>
      <c r="B23">
        <v>2</v>
      </c>
      <c r="C23" s="41" t="s">
        <v>640</v>
      </c>
      <c r="D23">
        <v>3</v>
      </c>
      <c r="E23" s="1" t="str">
        <f>MID(A23,1,2)</f>
        <v>דר</v>
      </c>
      <c r="F23" s="1" t="str">
        <f>MID(C23,3,2)</f>
        <v>רש</v>
      </c>
      <c r="G23" s="1" t="str">
        <f>CONCATENATE(K23,M23)</f>
        <v>דש</v>
      </c>
      <c r="H23" s="1">
        <f>VLOOKUP(K23,$W$23:$AN$40,MATCH(L23,$W$23:$AN$23,0),FALSE)</f>
        <v>4</v>
      </c>
      <c r="I23" s="1">
        <f>VLOOKUP(L23,$W$23:$AN$40,MATCH(M23,$W$23:$AN$23,0),FALSE)</f>
        <v>3</v>
      </c>
      <c r="J23" s="1">
        <f>VLOOKUP(K23,$W$23:$AN$40,MATCH(M23,$W$23:$AN$23,0),FALSE)</f>
        <v>4</v>
      </c>
      <c r="K23" s="1" t="str">
        <f>MID(A23,1,1)</f>
        <v>ד</v>
      </c>
      <c r="L23" s="1" t="str">
        <f>MID(A23,2,1)</f>
        <v>ר</v>
      </c>
      <c r="M23" s="1" t="str">
        <f>MID(A23,4,1)</f>
        <v>ש</v>
      </c>
      <c r="N23" s="1">
        <f>VLOOKUP(K23,$W:$X,2,0)</f>
        <v>14</v>
      </c>
      <c r="O23" s="1">
        <f>VLOOKUP(L23,$Z:$AA,2,0)</f>
        <v>10</v>
      </c>
      <c r="P23" s="1">
        <f>VLOOKUP(M23,$AC:$AD,2,0)</f>
        <v>14</v>
      </c>
      <c r="Q23" s="1">
        <f>IF(A23&lt;&gt;"",P23+O23+N23+H23+I23+J23,0)</f>
        <v>49</v>
      </c>
      <c r="X23" s="1" t="s">
        <v>0</v>
      </c>
      <c r="Y23" s="1" t="s">
        <v>1</v>
      </c>
      <c r="Z23" s="1" t="s">
        <v>558</v>
      </c>
      <c r="AA23" s="1" t="s">
        <v>2</v>
      </c>
      <c r="AB23" s="1" t="s">
        <v>3</v>
      </c>
      <c r="AC23" s="1" t="s">
        <v>4</v>
      </c>
      <c r="AD23" s="1" t="s">
        <v>5</v>
      </c>
      <c r="AE23" s="1" t="s">
        <v>6</v>
      </c>
      <c r="AF23" s="1" t="s">
        <v>7</v>
      </c>
      <c r="AG23" s="1" t="s">
        <v>8</v>
      </c>
      <c r="AH23" s="1" t="s">
        <v>9</v>
      </c>
      <c r="AI23" s="1" t="s">
        <v>10</v>
      </c>
      <c r="AJ23" s="1" t="s">
        <v>11</v>
      </c>
      <c r="AK23" s="1" t="s">
        <v>12</v>
      </c>
      <c r="AL23" s="1" t="s">
        <v>13</v>
      </c>
      <c r="AM23" s="1" t="s">
        <v>14</v>
      </c>
      <c r="AN23" s="1" t="s">
        <v>15</v>
      </c>
    </row>
    <row r="24" spans="1:40" x14ac:dyDescent="0.25">
      <c r="A24" s="41" t="s">
        <v>737</v>
      </c>
      <c r="B24">
        <v>4</v>
      </c>
      <c r="C24" s="41" t="s">
        <v>738</v>
      </c>
      <c r="D24">
        <v>3</v>
      </c>
      <c r="E24" s="1" t="str">
        <f>MID(A24,1,2)</f>
        <v>עש</v>
      </c>
      <c r="F24" s="1" t="str">
        <f>MID(C24,3,2)</f>
        <v>שר</v>
      </c>
      <c r="G24" s="1" t="str">
        <f>CONCATENATE(K24,M24)</f>
        <v>ער</v>
      </c>
      <c r="H24" s="1">
        <f>VLOOKUP(K24,$W$23:$AN$40,MATCH(L24,$W$23:$AN$23,0),FALSE)</f>
        <v>4</v>
      </c>
      <c r="I24" s="1">
        <f>VLOOKUP(L24,$W$23:$AN$40,MATCH(M24,$W$23:$AN$23,0),FALSE)</f>
        <v>2</v>
      </c>
      <c r="J24" s="1">
        <f>VLOOKUP(K24,$W$23:$AN$40,MATCH(M24,$W$23:$AN$23,0),FALSE)</f>
        <v>2</v>
      </c>
      <c r="K24" s="1" t="str">
        <f>MID(A24,1,1)</f>
        <v>ע</v>
      </c>
      <c r="L24" s="1" t="str">
        <f>MID(A24,2,1)</f>
        <v>ש</v>
      </c>
      <c r="M24" s="1" t="str">
        <f>MID(A24,4,1)</f>
        <v>ר</v>
      </c>
      <c r="N24" s="1">
        <f>VLOOKUP(K24,$W:$X,2,0)</f>
        <v>14</v>
      </c>
      <c r="O24" s="1">
        <f>VLOOKUP(L24,$Z:$AA,2,0)</f>
        <v>10</v>
      </c>
      <c r="P24" s="1">
        <f>VLOOKUP(M24,$AC:$AD,2,0)</f>
        <v>14</v>
      </c>
      <c r="Q24" s="1">
        <f>IF(A24&lt;&gt;"",P24+O24+N24+H24+I24+J24,0)</f>
        <v>46</v>
      </c>
      <c r="W24" s="1" t="s">
        <v>0</v>
      </c>
      <c r="X24" s="1">
        <f>COUNTIF($E:$G,CONCATENATE($W24,X$23))</f>
        <v>0</v>
      </c>
      <c r="Y24" s="1">
        <f>COUNTIF($E:$G,CONCATENATE($W24,Y$23))</f>
        <v>1</v>
      </c>
      <c r="Z24" s="1">
        <f>COUNTIF($E:$G,CONCATENATE($W24,Z$23))</f>
        <v>4</v>
      </c>
      <c r="AA24" s="1">
        <f>COUNTIF($E:$G,CONCATENATE($W24,AA$23))</f>
        <v>2</v>
      </c>
      <c r="AB24" s="1">
        <f>COUNTIF($E:$G,CONCATENATE($W24,AB$23))</f>
        <v>4</v>
      </c>
      <c r="AC24" s="1">
        <f>COUNTIF($E:$G,CONCATENATE($W24,AC$23))</f>
        <v>0</v>
      </c>
      <c r="AD24" s="1">
        <f>COUNTIF($E:$G,CONCATENATE($W24,AD$23))</f>
        <v>4</v>
      </c>
      <c r="AE24" s="1">
        <f>COUNTIF($E:$G,CONCATENATE($W24,AE$23))</f>
        <v>0</v>
      </c>
      <c r="AF24" s="1">
        <f>COUNTIF($E:$G,CONCATENATE($W24,AF$23))</f>
        <v>1</v>
      </c>
      <c r="AG24" s="1">
        <f>COUNTIF($E:$G,CONCATENATE($W24,AG$23))</f>
        <v>2</v>
      </c>
      <c r="AH24" s="1">
        <f>COUNTIF($E:$G,CONCATENATE($W24,AH$23))</f>
        <v>6</v>
      </c>
      <c r="AI24" s="1">
        <f>COUNTIF($E:$G,CONCATENATE($W24,AI$23))</f>
        <v>1</v>
      </c>
      <c r="AJ24" s="1">
        <f>COUNTIF($E:$G,CONCATENATE($W24,AJ$23))</f>
        <v>1</v>
      </c>
      <c r="AK24" s="1">
        <f>COUNTIF($E:$G,CONCATENATE($W24,AK$23))</f>
        <v>3</v>
      </c>
      <c r="AL24" s="1">
        <f>COUNTIF($E:$G,CONCATENATE($W24,AL$23))</f>
        <v>5</v>
      </c>
      <c r="AM24" s="1">
        <f>COUNTIF($E:$G,CONCATENATE($W24,AM$23))</f>
        <v>3</v>
      </c>
      <c r="AN24" s="1">
        <f>COUNTIF($E:$G,CONCATENATE($W24,AN$23))</f>
        <v>2</v>
      </c>
    </row>
    <row r="25" spans="1:40" x14ac:dyDescent="0.25">
      <c r="A25" s="41" t="s">
        <v>739</v>
      </c>
      <c r="B25">
        <v>0</v>
      </c>
      <c r="C25" s="41" t="s">
        <v>740</v>
      </c>
      <c r="D25">
        <v>0</v>
      </c>
      <c r="E25" s="1" t="str">
        <f>MID(A25,1,2)</f>
        <v>זכ</v>
      </c>
      <c r="F25" s="1" t="str">
        <f>MID(C25,3,2)</f>
        <v>כט</v>
      </c>
      <c r="G25" s="1" t="str">
        <f>CONCATENATE(K25,M25)</f>
        <v>זט</v>
      </c>
      <c r="H25" s="1">
        <f>VLOOKUP(K25,$W$23:$AN$40,MATCH(L25,$W$23:$AN$23,0),FALSE)</f>
        <v>2</v>
      </c>
      <c r="I25" s="1">
        <f>VLOOKUP(L25,$W$23:$AN$40,MATCH(M25,$W$23:$AN$23,0),FALSE)</f>
        <v>1</v>
      </c>
      <c r="J25" s="1">
        <f>VLOOKUP(K25,$W$23:$AN$40,MATCH(M25,$W$23:$AN$23,0),FALSE)</f>
        <v>4</v>
      </c>
      <c r="K25" s="1" t="str">
        <f>MID(A25,1,1)</f>
        <v>ז</v>
      </c>
      <c r="L25" s="1" t="str">
        <f>MID(A25,2,1)</f>
        <v>כ</v>
      </c>
      <c r="M25" s="1" t="str">
        <f>MID(A25,4,1)</f>
        <v>ט</v>
      </c>
      <c r="N25" s="1">
        <f>VLOOKUP(K25,$W:$X,2,0)</f>
        <v>15</v>
      </c>
      <c r="O25" s="1">
        <f>VLOOKUP(L25,$Z:$AA,2,0)</f>
        <v>9</v>
      </c>
      <c r="P25" s="1">
        <f>VLOOKUP(M25,$AC:$AD,2,0)</f>
        <v>15</v>
      </c>
      <c r="Q25" s="1">
        <f>IF(A25&lt;&gt;"",P25+O25+N25+H25+I25+J25,0)</f>
        <v>46</v>
      </c>
      <c r="W25" s="1" t="s">
        <v>1</v>
      </c>
      <c r="X25" s="1">
        <f>COUNTIF($E:$G,CONCATENATE($W25,X$23))</f>
        <v>4</v>
      </c>
      <c r="Y25" s="1">
        <f>COUNTIF($E:$G,CONCATENATE($W25,Y$23))</f>
        <v>0</v>
      </c>
      <c r="Z25" s="1">
        <f>COUNTIF($E:$G,CONCATENATE($W25,Z$23))</f>
        <v>1</v>
      </c>
      <c r="AA25" s="1">
        <f>COUNTIF($E:$G,CONCATENATE($W25,AA$23))</f>
        <v>4</v>
      </c>
      <c r="AB25" s="1">
        <f>COUNTIF($E:$G,CONCATENATE($W25,AB$23))</f>
        <v>4</v>
      </c>
      <c r="AC25" s="1">
        <f>COUNTIF($E:$G,CONCATENATE($W25,AC$23))</f>
        <v>1</v>
      </c>
      <c r="AD25" s="1">
        <f>COUNTIF($E:$G,CONCATENATE($W25,AD$23))</f>
        <v>2</v>
      </c>
      <c r="AE25" s="1">
        <f>COUNTIF($E:$G,CONCATENATE($W25,AE$23))</f>
        <v>1</v>
      </c>
      <c r="AF25" s="1">
        <f>COUNTIF($E:$G,CONCATENATE($W25,AF$23))</f>
        <v>1</v>
      </c>
      <c r="AG25" s="1">
        <f>COUNTIF($E:$G,CONCATENATE($W25,AG$23))</f>
        <v>4</v>
      </c>
      <c r="AH25" s="1">
        <f>COUNTIF($E:$G,CONCATENATE($W25,AH$23))</f>
        <v>2</v>
      </c>
      <c r="AI25" s="1">
        <f>COUNTIF($E:$G,CONCATENATE($W25,AI$23))</f>
        <v>0</v>
      </c>
      <c r="AJ25" s="1">
        <f>COUNTIF($E:$G,CONCATENATE($W25,AJ$23))</f>
        <v>2</v>
      </c>
      <c r="AK25" s="1">
        <f>COUNTIF($E:$G,CONCATENATE($W25,AK$23))</f>
        <v>3</v>
      </c>
      <c r="AL25" s="1">
        <f>COUNTIF($E:$G,CONCATENATE($W25,AL$23))</f>
        <v>4</v>
      </c>
      <c r="AM25" s="1">
        <f>COUNTIF($E:$G,CONCATENATE($W25,AM$23))</f>
        <v>4</v>
      </c>
      <c r="AN25" s="1">
        <f>COUNTIF($E:$G,CONCATENATE($W25,AN$23))</f>
        <v>1</v>
      </c>
    </row>
    <row r="26" spans="1:40" x14ac:dyDescent="0.25">
      <c r="A26" s="41" t="s">
        <v>685</v>
      </c>
      <c r="B26">
        <v>3</v>
      </c>
      <c r="C26" s="41" t="s">
        <v>686</v>
      </c>
      <c r="D26">
        <v>1</v>
      </c>
      <c r="E26" s="1" t="str">
        <f>MID(A26,1,2)</f>
        <v>טל</v>
      </c>
      <c r="F26" s="1" t="str">
        <f>MID(C26,3,2)</f>
        <v>לז</v>
      </c>
      <c r="G26" s="1" t="str">
        <f>CONCATENATE(K26,M26)</f>
        <v>טז</v>
      </c>
      <c r="H26" s="1">
        <f>VLOOKUP(K26,$W$23:$AN$40,MATCH(L26,$W$23:$AN$23,0),FALSE)</f>
        <v>6</v>
      </c>
      <c r="I26" s="1">
        <f>VLOOKUP(L26,$W$23:$AN$40,MATCH(M26,$W$23:$AN$23,0),FALSE)</f>
        <v>1</v>
      </c>
      <c r="J26" s="1">
        <f>VLOOKUP(K26,$W$23:$AN$40,MATCH(M26,$W$23:$AN$23,0),FALSE)</f>
        <v>4</v>
      </c>
      <c r="K26" s="1" t="str">
        <f>MID(A26,1,1)</f>
        <v>ט</v>
      </c>
      <c r="L26" s="1" t="str">
        <f>MID(A26,2,1)</f>
        <v>ל</v>
      </c>
      <c r="M26" s="1" t="str">
        <f>MID(A26,4,1)</f>
        <v>ז</v>
      </c>
      <c r="N26" s="1">
        <f>VLOOKUP(K26,$W:$X,2,0)</f>
        <v>15</v>
      </c>
      <c r="O26" s="1">
        <f>VLOOKUP(L26,$Z:$AA,2,0)</f>
        <v>9</v>
      </c>
      <c r="P26" s="1">
        <f>VLOOKUP(M26,$AC:$AD,2,0)</f>
        <v>15</v>
      </c>
      <c r="Q26" s="1">
        <f>IF(A26&lt;&gt;"",P26+O26+N26+H26+I26+J26,0)</f>
        <v>50</v>
      </c>
      <c r="W26" s="1" t="s">
        <v>558</v>
      </c>
      <c r="X26" s="1">
        <f>COUNTIF($E:$G,CONCATENATE($W26,X$23))</f>
        <v>6</v>
      </c>
      <c r="Y26" s="1">
        <f>COUNTIF($E:$G,CONCATENATE($W26,Y$23))</f>
        <v>4</v>
      </c>
      <c r="Z26" s="1">
        <f>COUNTIF($E:$G,CONCATENATE($W26,Z$23))</f>
        <v>0</v>
      </c>
      <c r="AA26" s="1">
        <f>COUNTIF($E:$G,CONCATENATE($W26,AA$23))</f>
        <v>3</v>
      </c>
      <c r="AB26" s="1">
        <f>COUNTIF($E:$G,CONCATENATE($W26,AB$23))</f>
        <v>4</v>
      </c>
      <c r="AC26" s="1">
        <f>COUNTIF($E:$G,CONCATENATE($W26,AC$23))</f>
        <v>2</v>
      </c>
      <c r="AD26" s="1">
        <f>COUNTIF($E:$G,CONCATENATE($W26,AD$23))</f>
        <v>3</v>
      </c>
      <c r="AE26" s="1">
        <f>COUNTIF($E:$G,CONCATENATE($W26,AE$23))</f>
        <v>1</v>
      </c>
      <c r="AF26" s="1">
        <f>COUNTIF($E:$G,CONCATENATE($W26,AF$23))</f>
        <v>0</v>
      </c>
      <c r="AG26" s="1">
        <f>COUNTIF($E:$G,CONCATENATE($W26,AG$23))</f>
        <v>2</v>
      </c>
      <c r="AH26" s="1">
        <f>COUNTIF($E:$G,CONCATENATE($W26,AH$23))</f>
        <v>3</v>
      </c>
      <c r="AI26" s="1">
        <f>COUNTIF($E:$G,CONCATENATE($W26,AI$23))</f>
        <v>2</v>
      </c>
      <c r="AJ26" s="1">
        <f>COUNTIF($E:$G,CONCATENATE($W26,AJ$23))</f>
        <v>1</v>
      </c>
      <c r="AK26" s="1">
        <f>COUNTIF($E:$G,CONCATENATE($W26,AK$23))</f>
        <v>2</v>
      </c>
      <c r="AL26" s="1">
        <f>COUNTIF($E:$G,CONCATENATE($W26,AL$23))</f>
        <v>5</v>
      </c>
      <c r="AM26" s="1">
        <f>COUNTIF($E:$G,CONCATENATE($W26,AM$23))</f>
        <v>2</v>
      </c>
      <c r="AN26" s="1">
        <f>COUNTIF($E:$G,CONCATENATE($W26,AN$23))</f>
        <v>0</v>
      </c>
    </row>
    <row r="27" spans="1:40" x14ac:dyDescent="0.25">
      <c r="A27" s="1" t="s">
        <v>591</v>
      </c>
      <c r="B27">
        <v>0</v>
      </c>
      <c r="C27" s="1" t="s">
        <v>592</v>
      </c>
      <c r="D27">
        <v>1</v>
      </c>
      <c r="E27" s="1" t="str">
        <f>MID(A27,1,2)</f>
        <v>פנ</v>
      </c>
      <c r="F27" s="1" t="str">
        <f>MID(C27,3,2)</f>
        <v>נע</v>
      </c>
      <c r="G27" s="1" t="str">
        <f>CONCATENATE(K27,M27)</f>
        <v>פע</v>
      </c>
      <c r="H27" s="1">
        <f>VLOOKUP(K27,$W$23:$AN$40,MATCH(L27,$W$23:$AN$23,0),FALSE)</f>
        <v>1</v>
      </c>
      <c r="I27" s="1">
        <f>VLOOKUP(L27,$W$23:$AN$40,MATCH(M27,$W$23:$AN$23,0),FALSE)</f>
        <v>1</v>
      </c>
      <c r="J27" s="1">
        <f>VLOOKUP(K27,$W$23:$AN$40,MATCH(M27,$W$23:$AN$23,0),FALSE)</f>
        <v>4</v>
      </c>
      <c r="K27" s="1" t="str">
        <f>MID(A27,1,1)</f>
        <v>פ</v>
      </c>
      <c r="L27" s="1" t="str">
        <f>MID(A27,2,1)</f>
        <v>נ</v>
      </c>
      <c r="M27" s="1" t="str">
        <f>MID(A27,4,1)</f>
        <v>ע</v>
      </c>
      <c r="N27" s="1">
        <f>VLOOKUP(K27,$W:$X,2,0)</f>
        <v>15</v>
      </c>
      <c r="O27" s="1">
        <f>VLOOKUP(L27,$Z:$AA,2,0)</f>
        <v>9</v>
      </c>
      <c r="P27" s="1">
        <f>VLOOKUP(M27,$AC:$AD,2,0)</f>
        <v>15</v>
      </c>
      <c r="Q27" s="1">
        <f>IF(A27&lt;&gt;"",P27+O27+N27+H27+I27+J27,0)</f>
        <v>45</v>
      </c>
      <c r="W27" s="1" t="s">
        <v>2</v>
      </c>
      <c r="X27" s="1">
        <f>COUNTIF($E:$G,CONCATENATE($W27,X$23))</f>
        <v>4</v>
      </c>
      <c r="Y27" s="1">
        <f>COUNTIF($E:$G,CONCATENATE($W27,Y$23))</f>
        <v>3</v>
      </c>
      <c r="Z27" s="1">
        <f>COUNTIF($E:$G,CONCATENATE($W27,Z$23))</f>
        <v>5</v>
      </c>
      <c r="AA27" s="1">
        <f>COUNTIF($E:$G,CONCATENATE($W27,AA$23))</f>
        <v>0</v>
      </c>
      <c r="AB27" s="1">
        <f>COUNTIF($E:$G,CONCATENATE($W27,AB$23))</f>
        <v>2</v>
      </c>
      <c r="AC27" s="1">
        <f>COUNTIF($E:$G,CONCATENATE($W27,AC$23))</f>
        <v>0</v>
      </c>
      <c r="AD27" s="1">
        <f>COUNTIF($E:$G,CONCATENATE($W27,AD$23))</f>
        <v>1</v>
      </c>
      <c r="AE27" s="1">
        <f>COUNTIF($E:$G,CONCATENATE($W27,AE$23))</f>
        <v>1</v>
      </c>
      <c r="AF27" s="1">
        <f>COUNTIF($E:$G,CONCATENATE($W27,AF$23))</f>
        <v>2</v>
      </c>
      <c r="AG27" s="1">
        <f>COUNTIF($E:$G,CONCATENATE($W27,AG$23))</f>
        <v>4</v>
      </c>
      <c r="AH27" s="1">
        <f>COUNTIF($E:$G,CONCATENATE($W27,AH$23))</f>
        <v>3</v>
      </c>
      <c r="AI27" s="1">
        <f>COUNTIF($E:$G,CONCATENATE($W27,AI$23))</f>
        <v>0</v>
      </c>
      <c r="AJ27" s="1">
        <f>COUNTIF($E:$G,CONCATENATE($W27,AJ$23))</f>
        <v>2</v>
      </c>
      <c r="AK27" s="1">
        <f>COUNTIF($E:$G,CONCATENATE($W27,AK$23))</f>
        <v>3</v>
      </c>
      <c r="AL27" s="1">
        <f>COUNTIF($E:$G,CONCATENATE($W27,AL$23))</f>
        <v>4</v>
      </c>
      <c r="AM27" s="1">
        <f>COUNTIF($E:$G,CONCATENATE($W27,AM$23))</f>
        <v>4</v>
      </c>
      <c r="AN27" s="1">
        <f>COUNTIF($E:$G,CONCATENATE($W27,AN$23))</f>
        <v>0</v>
      </c>
    </row>
    <row r="28" spans="1:40" x14ac:dyDescent="0.25">
      <c r="A28" s="41" t="s">
        <v>649</v>
      </c>
      <c r="B28">
        <v>1</v>
      </c>
      <c r="C28" s="41" t="s">
        <v>650</v>
      </c>
      <c r="D28">
        <v>1</v>
      </c>
      <c r="E28" s="1" t="str">
        <f>MID(A28,1,2)</f>
        <v>חס</v>
      </c>
      <c r="F28" s="1" t="str">
        <f>MID(C28,3,2)</f>
        <v>סג</v>
      </c>
      <c r="G28" s="1" t="str">
        <f>CONCATENATE(K28,M28)</f>
        <v>חג</v>
      </c>
      <c r="H28" s="1">
        <f>VLOOKUP(K28,$W$23:$AN$40,MATCH(L28,$W$23:$AN$23,0),FALSE)</f>
        <v>4</v>
      </c>
      <c r="I28" s="1">
        <f>VLOOKUP(L28,$W$23:$AN$40,MATCH(M28,$W$23:$AN$23,0),FALSE)</f>
        <v>5</v>
      </c>
      <c r="J28" s="1">
        <f>VLOOKUP(K28,$W$23:$AN$40,MATCH(M28,$W$23:$AN$23,0),FALSE)</f>
        <v>4</v>
      </c>
      <c r="K28" s="1" t="str">
        <f>MID(A28,1,1)</f>
        <v>ח</v>
      </c>
      <c r="L28" s="1" t="str">
        <f>MID(A28,2,1)</f>
        <v>ס</v>
      </c>
      <c r="M28" s="1" t="str">
        <f>MID(A28,4,1)</f>
        <v>ג</v>
      </c>
      <c r="N28" s="1">
        <f>VLOOKUP(K28,$W:$X,2,0)</f>
        <v>14</v>
      </c>
      <c r="O28" s="1">
        <f>VLOOKUP(L28,$Z:$AA,2,0)</f>
        <v>10</v>
      </c>
      <c r="P28" s="1">
        <f>VLOOKUP(M28,$AC:$AD,2,0)</f>
        <v>14</v>
      </c>
      <c r="Q28" s="1">
        <f>IF(A28&lt;&gt;"",P28+O28+N28+H28+I28+J28,0)</f>
        <v>51</v>
      </c>
      <c r="W28" s="1" t="s">
        <v>3</v>
      </c>
      <c r="X28" s="1">
        <f>COUNTIF($E:$G,CONCATENATE($W28,X$23))</f>
        <v>3</v>
      </c>
      <c r="Y28" s="1">
        <f>COUNTIF($E:$G,CONCATENATE($W28,Y$23))</f>
        <v>4</v>
      </c>
      <c r="Z28" s="1">
        <f>COUNTIF($E:$G,CONCATENATE($W28,Z$23))</f>
        <v>4</v>
      </c>
      <c r="AA28" s="1">
        <f>COUNTIF($E:$G,CONCATENATE($W28,AA$23))</f>
        <v>7</v>
      </c>
      <c r="AB28" s="1">
        <f>COUNTIF($E:$G,CONCATENATE($W28,AB$23))</f>
        <v>0</v>
      </c>
      <c r="AC28" s="1">
        <f>COUNTIF($E:$G,CONCATENATE($W28,AC$23))</f>
        <v>0</v>
      </c>
      <c r="AD28" s="1">
        <f>COUNTIF($E:$G,CONCATENATE($W28,AD$23))</f>
        <v>6</v>
      </c>
      <c r="AE28" s="1">
        <f>COUNTIF($E:$G,CONCATENATE($W28,AE$23))</f>
        <v>1</v>
      </c>
      <c r="AF28" s="1">
        <f>COUNTIF($E:$G,CONCATENATE($W28,AF$23))</f>
        <v>0</v>
      </c>
      <c r="AG28" s="1">
        <f>COUNTIF($E:$G,CONCATENATE($W28,AG$23))</f>
        <v>4</v>
      </c>
      <c r="AH28" s="1">
        <f>COUNTIF($E:$G,CONCATENATE($W28,AH$23))</f>
        <v>3</v>
      </c>
      <c r="AI28" s="1">
        <f>COUNTIF($E:$G,CONCATENATE($W28,AI$23))</f>
        <v>1</v>
      </c>
      <c r="AJ28" s="1">
        <f>COUNTIF($E:$G,CONCATENATE($W28,AJ$23))</f>
        <v>0</v>
      </c>
      <c r="AK28" s="1">
        <f>COUNTIF($E:$G,CONCATENATE($W28,AK$23))</f>
        <v>3</v>
      </c>
      <c r="AL28" s="1">
        <f>COUNTIF($E:$G,CONCATENATE($W28,AL$23))</f>
        <v>0</v>
      </c>
      <c r="AM28" s="1">
        <f>COUNTIF($E:$G,CONCATENATE($W28,AM$23))</f>
        <v>3</v>
      </c>
      <c r="AN28" s="1">
        <f>COUNTIF($E:$G,CONCATENATE($W28,AN$23))</f>
        <v>0</v>
      </c>
    </row>
    <row r="29" spans="1:40" x14ac:dyDescent="0.25">
      <c r="A29" s="1" t="s">
        <v>741</v>
      </c>
      <c r="B29">
        <v>1</v>
      </c>
      <c r="C29" s="1" t="s">
        <v>742</v>
      </c>
      <c r="D29">
        <v>2</v>
      </c>
      <c r="E29" s="1" t="str">
        <f>MID(A29,1,2)</f>
        <v>רצ</v>
      </c>
      <c r="F29" s="1" t="str">
        <f>MID(C29,3,2)</f>
        <v>צח</v>
      </c>
      <c r="G29" s="1" t="str">
        <f>CONCATENATE(K29,M29)</f>
        <v>רח</v>
      </c>
      <c r="H29" s="1">
        <f>VLOOKUP(K29,$W$23:$AN$40,MATCH(L29,$W$23:$AN$23,0),FALSE)</f>
        <v>1</v>
      </c>
      <c r="I29" s="1">
        <f>VLOOKUP(L29,$W$23:$AN$40,MATCH(M29,$W$23:$AN$23,0),FALSE)</f>
        <v>3</v>
      </c>
      <c r="J29" s="1">
        <f>VLOOKUP(K29,$W$23:$AN$40,MATCH(M29,$W$23:$AN$23,0),FALSE)</f>
        <v>3</v>
      </c>
      <c r="K29" s="1" t="str">
        <f>MID(A29,1,1)</f>
        <v>ר</v>
      </c>
      <c r="L29" s="1" t="str">
        <f>MID(A29,2,1)</f>
        <v>צ</v>
      </c>
      <c r="M29" s="1" t="str">
        <f>MID(A29,4,1)</f>
        <v>ח</v>
      </c>
      <c r="N29" s="1">
        <f>VLOOKUP(K29,$W:$X,2,0)</f>
        <v>14</v>
      </c>
      <c r="O29" s="1">
        <f>VLOOKUP(L29,$Z:$AA,2,0)</f>
        <v>9</v>
      </c>
      <c r="P29" s="1">
        <f>VLOOKUP(M29,$AC:$AD,2,0)</f>
        <v>14</v>
      </c>
      <c r="Q29" s="1">
        <f>IF(A29&lt;&gt;"",P29+O29+N29+H29+I29+J29,0)</f>
        <v>44</v>
      </c>
      <c r="W29" s="1" t="s">
        <v>4</v>
      </c>
      <c r="X29" s="1">
        <f>COUNTIF($E:$G,CONCATENATE($W29,X$23))</f>
        <v>1</v>
      </c>
      <c r="Y29" s="1">
        <f>COUNTIF($E:$G,CONCATENATE($W29,Y$23))</f>
        <v>0</v>
      </c>
      <c r="Z29" s="1">
        <f>COUNTIF($E:$G,CONCATENATE($W29,Z$23))</f>
        <v>2</v>
      </c>
      <c r="AA29" s="1">
        <f>COUNTIF($E:$G,CONCATENATE($W29,AA$23))</f>
        <v>2</v>
      </c>
      <c r="AB29" s="1">
        <f>COUNTIF($E:$G,CONCATENATE($W29,AB$23))</f>
        <v>1</v>
      </c>
      <c r="AC29" s="1">
        <f>COUNTIF($E:$G,CONCATENATE($W29,AC$23))</f>
        <v>0</v>
      </c>
      <c r="AD29" s="1">
        <f>COUNTIF($E:$G,CONCATENATE($W29,AD$23))</f>
        <v>1</v>
      </c>
      <c r="AE29" s="1">
        <f>COUNTIF($E:$G,CONCATENATE($W29,AE$23))</f>
        <v>0</v>
      </c>
      <c r="AF29" s="1">
        <f>COUNTIF($E:$G,CONCATENATE($W29,AF$23))</f>
        <v>0</v>
      </c>
      <c r="AG29" s="1">
        <f>COUNTIF($E:$G,CONCATENATE($W29,AG$23))</f>
        <v>0</v>
      </c>
      <c r="AH29" s="1">
        <f>COUNTIF($E:$G,CONCATENATE($W29,AH$23))</f>
        <v>0</v>
      </c>
      <c r="AI29" s="1">
        <f>COUNTIF($E:$G,CONCATENATE($W29,AI$23))</f>
        <v>0</v>
      </c>
      <c r="AJ29" s="1">
        <f>COUNTIF($E:$G,CONCATENATE($W29,AJ$23))</f>
        <v>0</v>
      </c>
      <c r="AK29" s="1">
        <f>COUNTIF($E:$G,CONCATENATE($W29,AK$23))</f>
        <v>1</v>
      </c>
      <c r="AL29" s="1">
        <f>COUNTIF($E:$G,CONCATENATE($W29,AL$23))</f>
        <v>1</v>
      </c>
      <c r="AM29" s="1">
        <f>COUNTIF($E:$G,CONCATENATE($W29,AM$23))</f>
        <v>0</v>
      </c>
      <c r="AN29" s="1">
        <f>COUNTIF($E:$G,CONCATENATE($W29,AN$23))</f>
        <v>0</v>
      </c>
    </row>
    <row r="30" spans="1:40" x14ac:dyDescent="0.25">
      <c r="A30" s="41" t="s">
        <v>743</v>
      </c>
      <c r="B30">
        <v>2</v>
      </c>
      <c r="C30" s="41" t="s">
        <v>744</v>
      </c>
      <c r="D30">
        <v>1</v>
      </c>
      <c r="E30" s="1" t="str">
        <f>MID(A30,1,2)</f>
        <v>גע</v>
      </c>
      <c r="F30" s="1" t="str">
        <f>MID(C30,3,2)</f>
        <v>עס</v>
      </c>
      <c r="G30" s="1" t="str">
        <f>CONCATENATE(K30,M30)</f>
        <v>גס</v>
      </c>
      <c r="H30" s="1">
        <f>VLOOKUP(K30,$W$23:$AN$40,MATCH(L30,$W$23:$AN$23,0),FALSE)</f>
        <v>6</v>
      </c>
      <c r="I30" s="1">
        <f>VLOOKUP(L30,$W$23:$AN$40,MATCH(M30,$W$23:$AN$23,0),FALSE)</f>
        <v>3</v>
      </c>
      <c r="J30" s="1">
        <f>VLOOKUP(K30,$W$23:$AN$40,MATCH(M30,$W$23:$AN$23,0),FALSE)</f>
        <v>2</v>
      </c>
      <c r="K30" s="1" t="str">
        <f>MID(A30,1,1)</f>
        <v>ג</v>
      </c>
      <c r="L30" s="1" t="str">
        <f>MID(A30,2,1)</f>
        <v>ע</v>
      </c>
      <c r="M30" s="1" t="str">
        <f>MID(A30,4,1)</f>
        <v>ס</v>
      </c>
      <c r="N30" s="1">
        <f>VLOOKUP(K30,$W:$X,2,0)</f>
        <v>15</v>
      </c>
      <c r="O30" s="1">
        <f>VLOOKUP(L30,$Z:$AA,2,0)</f>
        <v>8</v>
      </c>
      <c r="P30" s="1">
        <f>VLOOKUP(M30,$AC:$AD,2,0)</f>
        <v>15</v>
      </c>
      <c r="Q30" s="1">
        <f>IF(A30&lt;&gt;"",P30+O30+N30+H30+I30+J30,0)</f>
        <v>49</v>
      </c>
      <c r="W30" s="1" t="s">
        <v>5</v>
      </c>
      <c r="X30" s="1">
        <f>COUNTIF($E:$G,CONCATENATE($W30,X$23))</f>
        <v>0</v>
      </c>
      <c r="Y30" s="1">
        <f>COUNTIF($E:$G,CONCATENATE($W30,Y$23))</f>
        <v>2</v>
      </c>
      <c r="Z30" s="1">
        <f>COUNTIF($E:$G,CONCATENATE($W30,Z$23))</f>
        <v>1</v>
      </c>
      <c r="AA30" s="1">
        <f>COUNTIF($E:$G,CONCATENATE($W30,AA$23))</f>
        <v>1</v>
      </c>
      <c r="AB30" s="1">
        <f>COUNTIF($E:$G,CONCATENATE($W30,AB$23))</f>
        <v>0</v>
      </c>
      <c r="AC30" s="1">
        <f>COUNTIF($E:$G,CONCATENATE($W30,AC$23))</f>
        <v>0</v>
      </c>
      <c r="AD30" s="1">
        <f>COUNTIF($E:$G,CONCATENATE($W30,AD$23))</f>
        <v>0</v>
      </c>
      <c r="AE30" s="1">
        <f>COUNTIF($E:$G,CONCATENATE($W30,AE$23))</f>
        <v>0</v>
      </c>
      <c r="AF30" s="1">
        <f>COUNTIF($E:$G,CONCATENATE($W30,AF$23))</f>
        <v>0</v>
      </c>
      <c r="AG30" s="1">
        <f>COUNTIF($E:$G,CONCATENATE($W30,AG$23))</f>
        <v>2</v>
      </c>
      <c r="AH30" s="1">
        <f>COUNTIF($E:$G,CONCATENATE($W30,AH$23))</f>
        <v>1</v>
      </c>
      <c r="AI30" s="1">
        <f>COUNTIF($E:$G,CONCATENATE($W30,AI$23))</f>
        <v>0</v>
      </c>
      <c r="AJ30" s="1">
        <f>COUNTIF($E:$G,CONCATENATE($W30,AJ$23))</f>
        <v>0</v>
      </c>
      <c r="AK30" s="1">
        <f>COUNTIF($E:$G,CONCATENATE($W30,AK$23))</f>
        <v>0</v>
      </c>
      <c r="AL30" s="1">
        <f>COUNTIF($E:$G,CONCATENATE($W30,AL$23))</f>
        <v>0</v>
      </c>
      <c r="AM30" s="1">
        <f>COUNTIF($E:$G,CONCATENATE($W30,AM$23))</f>
        <v>2</v>
      </c>
      <c r="AN30" s="1">
        <f>COUNTIF($E:$G,CONCATENATE($W30,AN$23))</f>
        <v>0</v>
      </c>
    </row>
    <row r="31" spans="1:40" x14ac:dyDescent="0.25">
      <c r="A31" s="41" t="s">
        <v>575</v>
      </c>
      <c r="B31">
        <v>3</v>
      </c>
      <c r="C31" s="41" t="s">
        <v>576</v>
      </c>
      <c r="D31">
        <v>3</v>
      </c>
      <c r="E31" s="1" t="str">
        <f>MID(A31,1,2)</f>
        <v>צג</v>
      </c>
      <c r="F31" s="1" t="str">
        <f>MID(C31,3,2)</f>
        <v>גד</v>
      </c>
      <c r="G31" s="1" t="str">
        <f>CONCATENATE(K31,M31)</f>
        <v>צד</v>
      </c>
      <c r="H31" s="1">
        <f>VLOOKUP(K31,$W$23:$AN$40,MATCH(L31,$W$23:$AN$23,0),FALSE)</f>
        <v>2</v>
      </c>
      <c r="I31" s="1">
        <f>VLOOKUP(L31,$W$23:$AN$40,MATCH(M31,$W$23:$AN$23,0),FALSE)</f>
        <v>1</v>
      </c>
      <c r="J31" s="1">
        <f>VLOOKUP(K31,$W$23:$AN$40,MATCH(M31,$W$23:$AN$23,0),FALSE)</f>
        <v>3</v>
      </c>
      <c r="K31" s="1" t="str">
        <f>MID(A31,1,1)</f>
        <v>צ</v>
      </c>
      <c r="L31" s="1" t="str">
        <f>MID(A31,2,1)</f>
        <v>ג</v>
      </c>
      <c r="M31" s="1" t="str">
        <f>MID(A31,4,1)</f>
        <v>ד</v>
      </c>
      <c r="N31" s="1">
        <f>VLOOKUP(K31,$W:$X,2,0)</f>
        <v>15</v>
      </c>
      <c r="O31" s="1">
        <f>VLOOKUP(L31,$Z:$AA,2,0)</f>
        <v>9</v>
      </c>
      <c r="P31" s="1">
        <f>VLOOKUP(M31,$AC:$AD,2,0)</f>
        <v>15</v>
      </c>
      <c r="Q31" s="1">
        <f>IF(A31&lt;&gt;"",P31+O31+N31+H31+I31+J31,0)</f>
        <v>45</v>
      </c>
      <c r="W31" s="1" t="s">
        <v>6</v>
      </c>
      <c r="X31" s="1">
        <f>COUNTIF($E:$G,CONCATENATE($W31,X$23))</f>
        <v>0</v>
      </c>
      <c r="Y31" s="1">
        <f>COUNTIF($E:$G,CONCATENATE($W31,Y$23))</f>
        <v>0</v>
      </c>
      <c r="Z31" s="1">
        <f>COUNTIF($E:$G,CONCATENATE($W31,Z$23))</f>
        <v>0</v>
      </c>
      <c r="AA31" s="1">
        <f>COUNTIF($E:$G,CONCATENATE($W31,AA$23))</f>
        <v>2</v>
      </c>
      <c r="AB31" s="1">
        <f>COUNTIF($E:$G,CONCATENATE($W31,AB$23))</f>
        <v>1</v>
      </c>
      <c r="AC31" s="1">
        <f>COUNTIF($E:$G,CONCATENATE($W31,AC$23))</f>
        <v>0</v>
      </c>
      <c r="AD31" s="1">
        <f>COUNTIF($E:$G,CONCATENATE($W31,AD$23))</f>
        <v>3</v>
      </c>
      <c r="AE31" s="1">
        <f>COUNTIF($E:$G,CONCATENATE($W31,AE$23))</f>
        <v>0</v>
      </c>
      <c r="AF31" s="1">
        <f>COUNTIF($E:$G,CONCATENATE($W31,AF$23))</f>
        <v>0</v>
      </c>
      <c r="AG31" s="1">
        <f>COUNTIF($E:$G,CONCATENATE($W31,AG$23))</f>
        <v>1</v>
      </c>
      <c r="AH31" s="1">
        <f>COUNTIF($E:$G,CONCATENATE($W31,AH$23))</f>
        <v>1</v>
      </c>
      <c r="AI31" s="1">
        <f>COUNTIF($E:$G,CONCATENATE($W31,AI$23))</f>
        <v>0</v>
      </c>
      <c r="AJ31" s="1">
        <f>COUNTIF($E:$G,CONCATENATE($W31,AJ$23))</f>
        <v>0</v>
      </c>
      <c r="AK31" s="1">
        <f>COUNTIF($E:$G,CONCATENATE($W31,AK$23))</f>
        <v>1</v>
      </c>
      <c r="AL31" s="1">
        <f>COUNTIF($E:$G,CONCATENATE($W31,AL$23))</f>
        <v>0</v>
      </c>
      <c r="AM31" s="1">
        <f>COUNTIF($E:$G,CONCATENATE($W31,AM$23))</f>
        <v>1</v>
      </c>
      <c r="AN31" s="1">
        <f>COUNTIF($E:$G,CONCATENATE($W31,AN$23))</f>
        <v>0</v>
      </c>
    </row>
    <row r="32" spans="1:40" x14ac:dyDescent="0.25">
      <c r="A32" s="1" t="s">
        <v>526</v>
      </c>
      <c r="B32">
        <v>1</v>
      </c>
      <c r="C32" s="1" t="s">
        <v>524</v>
      </c>
      <c r="D32">
        <v>2</v>
      </c>
      <c r="E32" s="1" t="str">
        <f>MID(A32,1,2)</f>
        <v>קט</v>
      </c>
      <c r="F32" s="1" t="str">
        <f>MID(C32,3,2)</f>
        <v>טל</v>
      </c>
      <c r="G32" s="1" t="str">
        <f>CONCATENATE(K32,M32)</f>
        <v>קל</v>
      </c>
      <c r="H32" s="1">
        <f>VLOOKUP(K32,$W$23:$AN$40,MATCH(L32,$W$23:$AN$23,0),FALSE)</f>
        <v>4</v>
      </c>
      <c r="I32" s="1">
        <f>VLOOKUP(L32,$W$23:$AN$40,MATCH(M32,$W$23:$AN$23,0),FALSE)</f>
        <v>6</v>
      </c>
      <c r="J32" s="1">
        <f>VLOOKUP(K32,$W$23:$AN$40,MATCH(M32,$W$23:$AN$23,0),FALSE)</f>
        <v>3</v>
      </c>
      <c r="K32" s="1" t="str">
        <f>MID(A32,1,1)</f>
        <v>ק</v>
      </c>
      <c r="L32" s="1" t="str">
        <f>MID(A32,2,1)</f>
        <v>ט</v>
      </c>
      <c r="M32" s="1" t="str">
        <f>MID(A32,4,1)</f>
        <v>ל</v>
      </c>
      <c r="N32" s="1">
        <f>VLOOKUP(K32,$W:$X,2,0)</f>
        <v>15</v>
      </c>
      <c r="O32" s="1">
        <f>VLOOKUP(L32,$Z:$AA,2,0)</f>
        <v>9</v>
      </c>
      <c r="P32" s="1">
        <f>VLOOKUP(M32,$AC:$AD,2,0)</f>
        <v>14</v>
      </c>
      <c r="Q32" s="1">
        <f>IF(A32&lt;&gt;"",P32+O32+N32+H32+I32+J32,0)</f>
        <v>51</v>
      </c>
      <c r="W32" s="1" t="s">
        <v>7</v>
      </c>
      <c r="X32" s="1">
        <f>COUNTIF($E:$G,CONCATENATE($W32,X$23))</f>
        <v>1</v>
      </c>
      <c r="Y32" s="1">
        <f>COUNTIF($E:$G,CONCATENATE($W32,Y$23))</f>
        <v>0</v>
      </c>
      <c r="Z32" s="1">
        <f>COUNTIF($E:$G,CONCATENATE($W32,Z$23))</f>
        <v>2</v>
      </c>
      <c r="AA32" s="1">
        <f>COUNTIF($E:$G,CONCATENATE($W32,AA$23))</f>
        <v>0</v>
      </c>
      <c r="AB32" s="1">
        <f>COUNTIF($E:$G,CONCATENATE($W32,AB$23))</f>
        <v>0</v>
      </c>
      <c r="AC32" s="1">
        <f>COUNTIF($E:$G,CONCATENATE($W32,AC$23))</f>
        <v>0</v>
      </c>
      <c r="AD32" s="1">
        <f>COUNTIF($E:$G,CONCATENATE($W32,AD$23))</f>
        <v>1</v>
      </c>
      <c r="AE32" s="1">
        <f>COUNTIF($E:$G,CONCATENATE($W32,AE$23))</f>
        <v>0</v>
      </c>
      <c r="AF32" s="1">
        <f>COUNTIF($E:$G,CONCATENATE($W32,AF$23))</f>
        <v>0</v>
      </c>
      <c r="AG32" s="1">
        <f>COUNTIF($E:$G,CONCATENATE($W32,AG$23))</f>
        <v>1</v>
      </c>
      <c r="AH32" s="1">
        <f>COUNTIF($E:$G,CONCATENATE($W32,AH$23))</f>
        <v>1</v>
      </c>
      <c r="AI32" s="1">
        <f>COUNTIF($E:$G,CONCATENATE($W32,AI$23))</f>
        <v>0</v>
      </c>
      <c r="AJ32" s="1">
        <f>COUNTIF($E:$G,CONCATENATE($W32,AJ$23))</f>
        <v>0</v>
      </c>
      <c r="AK32" s="1">
        <f>COUNTIF($E:$G,CONCATENATE($W32,AK$23))</f>
        <v>1</v>
      </c>
      <c r="AL32" s="1">
        <f>COUNTIF($E:$G,CONCATENATE($W32,AL$23))</f>
        <v>1</v>
      </c>
      <c r="AM32" s="1">
        <f>COUNTIF($E:$G,CONCATENATE($W32,AM$23))</f>
        <v>1</v>
      </c>
      <c r="AN32" s="1">
        <f>COUNTIF($E:$G,CONCATENATE($W32,AN$23))</f>
        <v>0</v>
      </c>
    </row>
    <row r="33" spans="1:40" x14ac:dyDescent="0.25">
      <c r="A33" s="1" t="s">
        <v>745</v>
      </c>
      <c r="B33">
        <v>0</v>
      </c>
      <c r="C33" s="1" t="s">
        <v>746</v>
      </c>
      <c r="D33">
        <v>1</v>
      </c>
      <c r="E33" s="1" t="str">
        <f>MID(A33,1,2)</f>
        <v>ספ</v>
      </c>
      <c r="F33" s="1" t="str">
        <f>MID(C33,3,2)</f>
        <v>פק</v>
      </c>
      <c r="G33" s="1" t="str">
        <f>CONCATENATE(K33,M33)</f>
        <v>סק</v>
      </c>
      <c r="H33" s="1">
        <f>VLOOKUP(K33,$W$23:$AN$40,MATCH(L33,$W$23:$AN$23,0),FALSE)</f>
        <v>2</v>
      </c>
      <c r="I33" s="1">
        <f>VLOOKUP(L33,$W$23:$AN$40,MATCH(M33,$W$23:$AN$23,0),FALSE)</f>
        <v>4</v>
      </c>
      <c r="J33" s="1">
        <f>VLOOKUP(K33,$W$23:$AN$40,MATCH(M33,$W$23:$AN$23,0),FALSE)</f>
        <v>5</v>
      </c>
      <c r="K33" s="1" t="str">
        <f>MID(A33,1,1)</f>
        <v>ס</v>
      </c>
      <c r="L33" s="1" t="str">
        <f>MID(A33,2,1)</f>
        <v>פ</v>
      </c>
      <c r="M33" s="1" t="str">
        <f>MID(A33,4,1)</f>
        <v>ק</v>
      </c>
      <c r="N33" s="1">
        <f>VLOOKUP(K33,$W:$X,2,0)</f>
        <v>14</v>
      </c>
      <c r="O33" s="1">
        <f>VLOOKUP(L33,$Z:$AA,2,0)</f>
        <v>10</v>
      </c>
      <c r="P33" s="1">
        <f>VLOOKUP(M33,$AC:$AD,2,0)</f>
        <v>15</v>
      </c>
      <c r="Q33" s="1">
        <f>IF(A33&lt;&gt;"",P33+O33+N33+H33+I33+J33,0)</f>
        <v>50</v>
      </c>
      <c r="W33" s="1" t="s">
        <v>8</v>
      </c>
      <c r="X33" s="1">
        <f>COUNTIF($E:$G,CONCATENATE($W33,X$23))</f>
        <v>5</v>
      </c>
      <c r="Y33" s="1">
        <f>COUNTIF($E:$G,CONCATENATE($W33,Y$23))</f>
        <v>3</v>
      </c>
      <c r="Z33" s="1">
        <f>COUNTIF($E:$G,CONCATENATE($W33,Z$23))</f>
        <v>2</v>
      </c>
      <c r="AA33" s="1">
        <f>COUNTIF($E:$G,CONCATENATE($W33,AA$23))</f>
        <v>3</v>
      </c>
      <c r="AB33" s="1">
        <f>COUNTIF($E:$G,CONCATENATE($W33,AB$23))</f>
        <v>2</v>
      </c>
      <c r="AC33" s="1">
        <f>COUNTIF($E:$G,CONCATENATE($W33,AC$23))</f>
        <v>0</v>
      </c>
      <c r="AD33" s="1">
        <f>COUNTIF($E:$G,CONCATENATE($W33,AD$23))</f>
        <v>3</v>
      </c>
      <c r="AE33" s="1">
        <f>COUNTIF($E:$G,CONCATENATE($W33,AE$23))</f>
        <v>1</v>
      </c>
      <c r="AF33" s="1">
        <f>COUNTIF($E:$G,CONCATENATE($W33,AF$23))</f>
        <v>0</v>
      </c>
      <c r="AG33" s="1">
        <f>COUNTIF($E:$G,CONCATENATE($W33,AG$23))</f>
        <v>0</v>
      </c>
      <c r="AH33" s="1">
        <f>COUNTIF($E:$G,CONCATENATE($W33,AH$23))</f>
        <v>2</v>
      </c>
      <c r="AI33" s="1">
        <f>COUNTIF($E:$G,CONCATENATE($W33,AI$23))</f>
        <v>2</v>
      </c>
      <c r="AJ33" s="1">
        <f>COUNTIF($E:$G,CONCATENATE($W33,AJ$23))</f>
        <v>1</v>
      </c>
      <c r="AK33" s="1">
        <f>COUNTIF($E:$G,CONCATENATE($W33,AK$23))</f>
        <v>5</v>
      </c>
      <c r="AL33" s="1">
        <f>COUNTIF($E:$G,CONCATENATE($W33,AL$23))</f>
        <v>3</v>
      </c>
      <c r="AM33" s="1">
        <f>COUNTIF($E:$G,CONCATENATE($W33,AM$23))</f>
        <v>6</v>
      </c>
      <c r="AN33" s="1">
        <f>COUNTIF($E:$G,CONCATENATE($W33,AN$23))</f>
        <v>0</v>
      </c>
    </row>
    <row r="34" spans="1:40" x14ac:dyDescent="0.25">
      <c r="A34" s="41" t="s">
        <v>567</v>
      </c>
      <c r="B34">
        <v>1</v>
      </c>
      <c r="C34" s="41" t="s">
        <v>568</v>
      </c>
      <c r="D34">
        <v>2</v>
      </c>
      <c r="E34" s="1" t="str">
        <f>MID(A34,1,2)</f>
        <v>גת</v>
      </c>
      <c r="F34" s="1" t="str">
        <f>MID(C34,3,2)</f>
        <v>תט</v>
      </c>
      <c r="G34" s="1" t="str">
        <f>CONCATENATE(K34,M34)</f>
        <v>גט</v>
      </c>
      <c r="H34" s="1">
        <f>VLOOKUP(K34,$W$23:$AN$40,MATCH(L34,$W$23:$AN$23,0),FALSE)</f>
        <v>2</v>
      </c>
      <c r="I34" s="1">
        <f>VLOOKUP(L34,$W$23:$AN$40,MATCH(M34,$W$23:$AN$23,0),FALSE)</f>
        <v>2</v>
      </c>
      <c r="J34" s="1">
        <f>VLOOKUP(K34,$W$23:$AN$40,MATCH(M34,$W$23:$AN$23,0),FALSE)</f>
        <v>4</v>
      </c>
      <c r="K34" s="1" t="str">
        <f>MID(A34,1,1)</f>
        <v>ג</v>
      </c>
      <c r="L34" s="1" t="str">
        <f>MID(A34,2,1)</f>
        <v>ת</v>
      </c>
      <c r="M34" s="1" t="str">
        <f>MID(A34,4,1)</f>
        <v>ט</v>
      </c>
      <c r="N34" s="1">
        <f>VLOOKUP(K34,$W:$X,2,0)</f>
        <v>15</v>
      </c>
      <c r="O34" s="1">
        <f>VLOOKUP(L34,$Z:$AA,2,0)</f>
        <v>9</v>
      </c>
      <c r="P34" s="1">
        <f>VLOOKUP(M34,$AC:$AD,2,0)</f>
        <v>15</v>
      </c>
      <c r="Q34" s="1">
        <f>IF(A34&lt;&gt;"",P34+O34+N34+H34+I34+J34,0)</f>
        <v>47</v>
      </c>
      <c r="W34" s="1" t="s">
        <v>9</v>
      </c>
      <c r="X34" s="1">
        <f>COUNTIF($E:$G,CONCATENATE($W34,X$23))</f>
        <v>4</v>
      </c>
      <c r="Y34" s="1">
        <f>COUNTIF($E:$G,CONCATENATE($W34,Y$23))</f>
        <v>6</v>
      </c>
      <c r="Z34" s="1">
        <f>COUNTIF($E:$G,CONCATENATE($W34,Z$23))</f>
        <v>2</v>
      </c>
      <c r="AA34" s="1">
        <f>COUNTIF($E:$G,CONCATENATE($W34,AA$23))</f>
        <v>2</v>
      </c>
      <c r="AB34" s="1">
        <f>COUNTIF($E:$G,CONCATENATE($W34,AB$23))</f>
        <v>3</v>
      </c>
      <c r="AC34" s="1">
        <f>COUNTIF($E:$G,CONCATENATE($W34,AC$23))</f>
        <v>3</v>
      </c>
      <c r="AD34" s="1">
        <f>COUNTIF($E:$G,CONCATENATE($W34,AD$23))</f>
        <v>1</v>
      </c>
      <c r="AE34" s="1">
        <f>COUNTIF($E:$G,CONCATENATE($W34,AE$23))</f>
        <v>0</v>
      </c>
      <c r="AF34" s="1">
        <f>COUNTIF($E:$G,CONCATENATE($W34,AF$23))</f>
        <v>0</v>
      </c>
      <c r="AG34" s="1">
        <f>COUNTIF($E:$G,CONCATENATE($W34,AG$23))</f>
        <v>3</v>
      </c>
      <c r="AH34" s="1">
        <f>COUNTIF($E:$G,CONCATENATE($W34,AH$23))</f>
        <v>0</v>
      </c>
      <c r="AI34" s="1">
        <f>COUNTIF($E:$G,CONCATENATE($W34,AI$23))</f>
        <v>1</v>
      </c>
      <c r="AJ34" s="1">
        <f>COUNTIF($E:$G,CONCATENATE($W34,AJ$23))</f>
        <v>0</v>
      </c>
      <c r="AK34" s="1">
        <f>COUNTIF($E:$G,CONCATENATE($W34,AK$23))</f>
        <v>4</v>
      </c>
      <c r="AL34" s="1">
        <f>COUNTIF($E:$G,CONCATENATE($W34,AL$23))</f>
        <v>2</v>
      </c>
      <c r="AM34" s="1">
        <f>COUNTIF($E:$G,CONCATENATE($W34,AM$23))</f>
        <v>4</v>
      </c>
      <c r="AN34" s="1">
        <f>COUNTIF($E:$G,CONCATENATE($W34,AN$23))</f>
        <v>1</v>
      </c>
    </row>
    <row r="35" spans="1:40" x14ac:dyDescent="0.25">
      <c r="A35" s="1" t="s">
        <v>527</v>
      </c>
      <c r="B35">
        <v>2</v>
      </c>
      <c r="C35" s="1" t="s">
        <v>525</v>
      </c>
      <c r="D35">
        <v>3</v>
      </c>
      <c r="E35" s="1" t="str">
        <f>MID(A35,1,2)</f>
        <v>צס</v>
      </c>
      <c r="F35" s="1" t="str">
        <f>MID(C35,3,2)</f>
        <v>סל</v>
      </c>
      <c r="G35" s="1" t="str">
        <f>CONCATENATE(K35,M35)</f>
        <v>צל</v>
      </c>
      <c r="H35" s="1">
        <f>VLOOKUP(K35,$W$23:$AN$40,MATCH(L35,$W$23:$AN$23,0),FALSE)</f>
        <v>6</v>
      </c>
      <c r="I35" s="1">
        <f>VLOOKUP(L35,$W$23:$AN$40,MATCH(M35,$W$23:$AN$23,0),FALSE)</f>
        <v>3</v>
      </c>
      <c r="J35" s="1">
        <f>VLOOKUP(K35,$W$23:$AN$40,MATCH(M35,$W$23:$AN$23,0),FALSE)</f>
        <v>2</v>
      </c>
      <c r="K35" s="1" t="str">
        <f>MID(A35,1,1)</f>
        <v>צ</v>
      </c>
      <c r="L35" s="1" t="str">
        <f>MID(A35,2,1)</f>
        <v>ס</v>
      </c>
      <c r="M35" s="1" t="str">
        <f>MID(A35,4,1)</f>
        <v>ל</v>
      </c>
      <c r="N35" s="1">
        <f>VLOOKUP(K35,$W:$X,2,0)</f>
        <v>15</v>
      </c>
      <c r="O35" s="1">
        <f>VLOOKUP(L35,$Z:$AA,2,0)</f>
        <v>10</v>
      </c>
      <c r="P35" s="1">
        <f>VLOOKUP(M35,$AC:$AD,2,0)</f>
        <v>14</v>
      </c>
      <c r="Q35" s="1">
        <f>IF(A35&lt;&gt;"",P35+O35+N35+H35+I35+J35,0)</f>
        <v>50</v>
      </c>
      <c r="W35" s="1" t="s">
        <v>10</v>
      </c>
      <c r="X35" s="1">
        <f>COUNTIF($E:$G,CONCATENATE($W35,X$23))</f>
        <v>1</v>
      </c>
      <c r="Y35" s="1">
        <f>COUNTIF($E:$G,CONCATENATE($W35,Y$23))</f>
        <v>2</v>
      </c>
      <c r="Z35" s="1">
        <f>COUNTIF($E:$G,CONCATENATE($W35,Z$23))</f>
        <v>0</v>
      </c>
      <c r="AA35" s="1">
        <f>COUNTIF($E:$G,CONCATENATE($W35,AA$23))</f>
        <v>4</v>
      </c>
      <c r="AB35" s="1">
        <f>COUNTIF($E:$G,CONCATENATE($W35,AB$23))</f>
        <v>5</v>
      </c>
      <c r="AC35" s="1">
        <f>COUNTIF($E:$G,CONCATENATE($W35,AC$23))</f>
        <v>0</v>
      </c>
      <c r="AD35" s="1">
        <f>COUNTIF($E:$G,CONCATENATE($W35,AD$23))</f>
        <v>5</v>
      </c>
      <c r="AE35" s="1">
        <f>COUNTIF($E:$G,CONCATENATE($W35,AE$23))</f>
        <v>3</v>
      </c>
      <c r="AF35" s="1">
        <f>COUNTIF($E:$G,CONCATENATE($W35,AF$23))</f>
        <v>1</v>
      </c>
      <c r="AG35" s="1">
        <f>COUNTIF($E:$G,CONCATENATE($W35,AG$23))</f>
        <v>3</v>
      </c>
      <c r="AH35" s="1">
        <f>COUNTIF($E:$G,CONCATENATE($W35,AH$23))</f>
        <v>4</v>
      </c>
      <c r="AI35" s="1">
        <f>COUNTIF($E:$G,CONCATENATE($W35,AI$23))</f>
        <v>0</v>
      </c>
      <c r="AJ35" s="1">
        <f>COUNTIF($E:$G,CONCATENATE($W35,AJ$23))</f>
        <v>1</v>
      </c>
      <c r="AK35" s="1">
        <f>COUNTIF($E:$G,CONCATENATE($W35,AK$23))</f>
        <v>4</v>
      </c>
      <c r="AL35" s="1">
        <f>COUNTIF($E:$G,CONCATENATE($W35,AL$23))</f>
        <v>4</v>
      </c>
      <c r="AM35" s="1">
        <f>COUNTIF($E:$G,CONCATENATE($W35,AM$23))</f>
        <v>1</v>
      </c>
      <c r="AN35" s="1">
        <f>COUNTIF($E:$G,CONCATENATE($W35,AN$23))</f>
        <v>2</v>
      </c>
    </row>
    <row r="36" spans="1:40" x14ac:dyDescent="0.25">
      <c r="A36" s="41" t="s">
        <v>607</v>
      </c>
      <c r="B36">
        <v>1</v>
      </c>
      <c r="C36" s="41" t="s">
        <v>608</v>
      </c>
      <c r="D36">
        <v>2</v>
      </c>
      <c r="E36" s="1" t="str">
        <f>MID(A36,1,2)</f>
        <v>רפ</v>
      </c>
      <c r="F36" s="1" t="str">
        <f>MID(C36,3,2)</f>
        <v>פד</v>
      </c>
      <c r="G36" s="1" t="str">
        <f>CONCATENATE(K36,M36)</f>
        <v>רד</v>
      </c>
      <c r="H36" s="1">
        <f>VLOOKUP(K36,$W$23:$AN$40,MATCH(L36,$W$23:$AN$23,0),FALSE)</f>
        <v>1</v>
      </c>
      <c r="I36" s="1">
        <f>VLOOKUP(L36,$W$23:$AN$40,MATCH(M36,$W$23:$AN$23,0),FALSE)</f>
        <v>2</v>
      </c>
      <c r="J36" s="1">
        <f>VLOOKUP(K36,$W$23:$AN$40,MATCH(M36,$W$23:$AN$23,0),FALSE)</f>
        <v>4</v>
      </c>
      <c r="K36" s="1" t="str">
        <f>MID(A36,1,1)</f>
        <v>ר</v>
      </c>
      <c r="L36" s="1" t="str">
        <f>MID(A36,2,1)</f>
        <v>פ</v>
      </c>
      <c r="M36" s="1" t="str">
        <f>MID(A36,4,1)</f>
        <v>ד</v>
      </c>
      <c r="N36" s="1">
        <f>VLOOKUP(K36,$W:$X,2,0)</f>
        <v>14</v>
      </c>
      <c r="O36" s="1">
        <f>VLOOKUP(L36,$Z:$AA,2,0)</f>
        <v>10</v>
      </c>
      <c r="P36" s="1">
        <f>VLOOKUP(M36,$AC:$AD,2,0)</f>
        <v>15</v>
      </c>
      <c r="Q36" s="1">
        <f>IF(A36&lt;&gt;"",P36+O36+N36+H36+I36+J36,0)</f>
        <v>46</v>
      </c>
      <c r="W36" s="1" t="s">
        <v>11</v>
      </c>
      <c r="X36" s="1">
        <f>COUNTIF($E:$G,CONCATENATE($W36,X$23))</f>
        <v>2</v>
      </c>
      <c r="Y36" s="1">
        <f>COUNTIF($E:$G,CONCATENATE($W36,Y$23))</f>
        <v>3</v>
      </c>
      <c r="Z36" s="1">
        <f>COUNTIF($E:$G,CONCATENATE($W36,Z$23))</f>
        <v>5</v>
      </c>
      <c r="AA36" s="1">
        <f>COUNTIF($E:$G,CONCATENATE($W36,AA$23))</f>
        <v>3</v>
      </c>
      <c r="AB36" s="1">
        <f>COUNTIF($E:$G,CONCATENATE($W36,AB$23))</f>
        <v>1</v>
      </c>
      <c r="AC36" s="1">
        <f>COUNTIF($E:$G,CONCATENATE($W36,AC$23))</f>
        <v>0</v>
      </c>
      <c r="AD36" s="1">
        <f>COUNTIF($E:$G,CONCATENATE($W36,AD$23))</f>
        <v>2</v>
      </c>
      <c r="AE36" s="1">
        <f>COUNTIF($E:$G,CONCATENATE($W36,AE$23))</f>
        <v>0</v>
      </c>
      <c r="AF36" s="1">
        <f>COUNTIF($E:$G,CONCATENATE($W36,AF$23))</f>
        <v>1</v>
      </c>
      <c r="AG36" s="1">
        <f>COUNTIF($E:$G,CONCATENATE($W36,AG$23))</f>
        <v>6</v>
      </c>
      <c r="AH36" s="1">
        <f>COUNTIF($E:$G,CONCATENATE($W36,AH$23))</f>
        <v>2</v>
      </c>
      <c r="AI36" s="1">
        <f>COUNTIF($E:$G,CONCATENATE($W36,AI$23))</f>
        <v>2</v>
      </c>
      <c r="AJ36" s="1">
        <f>COUNTIF($E:$G,CONCATENATE($W36,AJ$23))</f>
        <v>0</v>
      </c>
      <c r="AK36" s="1">
        <f>COUNTIF($E:$G,CONCATENATE($W36,AK$23))</f>
        <v>6</v>
      </c>
      <c r="AL36" s="1">
        <f>COUNTIF($E:$G,CONCATENATE($W36,AL$23))</f>
        <v>4</v>
      </c>
      <c r="AM36" s="1">
        <f>COUNTIF($E:$G,CONCATENATE($W36,AM$23))</f>
        <v>1</v>
      </c>
      <c r="AN36" s="1">
        <f>COUNTIF($E:$G,CONCATENATE($W36,AN$23))</f>
        <v>1</v>
      </c>
    </row>
    <row r="37" spans="1:40" x14ac:dyDescent="0.25">
      <c r="A37" s="41" t="s">
        <v>747</v>
      </c>
      <c r="B37">
        <v>0</v>
      </c>
      <c r="C37" s="41" t="s">
        <v>748</v>
      </c>
      <c r="D37">
        <v>1</v>
      </c>
      <c r="E37" s="1" t="str">
        <f>MID(A37,1,2)</f>
        <v>זכ</v>
      </c>
      <c r="F37" s="1" t="str">
        <f>MID(C37,3,2)</f>
        <v>כח</v>
      </c>
      <c r="G37" s="1" t="str">
        <f>CONCATENATE(K37,M37)</f>
        <v>זח</v>
      </c>
      <c r="H37" s="1">
        <f>VLOOKUP(K37,$W$23:$AN$40,MATCH(L37,$W$23:$AN$23,0),FALSE)</f>
        <v>2</v>
      </c>
      <c r="I37" s="1">
        <f>VLOOKUP(L37,$W$23:$AN$40,MATCH(M37,$W$23:$AN$23,0),FALSE)</f>
        <v>2</v>
      </c>
      <c r="J37" s="1">
        <f>VLOOKUP(K37,$W$23:$AN$40,MATCH(M37,$W$23:$AN$23,0),FALSE)</f>
        <v>3</v>
      </c>
      <c r="K37" s="1" t="str">
        <f>MID(A37,1,1)</f>
        <v>ז</v>
      </c>
      <c r="L37" s="1" t="str">
        <f>MID(A37,2,1)</f>
        <v>כ</v>
      </c>
      <c r="M37" s="1" t="str">
        <f>MID(A37,4,1)</f>
        <v>ח</v>
      </c>
      <c r="N37" s="1">
        <f>VLOOKUP(K37,$W:$X,2,0)</f>
        <v>15</v>
      </c>
      <c r="O37" s="1">
        <f>VLOOKUP(L37,$Z:$AA,2,0)</f>
        <v>9</v>
      </c>
      <c r="P37" s="1">
        <f>VLOOKUP(M37,$AC:$AD,2,0)</f>
        <v>14</v>
      </c>
      <c r="Q37" s="1">
        <f>IF(A37&lt;&gt;"",P37+O37+N37+H37+I37+J37,0)</f>
        <v>45</v>
      </c>
      <c r="W37" s="1" t="s">
        <v>12</v>
      </c>
      <c r="X37" s="1">
        <f>COUNTIF($E:$G,CONCATENATE($W37,X$23))</f>
        <v>1</v>
      </c>
      <c r="Y37" s="1">
        <f>COUNTIF($E:$G,CONCATENATE($W37,Y$23))</f>
        <v>6</v>
      </c>
      <c r="Z37" s="1">
        <f>COUNTIF($E:$G,CONCATENATE($W37,Z$23))</f>
        <v>5</v>
      </c>
      <c r="AA37" s="1">
        <f>COUNTIF($E:$G,CONCATENATE($W37,AA$23))</f>
        <v>2</v>
      </c>
      <c r="AB37" s="1">
        <f>COUNTIF($E:$G,CONCATENATE($W37,AB$23))</f>
        <v>4</v>
      </c>
      <c r="AC37" s="1">
        <f>COUNTIF($E:$G,CONCATENATE($W37,AC$23))</f>
        <v>2</v>
      </c>
      <c r="AD37" s="1">
        <f>COUNTIF($E:$G,CONCATENATE($W37,AD$23))</f>
        <v>3</v>
      </c>
      <c r="AE37" s="1">
        <f>COUNTIF($E:$G,CONCATENATE($W37,AE$23))</f>
        <v>1</v>
      </c>
      <c r="AF37" s="1">
        <f>COUNTIF($E:$G,CONCATENATE($W37,AF$23))</f>
        <v>1</v>
      </c>
      <c r="AG37" s="1">
        <f>COUNTIF($E:$G,CONCATENATE($W37,AG$23))</f>
        <v>4</v>
      </c>
      <c r="AH37" s="1">
        <f>COUNTIF($E:$G,CONCATENATE($W37,AH$23))</f>
        <v>5</v>
      </c>
      <c r="AI37" s="1">
        <f>COUNTIF($E:$G,CONCATENATE($W37,AI$23))</f>
        <v>0</v>
      </c>
      <c r="AJ37" s="1">
        <f>COUNTIF($E:$G,CONCATENATE($W37,AJ$23))</f>
        <v>0</v>
      </c>
      <c r="AK37" s="1">
        <f>COUNTIF($E:$G,CONCATENATE($W37,AK$23))</f>
        <v>0</v>
      </c>
      <c r="AL37" s="1">
        <f>COUNTIF($E:$G,CONCATENATE($W37,AL$23))</f>
        <v>2</v>
      </c>
      <c r="AM37" s="1">
        <f>COUNTIF($E:$G,CONCATENATE($W37,AM$23))</f>
        <v>2</v>
      </c>
      <c r="AN37" s="1">
        <f>COUNTIF($E:$G,CONCATENATE($W37,AN$23))</f>
        <v>1</v>
      </c>
    </row>
    <row r="38" spans="1:40" x14ac:dyDescent="0.25">
      <c r="A38" s="1" t="s">
        <v>589</v>
      </c>
      <c r="B38">
        <v>2</v>
      </c>
      <c r="C38" s="1" t="s">
        <v>590</v>
      </c>
      <c r="D38">
        <v>0</v>
      </c>
      <c r="E38" s="1" t="str">
        <f>MID(A38,1,2)</f>
        <v>פצ</v>
      </c>
      <c r="F38" s="1" t="str">
        <f>MID(C38,3,2)</f>
        <v>צס</v>
      </c>
      <c r="G38" s="1" t="str">
        <f>CONCATENATE(K38,M38)</f>
        <v>פס</v>
      </c>
      <c r="H38" s="1">
        <f>VLOOKUP(K38,$W$23:$AN$40,MATCH(L38,$W$23:$AN$23,0),FALSE)</f>
        <v>1</v>
      </c>
      <c r="I38" s="1">
        <f>VLOOKUP(L38,$W$23:$AN$40,MATCH(M38,$W$23:$AN$23,0),FALSE)</f>
        <v>6</v>
      </c>
      <c r="J38" s="1">
        <f>VLOOKUP(K38,$W$23:$AN$40,MATCH(M38,$W$23:$AN$23,0),FALSE)</f>
        <v>3</v>
      </c>
      <c r="K38" s="1" t="str">
        <f>MID(A38,1,1)</f>
        <v>פ</v>
      </c>
      <c r="L38" s="1" t="str">
        <f>MID(A38,2,1)</f>
        <v>צ</v>
      </c>
      <c r="M38" s="1" t="str">
        <f>MID(A38,4,1)</f>
        <v>ס</v>
      </c>
      <c r="N38" s="1">
        <f>VLOOKUP(K38,$W:$X,2,0)</f>
        <v>15</v>
      </c>
      <c r="O38" s="1">
        <f>VLOOKUP(L38,$Z:$AA,2,0)</f>
        <v>9</v>
      </c>
      <c r="P38" s="1">
        <f>VLOOKUP(M38,$AC:$AD,2,0)</f>
        <v>15</v>
      </c>
      <c r="Q38" s="1">
        <f>IF(A38&lt;&gt;"",P38+O38+N38+H38+I38+J38,0)</f>
        <v>49</v>
      </c>
      <c r="W38" s="1" t="s">
        <v>13</v>
      </c>
      <c r="X38" s="1">
        <f>COUNTIF($E:$G,CONCATENATE($W38,X$23))</f>
        <v>2</v>
      </c>
      <c r="Y38" s="1">
        <f>COUNTIF($E:$G,CONCATENATE($W38,Y$23))</f>
        <v>4</v>
      </c>
      <c r="Z38" s="1">
        <f>COUNTIF($E:$G,CONCATENATE($W38,Z$23))</f>
        <v>6</v>
      </c>
      <c r="AA38" s="1">
        <f>COUNTIF($E:$G,CONCATENATE($W38,AA$23))</f>
        <v>3</v>
      </c>
      <c r="AB38" s="1">
        <f>COUNTIF($E:$G,CONCATENATE($W38,AB$23))</f>
        <v>3</v>
      </c>
      <c r="AC38" s="1">
        <f>COUNTIF($E:$G,CONCATENATE($W38,AC$23))</f>
        <v>1</v>
      </c>
      <c r="AD38" s="1">
        <f>COUNTIF($E:$G,CONCATENATE($W38,AD$23))</f>
        <v>2</v>
      </c>
      <c r="AE38" s="1">
        <f>COUNTIF($E:$G,CONCATENATE($W38,AE$23))</f>
        <v>1</v>
      </c>
      <c r="AF38" s="1">
        <f>COUNTIF($E:$G,CONCATENATE($W38,AF$23))</f>
        <v>2</v>
      </c>
      <c r="AG38" s="1">
        <f>COUNTIF($E:$G,CONCATENATE($W38,AG$23))</f>
        <v>2</v>
      </c>
      <c r="AH38" s="1">
        <f>COUNTIF($E:$G,CONCATENATE($W38,AH$23))</f>
        <v>3</v>
      </c>
      <c r="AI38" s="1">
        <f>COUNTIF($E:$G,CONCATENATE($W38,AI$23))</f>
        <v>1</v>
      </c>
      <c r="AJ38" s="1">
        <f>COUNTIF($E:$G,CONCATENATE($W38,AJ$23))</f>
        <v>1</v>
      </c>
      <c r="AK38" s="1">
        <f>COUNTIF($E:$G,CONCATENATE($W38,AK$23))</f>
        <v>3</v>
      </c>
      <c r="AL38" s="1">
        <f>COUNTIF($E:$G,CONCATENATE($W38,AL$23))</f>
        <v>0</v>
      </c>
      <c r="AM38" s="1">
        <f>COUNTIF($E:$G,CONCATENATE($W38,AM$23))</f>
        <v>3</v>
      </c>
      <c r="AN38" s="1">
        <f>COUNTIF($E:$G,CONCATENATE($W38,AN$23))</f>
        <v>1</v>
      </c>
    </row>
    <row r="39" spans="1:40" x14ac:dyDescent="0.25">
      <c r="A39" s="1" t="s">
        <v>749</v>
      </c>
      <c r="B39">
        <v>0</v>
      </c>
      <c r="C39" s="1" t="s">
        <v>750</v>
      </c>
      <c r="D39">
        <v>2</v>
      </c>
      <c r="E39" s="1" t="str">
        <f>MID(A39,1,2)</f>
        <v>חז</v>
      </c>
      <c r="F39" s="1" t="str">
        <f>MID(C39,3,2)</f>
        <v>זע</v>
      </c>
      <c r="G39" s="1" t="str">
        <f>CONCATENATE(K39,M39)</f>
        <v>חע</v>
      </c>
      <c r="H39" s="1">
        <f>VLOOKUP(K39,$W$23:$AN$40,MATCH(L39,$W$23:$AN$23,0),FALSE)</f>
        <v>5</v>
      </c>
      <c r="I39" s="1">
        <f>VLOOKUP(L39,$W$23:$AN$40,MATCH(M39,$W$23:$AN$23,0),FALSE)</f>
        <v>3</v>
      </c>
      <c r="J39" s="1">
        <f>VLOOKUP(K39,$W$23:$AN$40,MATCH(M39,$W$23:$AN$23,0),FALSE)</f>
        <v>3</v>
      </c>
      <c r="K39" s="1" t="str">
        <f>MID(A39,1,1)</f>
        <v>ח</v>
      </c>
      <c r="L39" s="1" t="str">
        <f>MID(A39,2,1)</f>
        <v>ז</v>
      </c>
      <c r="M39" s="1" t="str">
        <f>MID(A39,4,1)</f>
        <v>ע</v>
      </c>
      <c r="N39" s="1">
        <f>VLOOKUP(K39,$W:$X,2,0)</f>
        <v>14</v>
      </c>
      <c r="O39" s="1">
        <f>VLOOKUP(L39,$Z:$AA,2,0)</f>
        <v>10</v>
      </c>
      <c r="P39" s="1">
        <f>VLOOKUP(M39,$AC:$AD,2,0)</f>
        <v>15</v>
      </c>
      <c r="Q39" s="1">
        <f>IF(A39&lt;&gt;"",P39+O39+N39+H39+I39+J39,0)</f>
        <v>50</v>
      </c>
      <c r="W39" s="1" t="s">
        <v>14</v>
      </c>
      <c r="X39" s="1">
        <f>COUNTIF($E:$G,CONCATENATE($W39,X$23))</f>
        <v>1</v>
      </c>
      <c r="Y39" s="1">
        <f>COUNTIF($E:$G,CONCATENATE($W39,Y$23))</f>
        <v>1</v>
      </c>
      <c r="Z39" s="1">
        <f>COUNTIF($E:$G,CONCATENATE($W39,Z$23))</f>
        <v>0</v>
      </c>
      <c r="AA39" s="1">
        <f>COUNTIF($E:$G,CONCATENATE($W39,AA$23))</f>
        <v>0</v>
      </c>
      <c r="AB39" s="1">
        <f>COUNTIF($E:$G,CONCATENATE($W39,AB$23))</f>
        <v>3</v>
      </c>
      <c r="AC39" s="1">
        <f>COUNTIF($E:$G,CONCATENATE($W39,AC$23))</f>
        <v>0</v>
      </c>
      <c r="AD39" s="1">
        <f>COUNTIF($E:$G,CONCATENATE($W39,AD$23))</f>
        <v>0</v>
      </c>
      <c r="AE39" s="1">
        <f>COUNTIF($E:$G,CONCATENATE($W39,AE$23))</f>
        <v>0</v>
      </c>
      <c r="AF39" s="1">
        <f>COUNTIF($E:$G,CONCATENATE($W39,AF$23))</f>
        <v>0</v>
      </c>
      <c r="AG39" s="1">
        <f>COUNTIF($E:$G,CONCATENATE($W39,AG$23))</f>
        <v>2</v>
      </c>
      <c r="AH39" s="1">
        <f>COUNTIF($E:$G,CONCATENATE($W39,AH$23))</f>
        <v>1</v>
      </c>
      <c r="AI39" s="1">
        <f>COUNTIF($E:$G,CONCATENATE($W39,AI$23))</f>
        <v>0</v>
      </c>
      <c r="AJ39" s="1">
        <f>COUNTIF($E:$G,CONCATENATE($W39,AJ$23))</f>
        <v>0</v>
      </c>
      <c r="AK39" s="1">
        <f>COUNTIF($E:$G,CONCATENATE($W39,AK$23))</f>
        <v>0</v>
      </c>
      <c r="AL39" s="1">
        <f>COUNTIF($E:$G,CONCATENATE($W39,AL$23))</f>
        <v>2</v>
      </c>
      <c r="AM39" s="1">
        <f>COUNTIF($E:$G,CONCATENATE($W39,AM$23))</f>
        <v>0</v>
      </c>
      <c r="AN39" s="1">
        <f>COUNTIF($E:$G,CONCATENATE($W39,AN$23))</f>
        <v>0</v>
      </c>
    </row>
    <row r="40" spans="1:40" x14ac:dyDescent="0.25">
      <c r="A40" s="1" t="s">
        <v>751</v>
      </c>
      <c r="B40">
        <v>3</v>
      </c>
      <c r="C40" s="1" t="s">
        <v>752</v>
      </c>
      <c r="D40">
        <v>3</v>
      </c>
      <c r="E40" s="1" t="str">
        <f>MID(A40,1,2)</f>
        <v>דל</v>
      </c>
      <c r="F40" s="1" t="str">
        <f>MID(C40,3,2)</f>
        <v>לש</v>
      </c>
      <c r="G40" s="1" t="str">
        <f>CONCATENATE(K40,M40)</f>
        <v>דש</v>
      </c>
      <c r="H40" s="1">
        <f>VLOOKUP(K40,$W$23:$AN$40,MATCH(L40,$W$23:$AN$23,0),FALSE)</f>
        <v>2</v>
      </c>
      <c r="I40" s="1">
        <f>VLOOKUP(L40,$W$23:$AN$40,MATCH(M40,$W$23:$AN$23,0),FALSE)</f>
        <v>2</v>
      </c>
      <c r="J40" s="1">
        <f>VLOOKUP(K40,$W$23:$AN$40,MATCH(M40,$W$23:$AN$23,0),FALSE)</f>
        <v>4</v>
      </c>
      <c r="K40" s="1" t="str">
        <f>MID(A40,1,1)</f>
        <v>ד</v>
      </c>
      <c r="L40" s="1" t="str">
        <f>MID(A40,2,1)</f>
        <v>ל</v>
      </c>
      <c r="M40" s="1" t="str">
        <f>MID(A40,4,1)</f>
        <v>ש</v>
      </c>
      <c r="N40" s="1">
        <f>VLOOKUP(K40,$W:$X,2,0)</f>
        <v>14</v>
      </c>
      <c r="O40" s="1">
        <f>VLOOKUP(L40,$Z:$AA,2,0)</f>
        <v>9</v>
      </c>
      <c r="P40" s="1">
        <f>VLOOKUP(M40,$AC:$AD,2,0)</f>
        <v>14</v>
      </c>
      <c r="Q40" s="1">
        <f>IF(A40&lt;&gt;"",P40+O40+N40+H40+I40+J40,0)</f>
        <v>45</v>
      </c>
      <c r="W40" s="1" t="s">
        <v>15</v>
      </c>
      <c r="X40" s="1">
        <f>COUNTIF($E:$G,CONCATENATE($W40,X$23))</f>
        <v>2</v>
      </c>
      <c r="Y40" s="1">
        <f>COUNTIF($E:$G,CONCATENATE($W40,Y$23))</f>
        <v>1</v>
      </c>
      <c r="Z40" s="1">
        <f>COUNTIF($E:$G,CONCATENATE($W40,Z$23))</f>
        <v>1</v>
      </c>
      <c r="AA40" s="1">
        <f>COUNTIF($E:$G,CONCATENATE($W40,AA$23))</f>
        <v>0</v>
      </c>
      <c r="AB40" s="1">
        <f>COUNTIF($E:$G,CONCATENATE($W40,AB$23))</f>
        <v>2</v>
      </c>
      <c r="AC40" s="1">
        <f>COUNTIF($E:$G,CONCATENATE($W40,AC$23))</f>
        <v>0</v>
      </c>
      <c r="AD40" s="1">
        <f>COUNTIF($E:$G,CONCATENATE($W40,AD$23))</f>
        <v>0</v>
      </c>
      <c r="AE40" s="1">
        <f>COUNTIF($E:$G,CONCATENATE($W40,AE$23))</f>
        <v>0</v>
      </c>
      <c r="AF40" s="1">
        <f>COUNTIF($E:$G,CONCATENATE($W40,AF$23))</f>
        <v>0</v>
      </c>
      <c r="AG40" s="1">
        <f>COUNTIF($E:$G,CONCATENATE($W40,AG$23))</f>
        <v>0</v>
      </c>
      <c r="AH40" s="1">
        <f>COUNTIF($E:$G,CONCATENATE($W40,AH$23))</f>
        <v>1</v>
      </c>
      <c r="AI40" s="1">
        <f>COUNTIF($E:$G,CONCATENATE($W40,AI$23))</f>
        <v>0</v>
      </c>
      <c r="AJ40" s="1">
        <f>COUNTIF($E:$G,CONCATENATE($W40,AJ$23))</f>
        <v>0</v>
      </c>
      <c r="AK40" s="1">
        <f>COUNTIF($E:$G,CONCATENATE($W40,AK$23))</f>
        <v>0</v>
      </c>
      <c r="AL40" s="1">
        <f>COUNTIF($E:$G,CONCATENATE($W40,AL$23))</f>
        <v>1</v>
      </c>
      <c r="AM40" s="1">
        <f>COUNTIF($E:$G,CONCATENATE($W40,AM$23))</f>
        <v>1</v>
      </c>
      <c r="AN40" s="1">
        <f>COUNTIF($E:$G,CONCATENATE($W40,AN$23))</f>
        <v>0</v>
      </c>
    </row>
    <row r="41" spans="1:40" x14ac:dyDescent="0.25">
      <c r="A41" s="41" t="s">
        <v>546</v>
      </c>
      <c r="B41">
        <v>1</v>
      </c>
      <c r="C41" s="41" t="s">
        <v>547</v>
      </c>
      <c r="D41">
        <v>1</v>
      </c>
      <c r="E41" s="1" t="str">
        <f>MID(A41,1,2)</f>
        <v>סג</v>
      </c>
      <c r="F41" s="1" t="str">
        <f>MID(C41,3,2)</f>
        <v>גק</v>
      </c>
      <c r="G41" s="1" t="str">
        <f>CONCATENATE(K41,M41)</f>
        <v>סק</v>
      </c>
      <c r="H41" s="1">
        <f>VLOOKUP(K41,$W$23:$AN$40,MATCH(L41,$W$23:$AN$23,0),FALSE)</f>
        <v>5</v>
      </c>
      <c r="I41" s="1">
        <f>VLOOKUP(L41,$W$23:$AN$40,MATCH(M41,$W$23:$AN$23,0),FALSE)</f>
        <v>3</v>
      </c>
      <c r="J41" s="1">
        <f>VLOOKUP(K41,$W$23:$AN$40,MATCH(M41,$W$23:$AN$23,0),FALSE)</f>
        <v>5</v>
      </c>
      <c r="K41" s="1" t="str">
        <f>MID(A41,1,1)</f>
        <v>ס</v>
      </c>
      <c r="L41" s="1" t="str">
        <f>MID(A41,2,1)</f>
        <v>ג</v>
      </c>
      <c r="M41" s="1" t="str">
        <f>MID(A41,4,1)</f>
        <v>ק</v>
      </c>
      <c r="N41" s="1">
        <f>VLOOKUP(K41,$W:$X,2,0)</f>
        <v>14</v>
      </c>
      <c r="O41" s="1">
        <f>VLOOKUP(L41,$Z:$AA,2,0)</f>
        <v>9</v>
      </c>
      <c r="P41" s="1">
        <f>VLOOKUP(M41,$AC:$AD,2,0)</f>
        <v>15</v>
      </c>
      <c r="Q41" s="1">
        <f>IF(A41&lt;&gt;"",P41+O41+N41+H41+I41+J41,0)</f>
        <v>51</v>
      </c>
    </row>
    <row r="42" spans="1:40" x14ac:dyDescent="0.25">
      <c r="A42" s="41" t="s">
        <v>753</v>
      </c>
      <c r="B42">
        <v>2</v>
      </c>
      <c r="C42" s="41" t="s">
        <v>754</v>
      </c>
      <c r="D42">
        <v>3</v>
      </c>
      <c r="E42" s="1" t="str">
        <f>MID(A42,1,2)</f>
        <v>עת</v>
      </c>
      <c r="F42" s="1" t="str">
        <f>MID(C42,3,2)</f>
        <v>תג</v>
      </c>
      <c r="G42" s="1" t="str">
        <f>CONCATENATE(K42,M42)</f>
        <v>עג</v>
      </c>
      <c r="H42" s="1">
        <f>VLOOKUP(K42,$W$23:$AN$40,MATCH(L42,$W$23:$AN$23,0),FALSE)</f>
        <v>1</v>
      </c>
      <c r="I42" s="1">
        <f>VLOOKUP(L42,$W$23:$AN$40,MATCH(M42,$W$23:$AN$23,0),FALSE)</f>
        <v>2</v>
      </c>
      <c r="J42" s="1">
        <f>VLOOKUP(K42,$W$23:$AN$40,MATCH(M42,$W$23:$AN$23,0),FALSE)</f>
        <v>4</v>
      </c>
      <c r="K42" s="1" t="str">
        <f>MID(A42,1,1)</f>
        <v>ע</v>
      </c>
      <c r="L42" s="1" t="str">
        <f>MID(A42,2,1)</f>
        <v>ת</v>
      </c>
      <c r="M42" s="1" t="str">
        <f>MID(A42,4,1)</f>
        <v>ג</v>
      </c>
      <c r="N42" s="1">
        <f>VLOOKUP(K42,$W:$X,2,0)</f>
        <v>14</v>
      </c>
      <c r="O42" s="1">
        <f>VLOOKUP(L42,$Z:$AA,2,0)</f>
        <v>9</v>
      </c>
      <c r="P42" s="1">
        <f>VLOOKUP(M42,$AC:$AD,2,0)</f>
        <v>14</v>
      </c>
      <c r="Q42" s="1">
        <f>IF(A42&lt;&gt;"",P42+O42+N42+H42+I42+J42,0)</f>
        <v>44</v>
      </c>
    </row>
    <row r="43" spans="1:40" x14ac:dyDescent="0.25">
      <c r="A43" s="1" t="s">
        <v>755</v>
      </c>
      <c r="B43">
        <v>2</v>
      </c>
      <c r="C43" s="1" t="s">
        <v>756</v>
      </c>
      <c r="D43">
        <v>0</v>
      </c>
      <c r="E43" s="1" t="str">
        <f>MID(A43,1,2)</f>
        <v>טק</v>
      </c>
      <c r="F43" s="1" t="str">
        <f>MID(C43,3,2)</f>
        <v>קז</v>
      </c>
      <c r="G43" s="1" t="str">
        <f>CONCATENATE(K43,M43)</f>
        <v>טז</v>
      </c>
      <c r="H43" s="1">
        <f>VLOOKUP(K43,$W$23:$AN$40,MATCH(L43,$W$23:$AN$23,0),FALSE)</f>
        <v>3</v>
      </c>
      <c r="I43" s="1">
        <f>VLOOKUP(L43,$W$23:$AN$40,MATCH(M43,$W$23:$AN$23,0),FALSE)</f>
        <v>5</v>
      </c>
      <c r="J43" s="1">
        <f>VLOOKUP(K43,$W$23:$AN$40,MATCH(M43,$W$23:$AN$23,0),FALSE)</f>
        <v>4</v>
      </c>
      <c r="K43" s="1" t="str">
        <f>MID(A43,1,1)</f>
        <v>ט</v>
      </c>
      <c r="L43" s="1" t="str">
        <f>MID(A43,2,1)</f>
        <v>ק</v>
      </c>
      <c r="M43" s="1" t="str">
        <f>MID(A43,4,1)</f>
        <v>ז</v>
      </c>
      <c r="N43" s="1">
        <f>VLOOKUP(K43,$W:$X,2,0)</f>
        <v>15</v>
      </c>
      <c r="O43" s="1">
        <f>VLOOKUP(L43,$Z:$AA,2,0)</f>
        <v>9</v>
      </c>
      <c r="P43" s="1">
        <f>VLOOKUP(M43,$AC:$AD,2,0)</f>
        <v>15</v>
      </c>
      <c r="Q43" s="1">
        <f>IF(A43&lt;&gt;"",P43+O43+N43+H43+I43+J43,0)</f>
        <v>51</v>
      </c>
    </row>
    <row r="44" spans="1:40" x14ac:dyDescent="0.25">
      <c r="A44" s="41" t="s">
        <v>719</v>
      </c>
      <c r="B44">
        <v>1</v>
      </c>
      <c r="C44" s="41" t="s">
        <v>720</v>
      </c>
      <c r="D44">
        <v>2</v>
      </c>
      <c r="E44" s="1" t="str">
        <f>MID(A44,1,2)</f>
        <v>קנ</v>
      </c>
      <c r="F44" s="1" t="str">
        <f>MID(C44,3,2)</f>
        <v>נר</v>
      </c>
      <c r="G44" s="1" t="str">
        <f>CONCATENATE(K44,M44)</f>
        <v>קר</v>
      </c>
      <c r="H44" s="1">
        <f>VLOOKUP(K44,$W$23:$AN$40,MATCH(L44,$W$23:$AN$23,0),FALSE)</f>
        <v>1</v>
      </c>
      <c r="I44" s="1">
        <f>VLOOKUP(L44,$W$23:$AN$40,MATCH(M44,$W$23:$AN$23,0),FALSE)</f>
        <v>1</v>
      </c>
      <c r="J44" s="1">
        <f>VLOOKUP(K44,$W$23:$AN$40,MATCH(M44,$W$23:$AN$23,0),FALSE)</f>
        <v>2</v>
      </c>
      <c r="K44" s="1" t="str">
        <f>MID(A44,1,1)</f>
        <v>ק</v>
      </c>
      <c r="L44" s="1" t="str">
        <f>MID(A44,2,1)</f>
        <v>נ</v>
      </c>
      <c r="M44" s="1" t="str">
        <f>MID(A44,4,1)</f>
        <v>ר</v>
      </c>
      <c r="N44" s="1">
        <f>VLOOKUP(K44,$W:$X,2,0)</f>
        <v>15</v>
      </c>
      <c r="O44" s="1">
        <f>VLOOKUP(L44,$Z:$AA,2,0)</f>
        <v>9</v>
      </c>
      <c r="P44" s="1">
        <f>VLOOKUP(M44,$AC:$AD,2,0)</f>
        <v>14</v>
      </c>
      <c r="Q44" s="1">
        <f>IF(A44&lt;&gt;"",P44+O44+N44+H44+I44+J44,0)</f>
        <v>42</v>
      </c>
    </row>
    <row r="45" spans="1:40" x14ac:dyDescent="0.25">
      <c r="A45" s="1" t="s">
        <v>593</v>
      </c>
      <c r="B45">
        <v>0</v>
      </c>
      <c r="C45" s="1" t="s">
        <v>594</v>
      </c>
      <c r="D45">
        <v>0</v>
      </c>
      <c r="E45" s="1" t="str">
        <f>MID(A45,1,2)</f>
        <v>זט</v>
      </c>
      <c r="F45" s="1" t="str">
        <f>MID(C45,3,2)</f>
        <v>טק</v>
      </c>
      <c r="G45" s="1" t="str">
        <f>CONCATENATE(K45,M45)</f>
        <v>זק</v>
      </c>
      <c r="H45" s="1">
        <f>VLOOKUP(K45,$W$23:$AN$40,MATCH(L45,$W$23:$AN$23,0),FALSE)</f>
        <v>4</v>
      </c>
      <c r="I45" s="1">
        <f>VLOOKUP(L45,$W$23:$AN$40,MATCH(M45,$W$23:$AN$23,0),FALSE)</f>
        <v>3</v>
      </c>
      <c r="J45" s="1">
        <f>VLOOKUP(K45,$W$23:$AN$40,MATCH(M45,$W$23:$AN$23,0),FALSE)</f>
        <v>2</v>
      </c>
      <c r="K45" s="1" t="str">
        <f>MID(A45,1,1)</f>
        <v>ז</v>
      </c>
      <c r="L45" s="1" t="str">
        <f>MID(A45,2,1)</f>
        <v>ט</v>
      </c>
      <c r="M45" s="1" t="str">
        <f>MID(A45,4,1)</f>
        <v>ק</v>
      </c>
      <c r="N45" s="1">
        <f>VLOOKUP(K45,$W:$X,2,0)</f>
        <v>15</v>
      </c>
      <c r="O45" s="1">
        <f>VLOOKUP(L45,$Z:$AA,2,0)</f>
        <v>9</v>
      </c>
      <c r="P45" s="1">
        <f>VLOOKUP(M45,$AC:$AD,2,0)</f>
        <v>15</v>
      </c>
      <c r="Q45" s="1">
        <f>IF(A45&lt;&gt;"",P45+O45+N45+H45+I45+J45,0)</f>
        <v>48</v>
      </c>
    </row>
    <row r="46" spans="1:40" x14ac:dyDescent="0.25">
      <c r="A46" s="1" t="s">
        <v>548</v>
      </c>
      <c r="B46">
        <v>1</v>
      </c>
      <c r="C46" s="1" t="s">
        <v>549</v>
      </c>
      <c r="D46">
        <v>1</v>
      </c>
      <c r="E46" s="1" t="str">
        <f>MID(A46,1,2)</f>
        <v>חע</v>
      </c>
      <c r="F46" s="1" t="str">
        <f>MID(C46,3,2)</f>
        <v>עש</v>
      </c>
      <c r="G46" s="1" t="str">
        <f>CONCATENATE(K46,M46)</f>
        <v>חש</v>
      </c>
      <c r="H46" s="1">
        <f>VLOOKUP(K46,$W$23:$AN$40,MATCH(L46,$W$23:$AN$23,0),FALSE)</f>
        <v>3</v>
      </c>
      <c r="I46" s="1">
        <f>VLOOKUP(L46,$W$23:$AN$40,MATCH(M46,$W$23:$AN$23,0),FALSE)</f>
        <v>4</v>
      </c>
      <c r="J46" s="1">
        <f>VLOOKUP(K46,$W$23:$AN$40,MATCH(M46,$W$23:$AN$23,0),FALSE)</f>
        <v>4</v>
      </c>
      <c r="K46" s="1" t="str">
        <f>MID(A46,1,1)</f>
        <v>ח</v>
      </c>
      <c r="L46" s="1" t="str">
        <f>MID(A46,2,1)</f>
        <v>ע</v>
      </c>
      <c r="M46" s="1" t="str">
        <f>MID(A46,4,1)</f>
        <v>ש</v>
      </c>
      <c r="N46" s="1">
        <f>VLOOKUP(K46,$W:$X,2,0)</f>
        <v>14</v>
      </c>
      <c r="O46" s="1">
        <f>VLOOKUP(L46,$Z:$AA,2,0)</f>
        <v>8</v>
      </c>
      <c r="P46" s="1">
        <f>VLOOKUP(M46,$AC:$AD,2,0)</f>
        <v>14</v>
      </c>
      <c r="Q46" s="1">
        <f>IF(A46&lt;&gt;"",P46+O46+N46+H46+I46+J46,0)</f>
        <v>47</v>
      </c>
    </row>
    <row r="47" spans="1:40" x14ac:dyDescent="0.25">
      <c r="A47" s="41" t="s">
        <v>687</v>
      </c>
      <c r="B47">
        <v>2</v>
      </c>
      <c r="C47" s="41" t="s">
        <v>688</v>
      </c>
      <c r="D47">
        <v>2</v>
      </c>
      <c r="E47" s="1" t="str">
        <f>MID(A47,1,2)</f>
        <v>דח</v>
      </c>
      <c r="F47" s="1" t="str">
        <f>MID(C47,3,2)</f>
        <v>חר</v>
      </c>
      <c r="G47" s="1" t="str">
        <f>CONCATENATE(K47,M47)</f>
        <v>דר</v>
      </c>
      <c r="H47" s="1">
        <f>VLOOKUP(K47,$W$23:$AN$40,MATCH(L47,$W$23:$AN$23,0),FALSE)</f>
        <v>4</v>
      </c>
      <c r="I47" s="1">
        <f>VLOOKUP(L47,$W$23:$AN$40,MATCH(M47,$W$23:$AN$23,0),FALSE)</f>
        <v>4</v>
      </c>
      <c r="J47" s="1">
        <f>VLOOKUP(K47,$W$23:$AN$40,MATCH(M47,$W$23:$AN$23,0),FALSE)</f>
        <v>4</v>
      </c>
      <c r="K47" s="1" t="str">
        <f>MID(A47,1,1)</f>
        <v>ד</v>
      </c>
      <c r="L47" s="1" t="str">
        <f>MID(A47,2,1)</f>
        <v>ח</v>
      </c>
      <c r="M47" s="1" t="str">
        <f>MID(A47,4,1)</f>
        <v>ר</v>
      </c>
      <c r="N47" s="1">
        <f>VLOOKUP(K47,$W:$X,2,0)</f>
        <v>14</v>
      </c>
      <c r="O47" s="1">
        <f>VLOOKUP(L47,$Z:$AA,2,0)</f>
        <v>10</v>
      </c>
      <c r="P47" s="1">
        <f>VLOOKUP(M47,$AC:$AD,2,0)</f>
        <v>14</v>
      </c>
      <c r="Q47" s="1">
        <f>IF(A47&lt;&gt;"",P47+O47+N47+H47+I47+J47,0)</f>
        <v>50</v>
      </c>
    </row>
    <row r="48" spans="1:40" x14ac:dyDescent="0.25">
      <c r="A48" s="1" t="s">
        <v>577</v>
      </c>
      <c r="B48">
        <v>3</v>
      </c>
      <c r="C48" s="1" t="s">
        <v>578</v>
      </c>
      <c r="D48">
        <v>3</v>
      </c>
      <c r="E48" s="1" t="str">
        <f>MID(A48,1,2)</f>
        <v>צר</v>
      </c>
      <c r="F48" s="1" t="str">
        <f>MID(C48,3,2)</f>
        <v>רז</v>
      </c>
      <c r="G48" s="1" t="str">
        <f>CONCATENATE(K48,M48)</f>
        <v>צז</v>
      </c>
      <c r="H48" s="1">
        <f>VLOOKUP(K48,$W$23:$AN$40,MATCH(L48,$W$23:$AN$23,0),FALSE)</f>
        <v>4</v>
      </c>
      <c r="I48" s="1">
        <f>VLOOKUP(L48,$W$23:$AN$40,MATCH(M48,$W$23:$AN$23,0),FALSE)</f>
        <v>6</v>
      </c>
      <c r="J48" s="1">
        <f>VLOOKUP(K48,$W$23:$AN$40,MATCH(M48,$W$23:$AN$23,0),FALSE)</f>
        <v>5</v>
      </c>
      <c r="K48" s="1" t="str">
        <f>MID(A48,1,1)</f>
        <v>צ</v>
      </c>
      <c r="L48" s="1" t="str">
        <f>MID(A48,2,1)</f>
        <v>ר</v>
      </c>
      <c r="M48" s="1" t="str">
        <f>MID(A48,4,1)</f>
        <v>ז</v>
      </c>
      <c r="N48" s="1">
        <f>VLOOKUP(K48,$W:$X,2,0)</f>
        <v>15</v>
      </c>
      <c r="O48" s="1">
        <f>VLOOKUP(L48,$Z:$AA,2,0)</f>
        <v>10</v>
      </c>
      <c r="P48" s="1">
        <f>VLOOKUP(M48,$AC:$AD,2,0)</f>
        <v>15</v>
      </c>
      <c r="Q48" s="1">
        <f>IF(A48&lt;&gt;"",P48+O48+N48+H48+I48+J48,0)</f>
        <v>55</v>
      </c>
    </row>
    <row r="49" spans="1:17" x14ac:dyDescent="0.25">
      <c r="A49" s="41" t="s">
        <v>757</v>
      </c>
      <c r="B49">
        <v>2</v>
      </c>
      <c r="C49" s="41" t="s">
        <v>758</v>
      </c>
      <c r="D49">
        <v>3</v>
      </c>
      <c r="E49" s="1" t="str">
        <f>MID(A49,1,2)</f>
        <v>רד</v>
      </c>
      <c r="F49" s="1" t="str">
        <f>MID(C49,3,2)</f>
        <v>דג</v>
      </c>
      <c r="G49" s="1" t="str">
        <f>CONCATENATE(K49,M49)</f>
        <v>רג</v>
      </c>
      <c r="H49" s="1">
        <f>VLOOKUP(K49,$W$23:$AN$40,MATCH(L49,$W$23:$AN$23,0),FALSE)</f>
        <v>4</v>
      </c>
      <c r="I49" s="1">
        <f>VLOOKUP(L49,$W$23:$AN$40,MATCH(M49,$W$23:$AN$23,0),FALSE)</f>
        <v>4</v>
      </c>
      <c r="J49" s="1">
        <f>VLOOKUP(K49,$W$23:$AN$40,MATCH(M49,$W$23:$AN$23,0),FALSE)</f>
        <v>2</v>
      </c>
      <c r="K49" s="1" t="str">
        <f>MID(A49,1,1)</f>
        <v>ר</v>
      </c>
      <c r="L49" s="1" t="str">
        <f>MID(A49,2,1)</f>
        <v>ד</v>
      </c>
      <c r="M49" s="1" t="str">
        <f>MID(A49,4,1)</f>
        <v>ג</v>
      </c>
      <c r="N49" s="1">
        <f>VLOOKUP(K49,$W:$X,2,0)</f>
        <v>14</v>
      </c>
      <c r="O49" s="1">
        <f>VLOOKUP(L49,$Z:$AA,2,0)</f>
        <v>10</v>
      </c>
      <c r="P49" s="1">
        <f>VLOOKUP(M49,$AC:$AD,2,0)</f>
        <v>14</v>
      </c>
      <c r="Q49" s="1">
        <f>IF(A49&lt;&gt;"",P49+O49+N49+H49+I49+J49,0)</f>
        <v>48</v>
      </c>
    </row>
    <row r="50" spans="1:17" x14ac:dyDescent="0.25">
      <c r="A50" s="41" t="s">
        <v>637</v>
      </c>
      <c r="B50">
        <v>0</v>
      </c>
      <c r="C50" s="41" t="s">
        <v>638</v>
      </c>
      <c r="D50">
        <v>2</v>
      </c>
      <c r="E50" s="1" t="str">
        <f>MID(A50,1,2)</f>
        <v>קמ</v>
      </c>
      <c r="F50" s="1" t="str">
        <f>MID(C50,3,2)</f>
        <v>מל</v>
      </c>
      <c r="G50" s="1" t="str">
        <f>CONCATENATE(K50,M50)</f>
        <v>קל</v>
      </c>
      <c r="H50" s="1">
        <f>VLOOKUP(K50,$W$23:$AN$40,MATCH(L50,$W$23:$AN$23,0),FALSE)</f>
        <v>1</v>
      </c>
      <c r="I50" s="1">
        <f>VLOOKUP(L50,$W$23:$AN$40,MATCH(M50,$W$23:$AN$23,0),FALSE)</f>
        <v>3</v>
      </c>
      <c r="J50" s="1">
        <f>VLOOKUP(K50,$W$23:$AN$40,MATCH(M50,$W$23:$AN$23,0),FALSE)</f>
        <v>3</v>
      </c>
      <c r="K50" s="1" t="str">
        <f>MID(A50,1,1)</f>
        <v>ק</v>
      </c>
      <c r="L50" s="1" t="str">
        <f>MID(A50,2,1)</f>
        <v>מ</v>
      </c>
      <c r="M50" s="1" t="str">
        <f>MID(A50,4,1)</f>
        <v>ל</v>
      </c>
      <c r="N50" s="1">
        <f>VLOOKUP(K50,$W:$X,2,0)</f>
        <v>15</v>
      </c>
      <c r="O50" s="1">
        <f>VLOOKUP(L50,$Z:$AA,2,0)</f>
        <v>10</v>
      </c>
      <c r="P50" s="1">
        <f>VLOOKUP(M50,$AC:$AD,2,0)</f>
        <v>14</v>
      </c>
      <c r="Q50" s="1">
        <f>IF(A50&lt;&gt;"",P50+O50+N50+H50+I50+J50,0)</f>
        <v>46</v>
      </c>
    </row>
    <row r="51" spans="1:17" x14ac:dyDescent="0.25">
      <c r="A51" s="41" t="s">
        <v>631</v>
      </c>
      <c r="B51">
        <v>3</v>
      </c>
      <c r="C51" s="41" t="s">
        <v>632</v>
      </c>
      <c r="D51">
        <v>2</v>
      </c>
      <c r="E51" s="1" t="str">
        <f>MID(A51,1,2)</f>
        <v>עש</v>
      </c>
      <c r="F51" s="1" t="str">
        <f>MID(C51,3,2)</f>
        <v>שט</v>
      </c>
      <c r="G51" s="1" t="str">
        <f>CONCATENATE(K51,M51)</f>
        <v>עט</v>
      </c>
      <c r="H51" s="1">
        <f>VLOOKUP(K51,$W$23:$AN$40,MATCH(L51,$W$23:$AN$23,0),FALSE)</f>
        <v>4</v>
      </c>
      <c r="I51" s="1">
        <f>VLOOKUP(L51,$W$23:$AN$40,MATCH(M51,$W$23:$AN$23,0),FALSE)</f>
        <v>3</v>
      </c>
      <c r="J51" s="1">
        <f>VLOOKUP(K51,$W$23:$AN$40,MATCH(M51,$W$23:$AN$23,0),FALSE)</f>
        <v>3</v>
      </c>
      <c r="K51" s="1" t="str">
        <f>MID(A51,1,1)</f>
        <v>ע</v>
      </c>
      <c r="L51" s="1" t="str">
        <f>MID(A51,2,1)</f>
        <v>ש</v>
      </c>
      <c r="M51" s="1" t="str">
        <f>MID(A51,4,1)</f>
        <v>ט</v>
      </c>
      <c r="N51" s="1">
        <f>VLOOKUP(K51,$W:$X,2,0)</f>
        <v>14</v>
      </c>
      <c r="O51" s="1">
        <f>VLOOKUP(L51,$Z:$AA,2,0)</f>
        <v>10</v>
      </c>
      <c r="P51" s="1">
        <f>VLOOKUP(M51,$AC:$AD,2,0)</f>
        <v>15</v>
      </c>
      <c r="Q51" s="1">
        <f>IF(A51&lt;&gt;"",P51+O51+N51+H51+I51+J51,0)</f>
        <v>49</v>
      </c>
    </row>
    <row r="52" spans="1:17" x14ac:dyDescent="0.25">
      <c r="A52" s="41" t="s">
        <v>679</v>
      </c>
      <c r="B52">
        <v>0</v>
      </c>
      <c r="C52" s="41" t="s">
        <v>680</v>
      </c>
      <c r="D52">
        <v>1</v>
      </c>
      <c r="E52" s="1" t="str">
        <f>MID(A52,1,2)</f>
        <v>טמ</v>
      </c>
      <c r="F52" s="1" t="str">
        <f>MID(C52,3,2)</f>
        <v>מח</v>
      </c>
      <c r="G52" s="1" t="str">
        <f>CONCATENATE(K52,M52)</f>
        <v>טח</v>
      </c>
      <c r="H52" s="1">
        <f>VLOOKUP(K52,$W$23:$AN$40,MATCH(L52,$W$23:$AN$23,0),FALSE)</f>
        <v>1</v>
      </c>
      <c r="I52" s="1">
        <f>VLOOKUP(L52,$W$23:$AN$40,MATCH(M52,$W$23:$AN$23,0),FALSE)</f>
        <v>2</v>
      </c>
      <c r="J52" s="1">
        <f>VLOOKUP(K52,$W$23:$AN$40,MATCH(M52,$W$23:$AN$23,0),FALSE)</f>
        <v>7</v>
      </c>
      <c r="K52" s="1" t="str">
        <f>MID(A52,1,1)</f>
        <v>ט</v>
      </c>
      <c r="L52" s="1" t="str">
        <f>MID(A52,2,1)</f>
        <v>מ</v>
      </c>
      <c r="M52" s="1" t="str">
        <f>MID(A52,4,1)</f>
        <v>ח</v>
      </c>
      <c r="N52" s="1">
        <f>VLOOKUP(K52,$W:$X,2,0)</f>
        <v>15</v>
      </c>
      <c r="O52" s="1">
        <f>VLOOKUP(L52,$Z:$AA,2,0)</f>
        <v>10</v>
      </c>
      <c r="P52" s="1">
        <f>VLOOKUP(M52,$AC:$AD,2,0)</f>
        <v>14</v>
      </c>
      <c r="Q52" s="1">
        <f>IF(A52&lt;&gt;"",P52+O52+N52+H52+I52+J52,0)</f>
        <v>49</v>
      </c>
    </row>
    <row r="53" spans="1:17" x14ac:dyDescent="0.25">
      <c r="A53" s="41" t="s">
        <v>759</v>
      </c>
      <c r="B53">
        <v>2</v>
      </c>
      <c r="C53" s="41" t="s">
        <v>760</v>
      </c>
      <c r="D53">
        <v>2</v>
      </c>
      <c r="E53" s="1" t="str">
        <f>MID(A53,1,2)</f>
        <v>סק</v>
      </c>
      <c r="F53" s="1" t="str">
        <f>MID(C53,3,2)</f>
        <v>קד</v>
      </c>
      <c r="G53" s="1" t="str">
        <f>CONCATENATE(K53,M53)</f>
        <v>סד</v>
      </c>
      <c r="H53" s="1">
        <f>VLOOKUP(K53,$W$23:$AN$40,MATCH(L53,$W$23:$AN$23,0),FALSE)</f>
        <v>5</v>
      </c>
      <c r="I53" s="1">
        <f>VLOOKUP(L53,$W$23:$AN$40,MATCH(M53,$W$23:$AN$23,0),FALSE)</f>
        <v>6</v>
      </c>
      <c r="J53" s="1">
        <f>VLOOKUP(K53,$W$23:$AN$40,MATCH(M53,$W$23:$AN$23,0),FALSE)</f>
        <v>3</v>
      </c>
      <c r="K53" s="1" t="str">
        <f>MID(A53,1,1)</f>
        <v>ס</v>
      </c>
      <c r="L53" s="1" t="str">
        <f>MID(A53,2,1)</f>
        <v>ק</v>
      </c>
      <c r="M53" s="1" t="str">
        <f>MID(A53,4,1)</f>
        <v>ד</v>
      </c>
      <c r="N53" s="1">
        <f>VLOOKUP(K53,$W:$X,2,0)</f>
        <v>14</v>
      </c>
      <c r="O53" s="1">
        <f>VLOOKUP(L53,$Z:$AA,2,0)</f>
        <v>9</v>
      </c>
      <c r="P53" s="1">
        <f>VLOOKUP(M53,$AC:$AD,2,0)</f>
        <v>15</v>
      </c>
      <c r="Q53" s="1">
        <f>IF(A53&lt;&gt;"",P53+O53+N53+H53+I53+J53,0)</f>
        <v>52</v>
      </c>
    </row>
    <row r="54" spans="1:17" x14ac:dyDescent="0.25">
      <c r="A54" s="41" t="s">
        <v>633</v>
      </c>
      <c r="B54">
        <v>2</v>
      </c>
      <c r="C54" s="41" t="s">
        <v>634</v>
      </c>
      <c r="D54">
        <v>1</v>
      </c>
      <c r="E54" s="1" t="str">
        <f>MID(A54,1,2)</f>
        <v>פת</v>
      </c>
      <c r="F54" s="1" t="str">
        <f>MID(C54,3,2)</f>
        <v>תע</v>
      </c>
      <c r="G54" s="1" t="str">
        <f>CONCATENATE(K54,M54)</f>
        <v>פע</v>
      </c>
      <c r="H54" s="1">
        <f>VLOOKUP(K54,$W$23:$AN$40,MATCH(L54,$W$23:$AN$23,0),FALSE)</f>
        <v>2</v>
      </c>
      <c r="I54" s="1">
        <f>VLOOKUP(L54,$W$23:$AN$40,MATCH(M54,$W$23:$AN$23,0),FALSE)</f>
        <v>1</v>
      </c>
      <c r="J54" s="1">
        <f>VLOOKUP(K54,$W$23:$AN$40,MATCH(M54,$W$23:$AN$23,0),FALSE)</f>
        <v>4</v>
      </c>
      <c r="K54" s="1" t="str">
        <f>MID(A54,1,1)</f>
        <v>פ</v>
      </c>
      <c r="L54" s="1" t="str">
        <f>MID(A54,2,1)</f>
        <v>ת</v>
      </c>
      <c r="M54" s="1" t="str">
        <f>MID(A54,4,1)</f>
        <v>ע</v>
      </c>
      <c r="N54" s="1">
        <f>VLOOKUP(K54,$W:$X,2,0)</f>
        <v>15</v>
      </c>
      <c r="O54" s="1">
        <f>VLOOKUP(L54,$Z:$AA,2,0)</f>
        <v>9</v>
      </c>
      <c r="P54" s="1">
        <f>VLOOKUP(M54,$AC:$AD,2,0)</f>
        <v>15</v>
      </c>
      <c r="Q54" s="1">
        <f>IF(A54&lt;&gt;"",P54+O54+N54+H54+I54+J54,0)</f>
        <v>46</v>
      </c>
    </row>
    <row r="55" spans="1:17" x14ac:dyDescent="0.25">
      <c r="A55" s="1" t="s">
        <v>554</v>
      </c>
      <c r="B55">
        <v>0</v>
      </c>
      <c r="C55" s="1" t="s">
        <v>555</v>
      </c>
      <c r="D55">
        <v>1</v>
      </c>
      <c r="E55" s="1" t="str">
        <f>MID(A55,1,2)</f>
        <v>גח</v>
      </c>
      <c r="F55" s="1" t="str">
        <f>MID(C55,3,2)</f>
        <v>חט</v>
      </c>
      <c r="G55" s="1" t="str">
        <f>CONCATENATE(K55,M55)</f>
        <v>גט</v>
      </c>
      <c r="H55" s="1">
        <f>VLOOKUP(K55,$W$23:$AN$40,MATCH(L55,$W$23:$AN$23,0),FALSE)</f>
        <v>2</v>
      </c>
      <c r="I55" s="1">
        <f>VLOOKUP(L55,$W$23:$AN$40,MATCH(M55,$W$23:$AN$23,0),FALSE)</f>
        <v>2</v>
      </c>
      <c r="J55" s="1">
        <f>VLOOKUP(K55,$W$23:$AN$40,MATCH(M55,$W$23:$AN$23,0),FALSE)</f>
        <v>4</v>
      </c>
      <c r="K55" s="1" t="str">
        <f>MID(A55,1,1)</f>
        <v>ג</v>
      </c>
      <c r="L55" s="1" t="str">
        <f>MID(A55,2,1)</f>
        <v>ח</v>
      </c>
      <c r="M55" s="1" t="str">
        <f>MID(A55,4,1)</f>
        <v>ט</v>
      </c>
      <c r="N55" s="1">
        <f>VLOOKUP(K55,$W:$X,2,0)</f>
        <v>15</v>
      </c>
      <c r="O55" s="1">
        <f>VLOOKUP(L55,$Z:$AA,2,0)</f>
        <v>10</v>
      </c>
      <c r="P55" s="1">
        <f>VLOOKUP(M55,$AC:$AD,2,0)</f>
        <v>15</v>
      </c>
      <c r="Q55" s="1">
        <f>IF(A55&lt;&gt;"",P55+O55+N55+H55+I55+J55,0)</f>
        <v>48</v>
      </c>
    </row>
    <row r="56" spans="1:17" x14ac:dyDescent="0.25">
      <c r="A56" s="1" t="s">
        <v>651</v>
      </c>
      <c r="B56">
        <v>2</v>
      </c>
      <c r="C56" s="1" t="s">
        <v>652</v>
      </c>
      <c r="D56">
        <v>3</v>
      </c>
      <c r="E56" s="1" t="str">
        <f>MID(A56,1,2)</f>
        <v>רז</v>
      </c>
      <c r="F56" s="1" t="str">
        <f>MID(C56,3,2)</f>
        <v>זד</v>
      </c>
      <c r="G56" s="1" t="str">
        <f>CONCATENATE(K56,M56)</f>
        <v>רד</v>
      </c>
      <c r="H56" s="1">
        <f>VLOOKUP(K56,$W$23:$AN$40,MATCH(L56,$W$23:$AN$23,0),FALSE)</f>
        <v>6</v>
      </c>
      <c r="I56" s="1">
        <f>VLOOKUP(L56,$W$23:$AN$40,MATCH(M56,$W$23:$AN$23,0),FALSE)</f>
        <v>4</v>
      </c>
      <c r="J56" s="1">
        <f>VLOOKUP(K56,$W$23:$AN$40,MATCH(M56,$W$23:$AN$23,0),FALSE)</f>
        <v>4</v>
      </c>
      <c r="K56" s="1" t="str">
        <f>MID(A56,1,1)</f>
        <v>ר</v>
      </c>
      <c r="L56" s="1" t="str">
        <f>MID(A56,2,1)</f>
        <v>ז</v>
      </c>
      <c r="M56" s="1" t="str">
        <f>MID(A56,4,1)</f>
        <v>ד</v>
      </c>
      <c r="N56" s="1">
        <f>VLOOKUP(K56,$W:$X,2,0)</f>
        <v>14</v>
      </c>
      <c r="O56" s="1">
        <f>VLOOKUP(L56,$Z:$AA,2,0)</f>
        <v>10</v>
      </c>
      <c r="P56" s="1">
        <f>VLOOKUP(M56,$AC:$AD,2,0)</f>
        <v>15</v>
      </c>
      <c r="Q56" s="1">
        <f>IF(A56&lt;&gt;"",P56+O56+N56+H56+I56+J56,0)</f>
        <v>53</v>
      </c>
    </row>
    <row r="57" spans="1:17" x14ac:dyDescent="0.25">
      <c r="A57" s="1" t="s">
        <v>761</v>
      </c>
      <c r="B57">
        <v>2</v>
      </c>
      <c r="C57" s="1" t="s">
        <v>762</v>
      </c>
      <c r="D57">
        <v>1</v>
      </c>
      <c r="E57" s="1" t="str">
        <f>MID(A57,1,2)</f>
        <v>טד</v>
      </c>
      <c r="F57" s="1" t="str">
        <f>MID(C57,3,2)</f>
        <v>דס</v>
      </c>
      <c r="G57" s="1" t="str">
        <f>CONCATENATE(K57,M57)</f>
        <v>טס</v>
      </c>
      <c r="H57" s="1">
        <f>VLOOKUP(K57,$W$23:$AN$40,MATCH(L57,$W$23:$AN$23,0),FALSE)</f>
        <v>4</v>
      </c>
      <c r="I57" s="1">
        <f>VLOOKUP(L57,$W$23:$AN$40,MATCH(M57,$W$23:$AN$23,0),FALSE)</f>
        <v>4</v>
      </c>
      <c r="J57" s="1">
        <f>VLOOKUP(K57,$W$23:$AN$40,MATCH(M57,$W$23:$AN$23,0),FALSE)</f>
        <v>4</v>
      </c>
      <c r="K57" s="1" t="str">
        <f>MID(A57,1,1)</f>
        <v>ט</v>
      </c>
      <c r="L57" s="1" t="str">
        <f>MID(A57,2,1)</f>
        <v>ד</v>
      </c>
      <c r="M57" s="1" t="str">
        <f>MID(A57,4,1)</f>
        <v>ס</v>
      </c>
      <c r="N57" s="1">
        <f>VLOOKUP(K57,$W:$X,2,0)</f>
        <v>15</v>
      </c>
      <c r="O57" s="1">
        <f>VLOOKUP(L57,$Z:$AA,2,0)</f>
        <v>10</v>
      </c>
      <c r="P57" s="1">
        <f>VLOOKUP(M57,$AC:$AD,2,0)</f>
        <v>15</v>
      </c>
      <c r="Q57" s="1">
        <f>IF(A57&lt;&gt;"",P57+O57+N57+H57+I57+J57,0)</f>
        <v>52</v>
      </c>
    </row>
    <row r="58" spans="1:17" x14ac:dyDescent="0.25">
      <c r="A58" s="1" t="s">
        <v>723</v>
      </c>
      <c r="B58">
        <v>1</v>
      </c>
      <c r="C58" s="1" t="s">
        <v>724</v>
      </c>
      <c r="D58">
        <v>2</v>
      </c>
      <c r="E58" s="1" t="str">
        <f>MID(A58,1,2)</f>
        <v>עס</v>
      </c>
      <c r="F58" s="1" t="str">
        <f>MID(C58,3,2)</f>
        <v>סג</v>
      </c>
      <c r="G58" s="1" t="str">
        <f>CONCATENATE(K58,M58)</f>
        <v>עג</v>
      </c>
      <c r="H58" s="1">
        <f>VLOOKUP(K58,$W$23:$AN$40,MATCH(L58,$W$23:$AN$23,0),FALSE)</f>
        <v>3</v>
      </c>
      <c r="I58" s="1">
        <f>VLOOKUP(L58,$W$23:$AN$40,MATCH(M58,$W$23:$AN$23,0),FALSE)</f>
        <v>5</v>
      </c>
      <c r="J58" s="1">
        <f>VLOOKUP(K58,$W$23:$AN$40,MATCH(M58,$W$23:$AN$23,0),FALSE)</f>
        <v>4</v>
      </c>
      <c r="K58" s="1" t="str">
        <f>MID(A58,1,1)</f>
        <v>ע</v>
      </c>
      <c r="L58" s="1" t="str">
        <f>MID(A58,2,1)</f>
        <v>ס</v>
      </c>
      <c r="M58" s="1" t="str">
        <f>MID(A58,4,1)</f>
        <v>ג</v>
      </c>
      <c r="N58" s="1">
        <f>VLOOKUP(K58,$W:$X,2,0)</f>
        <v>14</v>
      </c>
      <c r="O58" s="1">
        <f>VLOOKUP(L58,$Z:$AA,2,0)</f>
        <v>10</v>
      </c>
      <c r="P58" s="1">
        <f>VLOOKUP(M58,$AC:$AD,2,0)</f>
        <v>14</v>
      </c>
      <c r="Q58" s="1">
        <f>IF(A58&lt;&gt;"",P58+O58+N58+H58+I58+J58,0)</f>
        <v>50</v>
      </c>
    </row>
    <row r="59" spans="1:17" x14ac:dyDescent="0.25">
      <c r="A59" s="41" t="s">
        <v>673</v>
      </c>
      <c r="B59">
        <v>1</v>
      </c>
      <c r="C59" s="41" t="s">
        <v>674</v>
      </c>
      <c r="D59">
        <v>1</v>
      </c>
      <c r="E59" s="1" t="str">
        <f>MID(A59,1,2)</f>
        <v>דצ</v>
      </c>
      <c r="F59" s="1" t="str">
        <f>MID(C59,3,2)</f>
        <v>צק</v>
      </c>
      <c r="G59" s="1" t="str">
        <f>CONCATENATE(K59,M59)</f>
        <v>דק</v>
      </c>
      <c r="H59" s="1">
        <f>VLOOKUP(K59,$W$23:$AN$40,MATCH(L59,$W$23:$AN$23,0),FALSE)</f>
        <v>2</v>
      </c>
      <c r="I59" s="1">
        <f>VLOOKUP(L59,$W$23:$AN$40,MATCH(M59,$W$23:$AN$23,0),FALSE)</f>
        <v>6</v>
      </c>
      <c r="J59" s="1">
        <f>VLOOKUP(K59,$W$23:$AN$40,MATCH(M59,$W$23:$AN$23,0),FALSE)</f>
        <v>3</v>
      </c>
      <c r="K59" s="1" t="str">
        <f>MID(A59,1,1)</f>
        <v>ד</v>
      </c>
      <c r="L59" s="1" t="str">
        <f>MID(A59,2,1)</f>
        <v>צ</v>
      </c>
      <c r="M59" s="1" t="str">
        <f>MID(A59,4,1)</f>
        <v>ק</v>
      </c>
      <c r="N59" s="1">
        <f>VLOOKUP(K59,$W:$X,2,0)</f>
        <v>14</v>
      </c>
      <c r="O59" s="1">
        <f>VLOOKUP(L59,$Z:$AA,2,0)</f>
        <v>9</v>
      </c>
      <c r="P59" s="1">
        <f>VLOOKUP(M59,$AC:$AD,2,0)</f>
        <v>15</v>
      </c>
      <c r="Q59" s="1">
        <f>IF(A59&lt;&gt;"",P59+O59+N59+H59+I59+J59,0)</f>
        <v>49</v>
      </c>
    </row>
    <row r="60" spans="1:17" x14ac:dyDescent="0.25">
      <c r="A60" s="1" t="s">
        <v>689</v>
      </c>
      <c r="B60">
        <v>1</v>
      </c>
      <c r="C60" s="1" t="s">
        <v>690</v>
      </c>
      <c r="D60">
        <v>0</v>
      </c>
      <c r="E60" s="1" t="str">
        <f>MID(A60,1,2)</f>
        <v>חט</v>
      </c>
      <c r="F60" s="1" t="str">
        <f>MID(C60,3,2)</f>
        <v>טז</v>
      </c>
      <c r="G60" s="1" t="str">
        <f>CONCATENATE(K60,M60)</f>
        <v>חז</v>
      </c>
      <c r="H60" s="1">
        <f>VLOOKUP(K60,$W$23:$AN$40,MATCH(L60,$W$23:$AN$23,0),FALSE)</f>
        <v>2</v>
      </c>
      <c r="I60" s="1">
        <f>VLOOKUP(L60,$W$23:$AN$40,MATCH(M60,$W$23:$AN$23,0),FALSE)</f>
        <v>4</v>
      </c>
      <c r="J60" s="1">
        <f>VLOOKUP(K60,$W$23:$AN$40,MATCH(M60,$W$23:$AN$23,0),FALSE)</f>
        <v>5</v>
      </c>
      <c r="K60" s="1" t="str">
        <f>MID(A60,1,1)</f>
        <v>ח</v>
      </c>
      <c r="L60" s="1" t="str">
        <f>MID(A60,2,1)</f>
        <v>ט</v>
      </c>
      <c r="M60" s="1" t="str">
        <f>MID(A60,4,1)</f>
        <v>ז</v>
      </c>
      <c r="N60" s="1">
        <f>VLOOKUP(K60,$W:$X,2,0)</f>
        <v>14</v>
      </c>
      <c r="O60" s="1">
        <f>VLOOKUP(L60,$Z:$AA,2,0)</f>
        <v>9</v>
      </c>
      <c r="P60" s="1">
        <f>VLOOKUP(M60,$AC:$AD,2,0)</f>
        <v>15</v>
      </c>
      <c r="Q60" s="1">
        <f>IF(A60&lt;&gt;"",P60+O60+N60+H60+I60+J60,0)</f>
        <v>49</v>
      </c>
    </row>
    <row r="61" spans="1:17" x14ac:dyDescent="0.25">
      <c r="A61" s="41" t="s">
        <v>707</v>
      </c>
      <c r="B61">
        <v>1</v>
      </c>
      <c r="C61" s="41" t="s">
        <v>708</v>
      </c>
      <c r="D61">
        <v>1</v>
      </c>
      <c r="E61" s="1" t="str">
        <f>MID(A61,1,2)</f>
        <v>גע</v>
      </c>
      <c r="F61" s="1" t="str">
        <f>MID(C61,3,2)</f>
        <v>עח</v>
      </c>
      <c r="G61" s="1" t="str">
        <f>CONCATENATE(K61,M61)</f>
        <v>גח</v>
      </c>
      <c r="H61" s="1">
        <f>VLOOKUP(K61,$W$23:$AN$40,MATCH(L61,$W$23:$AN$23,0),FALSE)</f>
        <v>6</v>
      </c>
      <c r="I61" s="1">
        <f>VLOOKUP(L61,$W$23:$AN$40,MATCH(M61,$W$23:$AN$23,0),FALSE)</f>
        <v>2</v>
      </c>
      <c r="J61" s="1">
        <f>VLOOKUP(K61,$W$23:$AN$40,MATCH(M61,$W$23:$AN$23,0),FALSE)</f>
        <v>2</v>
      </c>
      <c r="K61" s="1" t="str">
        <f>MID(A61,1,1)</f>
        <v>ג</v>
      </c>
      <c r="L61" s="1" t="str">
        <f>MID(A61,2,1)</f>
        <v>ע</v>
      </c>
      <c r="M61" s="1" t="str">
        <f>MID(A61,4,1)</f>
        <v>ח</v>
      </c>
      <c r="N61" s="1">
        <f>VLOOKUP(K61,$W:$X,2,0)</f>
        <v>15</v>
      </c>
      <c r="O61" s="1">
        <f>VLOOKUP(L61,$Z:$AA,2,0)</f>
        <v>8</v>
      </c>
      <c r="P61" s="1">
        <f>VLOOKUP(M61,$AC:$AD,2,0)</f>
        <v>14</v>
      </c>
      <c r="Q61" s="1">
        <f>IF(A61&lt;&gt;"",P61+O61+N61+H61+I61+J61,0)</f>
        <v>47</v>
      </c>
    </row>
    <row r="62" spans="1:17" x14ac:dyDescent="0.25">
      <c r="A62" s="41" t="s">
        <v>763</v>
      </c>
      <c r="B62">
        <v>3</v>
      </c>
      <c r="C62" s="41" t="s">
        <v>764</v>
      </c>
      <c r="D62">
        <v>4</v>
      </c>
      <c r="E62" s="1" t="str">
        <f>MID(A62,1,2)</f>
        <v>סל</v>
      </c>
      <c r="F62" s="1" t="str">
        <f>MID(C62,3,2)</f>
        <v>לש</v>
      </c>
      <c r="G62" s="1" t="str">
        <f>CONCATENATE(K62,M62)</f>
        <v>סש</v>
      </c>
      <c r="H62" s="1">
        <f>VLOOKUP(K62,$W$23:$AN$40,MATCH(L62,$W$23:$AN$23,0),FALSE)</f>
        <v>3</v>
      </c>
      <c r="I62" s="1">
        <f>VLOOKUP(L62,$W$23:$AN$40,MATCH(M62,$W$23:$AN$23,0),FALSE)</f>
        <v>2</v>
      </c>
      <c r="J62" s="1">
        <f>VLOOKUP(K62,$W$23:$AN$40,MATCH(M62,$W$23:$AN$23,0),FALSE)</f>
        <v>6</v>
      </c>
      <c r="K62" s="1" t="str">
        <f>MID(A62,1,1)</f>
        <v>ס</v>
      </c>
      <c r="L62" s="1" t="str">
        <f>MID(A62,2,1)</f>
        <v>ל</v>
      </c>
      <c r="M62" s="1" t="str">
        <f>MID(A62,4,1)</f>
        <v>ש</v>
      </c>
      <c r="N62" s="1">
        <f>VLOOKUP(K62,$W:$X,2,0)</f>
        <v>14</v>
      </c>
      <c r="O62" s="1">
        <f>VLOOKUP(L62,$Z:$AA,2,0)</f>
        <v>9</v>
      </c>
      <c r="P62" s="1">
        <f>VLOOKUP(M62,$AC:$AD,2,0)</f>
        <v>14</v>
      </c>
      <c r="Q62" s="1">
        <f>IF(A62&lt;&gt;"",P62+O62+N62+H62+I62+J62,0)</f>
        <v>48</v>
      </c>
    </row>
    <row r="63" spans="1:17" x14ac:dyDescent="0.25">
      <c r="A63" s="1" t="s">
        <v>715</v>
      </c>
      <c r="B63">
        <v>2</v>
      </c>
      <c r="C63" s="1" t="s">
        <v>716</v>
      </c>
      <c r="D63">
        <v>1</v>
      </c>
      <c r="E63" s="1" t="str">
        <f>MID(A63,1,2)</f>
        <v>פר</v>
      </c>
      <c r="F63" s="1" t="str">
        <f>MID(C63,3,2)</f>
        <v>רל</v>
      </c>
      <c r="G63" s="1" t="str">
        <f>CONCATENATE(K63,M63)</f>
        <v>פל</v>
      </c>
      <c r="H63" s="1">
        <f>VLOOKUP(K63,$W$23:$AN$40,MATCH(L63,$W$23:$AN$23,0),FALSE)</f>
        <v>4</v>
      </c>
      <c r="I63" s="1">
        <f>VLOOKUP(L63,$W$23:$AN$40,MATCH(M63,$W$23:$AN$23,0),FALSE)</f>
        <v>2</v>
      </c>
      <c r="J63" s="1">
        <f>VLOOKUP(K63,$W$23:$AN$40,MATCH(M63,$W$23:$AN$23,0),FALSE)</f>
        <v>5</v>
      </c>
      <c r="K63" s="1" t="str">
        <f>MID(A63,1,1)</f>
        <v>פ</v>
      </c>
      <c r="L63" s="1" t="str">
        <f>MID(A63,2,1)</f>
        <v>ר</v>
      </c>
      <c r="M63" s="1" t="str">
        <f>MID(A63,4,1)</f>
        <v>ל</v>
      </c>
      <c r="N63" s="1">
        <f>VLOOKUP(K63,$W:$X,2,0)</f>
        <v>15</v>
      </c>
      <c r="O63" s="1">
        <f>VLOOKUP(L63,$Z:$AA,2,0)</f>
        <v>10</v>
      </c>
      <c r="P63" s="1">
        <f>VLOOKUP(M63,$AC:$AD,2,0)</f>
        <v>14</v>
      </c>
      <c r="Q63" s="1">
        <f>IF(A63&lt;&gt;"",P63+O63+N63+H63+I63+J63,0)</f>
        <v>50</v>
      </c>
    </row>
    <row r="64" spans="1:17" x14ac:dyDescent="0.25">
      <c r="A64" s="41" t="s">
        <v>765</v>
      </c>
      <c r="B64">
        <v>2</v>
      </c>
      <c r="C64" s="41" t="s">
        <v>766</v>
      </c>
      <c r="D64">
        <v>1</v>
      </c>
      <c r="E64" s="1" t="str">
        <f>MID(A64,1,2)</f>
        <v>צג</v>
      </c>
      <c r="F64" s="1" t="str">
        <f>MID(C64,3,2)</f>
        <v>גע</v>
      </c>
      <c r="G64" s="1" t="str">
        <f>CONCATENATE(K64,M64)</f>
        <v>צע</v>
      </c>
      <c r="H64" s="1">
        <f>VLOOKUP(K64,$W$23:$AN$40,MATCH(L64,$W$23:$AN$23,0),FALSE)</f>
        <v>2</v>
      </c>
      <c r="I64" s="1">
        <f>VLOOKUP(L64,$W$23:$AN$40,MATCH(M64,$W$23:$AN$23,0),FALSE)</f>
        <v>6</v>
      </c>
      <c r="J64" s="1">
        <f>VLOOKUP(K64,$W$23:$AN$40,MATCH(M64,$W$23:$AN$23,0),FALSE)</f>
        <v>2</v>
      </c>
      <c r="K64" s="1" t="str">
        <f>MID(A64,1,1)</f>
        <v>צ</v>
      </c>
      <c r="L64" s="1" t="str">
        <f>MID(A64,2,1)</f>
        <v>ג</v>
      </c>
      <c r="M64" s="1" t="str">
        <f>MID(A64,4,1)</f>
        <v>ע</v>
      </c>
      <c r="N64" s="1">
        <f>VLOOKUP(K64,$W:$X,2,0)</f>
        <v>15</v>
      </c>
      <c r="O64" s="1">
        <f>VLOOKUP(L64,$Z:$AA,2,0)</f>
        <v>9</v>
      </c>
      <c r="P64" s="1">
        <f>VLOOKUP(M64,$AC:$AD,2,0)</f>
        <v>15</v>
      </c>
      <c r="Q64" s="1">
        <f>IF(A64&lt;&gt;"",P64+O64+N64+H64+I64+J64,0)</f>
        <v>49</v>
      </c>
    </row>
    <row r="65" spans="1:17" x14ac:dyDescent="0.25">
      <c r="A65" s="41" t="s">
        <v>579</v>
      </c>
      <c r="B65">
        <v>3</v>
      </c>
      <c r="C65" s="41" t="s">
        <v>580</v>
      </c>
      <c r="D65">
        <v>1</v>
      </c>
      <c r="E65" s="1" t="str">
        <f>MID(A65,1,2)</f>
        <v>קש</v>
      </c>
      <c r="F65" s="1" t="str">
        <f>MID(C65,3,2)</f>
        <v>שס</v>
      </c>
      <c r="G65" s="1" t="str">
        <f>CONCATENATE(K65,M65)</f>
        <v>קס</v>
      </c>
      <c r="H65" s="1">
        <f>VLOOKUP(K65,$W$23:$AN$40,MATCH(L65,$W$23:$AN$23,0),FALSE)</f>
        <v>2</v>
      </c>
      <c r="I65" s="1">
        <f>VLOOKUP(L65,$W$23:$AN$40,MATCH(M65,$W$23:$AN$23,0),FALSE)</f>
        <v>2</v>
      </c>
      <c r="J65" s="1">
        <f>VLOOKUP(K65,$W$23:$AN$40,MATCH(M65,$W$23:$AN$23,0),FALSE)</f>
        <v>4</v>
      </c>
      <c r="K65" s="1" t="str">
        <f>MID(A65,1,1)</f>
        <v>ק</v>
      </c>
      <c r="L65" s="1" t="str">
        <f>MID(A65,2,1)</f>
        <v>ש</v>
      </c>
      <c r="M65" s="1" t="str">
        <f>MID(A65,4,1)</f>
        <v>ס</v>
      </c>
      <c r="N65" s="1">
        <f>VLOOKUP(K65,$W:$X,2,0)</f>
        <v>15</v>
      </c>
      <c r="O65" s="1">
        <f>VLOOKUP(L65,$Z:$AA,2,0)</f>
        <v>10</v>
      </c>
      <c r="P65" s="1">
        <f>VLOOKUP(M65,$AC:$AD,2,0)</f>
        <v>15</v>
      </c>
      <c r="Q65" s="1">
        <f>IF(A65&lt;&gt;"",P65+O65+N65+H65+I65+J65,0)</f>
        <v>48</v>
      </c>
    </row>
    <row r="66" spans="1:17" x14ac:dyDescent="0.25">
      <c r="A66" s="1" t="s">
        <v>550</v>
      </c>
      <c r="B66">
        <v>1</v>
      </c>
      <c r="C66" s="1" t="s">
        <v>551</v>
      </c>
      <c r="D66">
        <v>1</v>
      </c>
      <c r="E66" s="1" t="str">
        <f>MID(A66,1,2)</f>
        <v>זפ</v>
      </c>
      <c r="F66" s="1" t="str">
        <f>MID(C66,3,2)</f>
        <v>פר</v>
      </c>
      <c r="G66" s="1" t="str">
        <f>CONCATENATE(K66,M66)</f>
        <v>זר</v>
      </c>
      <c r="H66" s="1">
        <f>VLOOKUP(K66,$W$23:$AN$40,MATCH(L66,$W$23:$AN$23,0),FALSE)</f>
        <v>2</v>
      </c>
      <c r="I66" s="1">
        <f>VLOOKUP(L66,$W$23:$AN$40,MATCH(M66,$W$23:$AN$23,0),FALSE)</f>
        <v>4</v>
      </c>
      <c r="J66" s="1">
        <f>VLOOKUP(K66,$W$23:$AN$40,MATCH(M66,$W$23:$AN$23,0),FALSE)</f>
        <v>5</v>
      </c>
      <c r="K66" s="1" t="str">
        <f>MID(A66,1,1)</f>
        <v>ז</v>
      </c>
      <c r="L66" s="1" t="str">
        <f>MID(A66,2,1)</f>
        <v>פ</v>
      </c>
      <c r="M66" s="1" t="str">
        <f>MID(A66,4,1)</f>
        <v>ר</v>
      </c>
      <c r="N66" s="1">
        <f>VLOOKUP(K66,$W:$X,2,0)</f>
        <v>15</v>
      </c>
      <c r="O66" s="1">
        <f>VLOOKUP(L66,$Z:$AA,2,0)</f>
        <v>10</v>
      </c>
      <c r="P66" s="1">
        <f>VLOOKUP(M66,$AC:$AD,2,0)</f>
        <v>14</v>
      </c>
      <c r="Q66" s="1">
        <f>IF(A66&lt;&gt;"",P66+O66+N66+H66+I66+J66,0)</f>
        <v>50</v>
      </c>
    </row>
    <row r="67" spans="1:17" x14ac:dyDescent="0.25">
      <c r="A67" s="1" t="s">
        <v>767</v>
      </c>
      <c r="B67">
        <v>0</v>
      </c>
      <c r="C67" s="1" t="s">
        <v>768</v>
      </c>
      <c r="D67">
        <v>2</v>
      </c>
      <c r="E67" s="1" t="str">
        <f>MID(A67,1,2)</f>
        <v>קכ</v>
      </c>
      <c r="F67" s="1" t="str">
        <f>MID(C67,3,2)</f>
        <v>כח</v>
      </c>
      <c r="G67" s="1" t="str">
        <f>CONCATENATE(K67,M67)</f>
        <v>קח</v>
      </c>
      <c r="H67" s="1">
        <f>VLOOKUP(K67,$W$23:$AN$40,MATCH(L67,$W$23:$AN$23,0),FALSE)</f>
        <v>2</v>
      </c>
      <c r="I67" s="1">
        <f>VLOOKUP(L67,$W$23:$AN$40,MATCH(M67,$W$23:$AN$23,0),FALSE)</f>
        <v>2</v>
      </c>
      <c r="J67" s="1">
        <f>VLOOKUP(K67,$W$23:$AN$40,MATCH(M67,$W$23:$AN$23,0),FALSE)</f>
        <v>2</v>
      </c>
      <c r="K67" s="1" t="str">
        <f>MID(A67,1,1)</f>
        <v>ק</v>
      </c>
      <c r="L67" s="1" t="str">
        <f>MID(A67,2,1)</f>
        <v>כ</v>
      </c>
      <c r="M67" s="1" t="str">
        <f>MID(A67,4,1)</f>
        <v>ח</v>
      </c>
      <c r="N67" s="1">
        <f>VLOOKUP(K67,$W:$X,2,0)</f>
        <v>15</v>
      </c>
      <c r="O67" s="1">
        <f>VLOOKUP(L67,$Z:$AA,2,0)</f>
        <v>9</v>
      </c>
      <c r="P67" s="1">
        <f>VLOOKUP(M67,$AC:$AD,2,0)</f>
        <v>14</v>
      </c>
      <c r="Q67" s="1">
        <f>IF(A67&lt;&gt;"",P67+O67+N67+H67+I67+J67,0)</f>
        <v>44</v>
      </c>
    </row>
    <row r="68" spans="1:17" x14ac:dyDescent="0.25">
      <c r="A68" s="1" t="s">
        <v>693</v>
      </c>
      <c r="B68">
        <v>1</v>
      </c>
      <c r="C68" s="1" t="s">
        <v>694</v>
      </c>
      <c r="D68">
        <v>2</v>
      </c>
      <c r="E68" s="1" t="str">
        <f>MID(A68,1,2)</f>
        <v>דנ</v>
      </c>
      <c r="F68" s="1" t="str">
        <f>MID(C68,3,2)</f>
        <v>נס</v>
      </c>
      <c r="G68" s="1" t="str">
        <f>CONCATENATE(K68,M68)</f>
        <v>דס</v>
      </c>
      <c r="H68" s="1">
        <f>VLOOKUP(K68,$W$23:$AN$40,MATCH(L68,$W$23:$AN$23,0),FALSE)</f>
        <v>1</v>
      </c>
      <c r="I68" s="1">
        <f>VLOOKUP(L68,$W$23:$AN$40,MATCH(M68,$W$23:$AN$23,0),FALSE)</f>
        <v>1</v>
      </c>
      <c r="J68" s="1">
        <f>VLOOKUP(K68,$W$23:$AN$40,MATCH(M68,$W$23:$AN$23,0),FALSE)</f>
        <v>4</v>
      </c>
      <c r="K68" s="1" t="str">
        <f>MID(A68,1,1)</f>
        <v>ד</v>
      </c>
      <c r="L68" s="1" t="str">
        <f>MID(A68,2,1)</f>
        <v>נ</v>
      </c>
      <c r="M68" s="1" t="str">
        <f>MID(A68,4,1)</f>
        <v>ס</v>
      </c>
      <c r="N68" s="1">
        <f>VLOOKUP(K68,$W:$X,2,0)</f>
        <v>14</v>
      </c>
      <c r="O68" s="1">
        <f>VLOOKUP(L68,$Z:$AA,2,0)</f>
        <v>9</v>
      </c>
      <c r="P68" s="1">
        <f>VLOOKUP(M68,$AC:$AD,2,0)</f>
        <v>15</v>
      </c>
      <c r="Q68" s="1">
        <f>IF(A68&lt;&gt;"",P68+O68+N68+H68+I68+J68,0)</f>
        <v>44</v>
      </c>
    </row>
    <row r="69" spans="1:17" x14ac:dyDescent="0.25">
      <c r="A69" s="41" t="s">
        <v>683</v>
      </c>
      <c r="B69">
        <v>2</v>
      </c>
      <c r="C69" s="41" t="s">
        <v>684</v>
      </c>
      <c r="D69">
        <v>2</v>
      </c>
      <c r="E69" s="1" t="str">
        <f>MID(A69,1,2)</f>
        <v>רד</v>
      </c>
      <c r="F69" s="1" t="str">
        <f>MID(C69,3,2)</f>
        <v>דט</v>
      </c>
      <c r="G69" s="1" t="str">
        <f>CONCATENATE(K69,M69)</f>
        <v>רט</v>
      </c>
      <c r="H69" s="1">
        <f>VLOOKUP(K69,$W$23:$AN$40,MATCH(L69,$W$23:$AN$23,0),FALSE)</f>
        <v>4</v>
      </c>
      <c r="I69" s="1">
        <f>VLOOKUP(L69,$W$23:$AN$40,MATCH(M69,$W$23:$AN$23,0),FALSE)</f>
        <v>4</v>
      </c>
      <c r="J69" s="1">
        <f>VLOOKUP(K69,$W$23:$AN$40,MATCH(M69,$W$23:$AN$23,0),FALSE)</f>
        <v>3</v>
      </c>
      <c r="K69" s="1" t="str">
        <f>MID(A69,1,1)</f>
        <v>ר</v>
      </c>
      <c r="L69" s="1" t="str">
        <f>MID(A69,2,1)</f>
        <v>ד</v>
      </c>
      <c r="M69" s="1" t="str">
        <f>MID(A69,4,1)</f>
        <v>ט</v>
      </c>
      <c r="N69" s="1">
        <f>VLOOKUP(K69,$W:$X,2,0)</f>
        <v>14</v>
      </c>
      <c r="O69" s="1">
        <f>VLOOKUP(L69,$Z:$AA,2,0)</f>
        <v>10</v>
      </c>
      <c r="P69" s="1">
        <f>VLOOKUP(M69,$AC:$AD,2,0)</f>
        <v>15</v>
      </c>
      <c r="Q69" s="1">
        <f>IF(A69&lt;&gt;"",P69+O69+N69+H69+I69+J69,0)</f>
        <v>50</v>
      </c>
    </row>
    <row r="70" spans="1:17" x14ac:dyDescent="0.25">
      <c r="A70" s="1" t="s">
        <v>711</v>
      </c>
      <c r="B70">
        <v>1</v>
      </c>
      <c r="C70" s="1" t="s">
        <v>712</v>
      </c>
      <c r="D70">
        <v>2</v>
      </c>
      <c r="E70" s="1" t="str">
        <f>MID(A70,1,2)</f>
        <v>צס</v>
      </c>
      <c r="F70" s="1" t="str">
        <f>MID(C70,3,2)</f>
        <v>סש</v>
      </c>
      <c r="G70" s="1" t="str">
        <f>CONCATENATE(K70,M70)</f>
        <v>צש</v>
      </c>
      <c r="H70" s="1">
        <f>VLOOKUP(K70,$W$23:$AN$40,MATCH(L70,$W$23:$AN$23,0),FALSE)</f>
        <v>6</v>
      </c>
      <c r="I70" s="1">
        <f>VLOOKUP(L70,$W$23:$AN$40,MATCH(M70,$W$23:$AN$23,0),FALSE)</f>
        <v>6</v>
      </c>
      <c r="J70" s="1">
        <f>VLOOKUP(K70,$W$23:$AN$40,MATCH(M70,$W$23:$AN$23,0),FALSE)</f>
        <v>1</v>
      </c>
      <c r="K70" s="1" t="str">
        <f>MID(A70,1,1)</f>
        <v>צ</v>
      </c>
      <c r="L70" s="1" t="str">
        <f>MID(A70,2,1)</f>
        <v>ס</v>
      </c>
      <c r="M70" s="1" t="str">
        <f>MID(A70,4,1)</f>
        <v>ש</v>
      </c>
      <c r="N70" s="1">
        <f>VLOOKUP(K70,$W:$X,2,0)</f>
        <v>15</v>
      </c>
      <c r="O70" s="1">
        <f>VLOOKUP(L70,$Z:$AA,2,0)</f>
        <v>10</v>
      </c>
      <c r="P70" s="1">
        <f>VLOOKUP(M70,$AC:$AD,2,0)</f>
        <v>14</v>
      </c>
      <c r="Q70" s="1">
        <f>IF(A70&lt;&gt;"",P70+O70+N70+H70+I70+J70,0)</f>
        <v>52</v>
      </c>
    </row>
    <row r="71" spans="1:17" x14ac:dyDescent="0.25">
      <c r="A71" s="1" t="s">
        <v>613</v>
      </c>
      <c r="B71">
        <v>2</v>
      </c>
      <c r="C71" s="1" t="s">
        <v>614</v>
      </c>
      <c r="D71">
        <v>2</v>
      </c>
      <c r="E71" s="1" t="str">
        <f>MID(A71,1,2)</f>
        <v>גצ</v>
      </c>
      <c r="F71" s="1" t="str">
        <f>MID(C71,3,2)</f>
        <v>צר</v>
      </c>
      <c r="G71" s="1" t="str">
        <f>CONCATENATE(K71,M71)</f>
        <v>גר</v>
      </c>
      <c r="H71" s="1">
        <f>VLOOKUP(K71,$W$23:$AN$40,MATCH(L71,$W$23:$AN$23,0),FALSE)</f>
        <v>1</v>
      </c>
      <c r="I71" s="1">
        <f>VLOOKUP(L71,$W$23:$AN$40,MATCH(M71,$W$23:$AN$23,0),FALSE)</f>
        <v>4</v>
      </c>
      <c r="J71" s="1">
        <f>VLOOKUP(K71,$W$23:$AN$40,MATCH(M71,$W$23:$AN$23,0),FALSE)</f>
        <v>5</v>
      </c>
      <c r="K71" s="1" t="str">
        <f>MID(A71,1,1)</f>
        <v>ג</v>
      </c>
      <c r="L71" s="1" t="str">
        <f>MID(A71,2,1)</f>
        <v>צ</v>
      </c>
      <c r="M71" s="1" t="str">
        <f>MID(A71,4,1)</f>
        <v>ר</v>
      </c>
      <c r="N71" s="1">
        <f>VLOOKUP(K71,$W:$X,2,0)</f>
        <v>15</v>
      </c>
      <c r="O71" s="1">
        <f>VLOOKUP(L71,$Z:$AA,2,0)</f>
        <v>9</v>
      </c>
      <c r="P71" s="1">
        <f>VLOOKUP(M71,$AC:$AD,2,0)</f>
        <v>14</v>
      </c>
      <c r="Q71" s="1">
        <f>IF(A71&lt;&gt;"",P71+O71+N71+H71+I71+J71,0)</f>
        <v>48</v>
      </c>
    </row>
    <row r="72" spans="1:17" x14ac:dyDescent="0.25">
      <c r="A72" s="41" t="s">
        <v>705</v>
      </c>
      <c r="B72">
        <v>0</v>
      </c>
      <c r="C72" s="41" t="s">
        <v>706</v>
      </c>
      <c r="D72">
        <v>1</v>
      </c>
      <c r="E72" s="1" t="str">
        <f>MID(A72,1,2)</f>
        <v>חמ</v>
      </c>
      <c r="F72" s="1" t="str">
        <f>MID(C72,3,2)</f>
        <v>מל</v>
      </c>
      <c r="G72" s="1" t="str">
        <f>CONCATENATE(K72,M72)</f>
        <v>חל</v>
      </c>
      <c r="H72" s="1">
        <f>VLOOKUP(K72,$W$23:$AN$40,MATCH(L72,$W$23:$AN$23,0),FALSE)</f>
        <v>1</v>
      </c>
      <c r="I72" s="1">
        <f>VLOOKUP(L72,$W$23:$AN$40,MATCH(M72,$W$23:$AN$23,0),FALSE)</f>
        <v>3</v>
      </c>
      <c r="J72" s="1">
        <f>VLOOKUP(K72,$W$23:$AN$40,MATCH(M72,$W$23:$AN$23,0),FALSE)</f>
        <v>1</v>
      </c>
      <c r="K72" s="1" t="str">
        <f>MID(A72,1,1)</f>
        <v>ח</v>
      </c>
      <c r="L72" s="1" t="str">
        <f>MID(A72,2,1)</f>
        <v>מ</v>
      </c>
      <c r="M72" s="1" t="str">
        <f>MID(A72,4,1)</f>
        <v>ל</v>
      </c>
      <c r="N72" s="1">
        <f>VLOOKUP(K72,$W:$X,2,0)</f>
        <v>14</v>
      </c>
      <c r="O72" s="1">
        <f>VLOOKUP(L72,$Z:$AA,2,0)</f>
        <v>10</v>
      </c>
      <c r="P72" s="1">
        <f>VLOOKUP(M72,$AC:$AD,2,0)</f>
        <v>14</v>
      </c>
      <c r="Q72" s="1">
        <f>IF(A72&lt;&gt;"",P72+O72+N72+H72+I72+J72,0)</f>
        <v>43</v>
      </c>
    </row>
    <row r="73" spans="1:17" x14ac:dyDescent="0.25">
      <c r="A73" s="41" t="s">
        <v>697</v>
      </c>
      <c r="B73">
        <v>0</v>
      </c>
      <c r="C73" s="41" t="s">
        <v>698</v>
      </c>
      <c r="D73">
        <v>1</v>
      </c>
      <c r="E73" s="1" t="str">
        <f>MID(A73,1,2)</f>
        <v>ספ</v>
      </c>
      <c r="F73" s="1" t="str">
        <f>MID(C73,3,2)</f>
        <v>פע</v>
      </c>
      <c r="G73" s="1" t="str">
        <f>CONCATENATE(K73,M73)</f>
        <v>סע</v>
      </c>
      <c r="H73" s="1">
        <f>VLOOKUP(K73,$W$23:$AN$40,MATCH(L73,$W$23:$AN$23,0),FALSE)</f>
        <v>2</v>
      </c>
      <c r="I73" s="1">
        <f>VLOOKUP(L73,$W$23:$AN$40,MATCH(M73,$W$23:$AN$23,0),FALSE)</f>
        <v>4</v>
      </c>
      <c r="J73" s="1">
        <f>VLOOKUP(K73,$W$23:$AN$40,MATCH(M73,$W$23:$AN$23,0),FALSE)</f>
        <v>2</v>
      </c>
      <c r="K73" s="1" t="str">
        <f>MID(A73,1,1)</f>
        <v>ס</v>
      </c>
      <c r="L73" s="1" t="str">
        <f>MID(A73,2,1)</f>
        <v>פ</v>
      </c>
      <c r="M73" s="1" t="str">
        <f>MID(A73,4,1)</f>
        <v>ע</v>
      </c>
      <c r="N73" s="1">
        <f>VLOOKUP(K73,$W:$X,2,0)</f>
        <v>14</v>
      </c>
      <c r="O73" s="1">
        <f>VLOOKUP(L73,$Z:$AA,2,0)</f>
        <v>10</v>
      </c>
      <c r="P73" s="1">
        <f>VLOOKUP(M73,$AC:$AD,2,0)</f>
        <v>15</v>
      </c>
      <c r="Q73" s="1">
        <f>IF(A73&lt;&gt;"",P73+O73+N73+H73+I73+J73,0)</f>
        <v>47</v>
      </c>
    </row>
    <row r="74" spans="1:17" x14ac:dyDescent="0.25">
      <c r="A74" s="1" t="s">
        <v>667</v>
      </c>
      <c r="B74">
        <v>2</v>
      </c>
      <c r="C74" s="1" t="s">
        <v>668</v>
      </c>
      <c r="D74">
        <v>0</v>
      </c>
      <c r="E74" s="1" t="str">
        <f>MID(A74,1,2)</f>
        <v>פג</v>
      </c>
      <c r="F74" s="1" t="str">
        <f>MID(C74,3,2)</f>
        <v>גק</v>
      </c>
      <c r="G74" s="1" t="str">
        <f>CONCATENATE(K74,M74)</f>
        <v>פק</v>
      </c>
      <c r="H74" s="1">
        <f>VLOOKUP(K74,$W$23:$AN$40,MATCH(L74,$W$23:$AN$23,0),FALSE)</f>
        <v>1</v>
      </c>
      <c r="I74" s="1">
        <f>VLOOKUP(L74,$W$23:$AN$40,MATCH(M74,$W$23:$AN$23,0),FALSE)</f>
        <v>3</v>
      </c>
      <c r="J74" s="1">
        <f>VLOOKUP(K74,$W$23:$AN$40,MATCH(M74,$W$23:$AN$23,0),FALSE)</f>
        <v>4</v>
      </c>
      <c r="K74" s="1" t="str">
        <f>MID(A74,1,1)</f>
        <v>פ</v>
      </c>
      <c r="L74" s="1" t="str">
        <f>MID(A74,2,1)</f>
        <v>ג</v>
      </c>
      <c r="M74" s="1" t="str">
        <f>MID(A74,4,1)</f>
        <v>ק</v>
      </c>
      <c r="N74" s="1">
        <f>VLOOKUP(K74,$W:$X,2,0)</f>
        <v>15</v>
      </c>
      <c r="O74" s="1">
        <f>VLOOKUP(L74,$Z:$AA,2,0)</f>
        <v>9</v>
      </c>
      <c r="P74" s="1">
        <f>VLOOKUP(M74,$AC:$AD,2,0)</f>
        <v>15</v>
      </c>
      <c r="Q74" s="1">
        <f>IF(A74&lt;&gt;"",P74+O74+N74+H74+I74+J74,0)</f>
        <v>47</v>
      </c>
    </row>
    <row r="75" spans="1:17" x14ac:dyDescent="0.25">
      <c r="A75" s="1" t="s">
        <v>661</v>
      </c>
      <c r="B75">
        <v>0</v>
      </c>
      <c r="C75" s="1" t="s">
        <v>662</v>
      </c>
      <c r="D75">
        <v>2</v>
      </c>
      <c r="E75" s="1" t="str">
        <f>MID(A75,1,2)</f>
        <v>זח</v>
      </c>
      <c r="F75" s="1" t="str">
        <f>MID(C75,3,2)</f>
        <v>חג</v>
      </c>
      <c r="G75" s="1" t="str">
        <f>CONCATENATE(K75,M75)</f>
        <v>זג</v>
      </c>
      <c r="H75" s="1">
        <f>VLOOKUP(K75,$W$23:$AN$40,MATCH(L75,$W$23:$AN$23,0),FALSE)</f>
        <v>3</v>
      </c>
      <c r="I75" s="1">
        <f>VLOOKUP(L75,$W$23:$AN$40,MATCH(M75,$W$23:$AN$23,0),FALSE)</f>
        <v>4</v>
      </c>
      <c r="J75" s="1">
        <f>VLOOKUP(K75,$W$23:$AN$40,MATCH(M75,$W$23:$AN$23,0),FALSE)</f>
        <v>6</v>
      </c>
      <c r="K75" s="1" t="str">
        <f>MID(A75,1,1)</f>
        <v>ז</v>
      </c>
      <c r="L75" s="1" t="str">
        <f>MID(A75,2,1)</f>
        <v>ח</v>
      </c>
      <c r="M75" s="1" t="str">
        <f>MID(A75,4,1)</f>
        <v>ג</v>
      </c>
      <c r="N75" s="1">
        <f>VLOOKUP(K75,$W:$X,2,0)</f>
        <v>15</v>
      </c>
      <c r="O75" s="1">
        <f>VLOOKUP(L75,$Z:$AA,2,0)</f>
        <v>10</v>
      </c>
      <c r="P75" s="1">
        <f>VLOOKUP(M75,$AC:$AD,2,0)</f>
        <v>14</v>
      </c>
      <c r="Q75" s="1">
        <f>IF(A75&lt;&gt;"",P75+O75+N75+H75+I75+J75,0)</f>
        <v>52</v>
      </c>
    </row>
    <row r="76" spans="1:17" x14ac:dyDescent="0.25">
      <c r="A76" s="41" t="s">
        <v>769</v>
      </c>
      <c r="B76">
        <v>2</v>
      </c>
      <c r="C76" s="41" t="s">
        <v>770</v>
      </c>
      <c r="D76">
        <v>1</v>
      </c>
      <c r="E76" s="1" t="str">
        <f>MID(A76,1,2)</f>
        <v>טש</v>
      </c>
      <c r="F76" s="1" t="str">
        <f>MID(C76,3,2)</f>
        <v>שד</v>
      </c>
      <c r="G76" s="1" t="str">
        <f>CONCATENATE(K76,M76)</f>
        <v>טד</v>
      </c>
      <c r="H76" s="1">
        <f>VLOOKUP(K76,$W$23:$AN$40,MATCH(L76,$W$23:$AN$23,0),FALSE)</f>
        <v>3</v>
      </c>
      <c r="I76" s="1">
        <f>VLOOKUP(L76,$W$23:$AN$40,MATCH(M76,$W$23:$AN$23,0),FALSE)</f>
        <v>1</v>
      </c>
      <c r="J76" s="1">
        <f>VLOOKUP(K76,$W$23:$AN$40,MATCH(M76,$W$23:$AN$23,0),FALSE)</f>
        <v>4</v>
      </c>
      <c r="K76" s="1" t="str">
        <f>MID(A76,1,1)</f>
        <v>ט</v>
      </c>
      <c r="L76" s="1" t="str">
        <f>MID(A76,2,1)</f>
        <v>ש</v>
      </c>
      <c r="M76" s="1" t="str">
        <f>MID(A76,4,1)</f>
        <v>ד</v>
      </c>
      <c r="N76" s="1">
        <f>VLOOKUP(K76,$W:$X,2,0)</f>
        <v>15</v>
      </c>
      <c r="O76" s="1">
        <f>VLOOKUP(L76,$Z:$AA,2,0)</f>
        <v>10</v>
      </c>
      <c r="P76" s="1">
        <f>VLOOKUP(M76,$AC:$AD,2,0)</f>
        <v>15</v>
      </c>
      <c r="Q76" s="1">
        <f>IF(A76&lt;&gt;"",P76+O76+N76+H76+I76+J76,0)</f>
        <v>48</v>
      </c>
    </row>
    <row r="77" spans="1:17" x14ac:dyDescent="0.25">
      <c r="A77" s="1" t="s">
        <v>653</v>
      </c>
      <c r="B77">
        <v>1</v>
      </c>
      <c r="C77" s="1" t="s">
        <v>654</v>
      </c>
      <c r="D77">
        <v>1</v>
      </c>
      <c r="E77" s="1" t="str">
        <f>MID(A77,1,2)</f>
        <v>עכ</v>
      </c>
      <c r="F77" s="1" t="str">
        <f>MID(C77,3,2)</f>
        <v>כז</v>
      </c>
      <c r="G77" s="1" t="str">
        <f>CONCATENATE(K77,M77)</f>
        <v>עז</v>
      </c>
      <c r="H77" s="1">
        <f>VLOOKUP(K77,$W$23:$AN$40,MATCH(L77,$W$23:$AN$23,0),FALSE)</f>
        <v>3</v>
      </c>
      <c r="I77" s="1">
        <f>VLOOKUP(L77,$W$23:$AN$40,MATCH(M77,$W$23:$AN$23,0),FALSE)</f>
        <v>2</v>
      </c>
      <c r="J77" s="1">
        <f>VLOOKUP(K77,$W$23:$AN$40,MATCH(M77,$W$23:$AN$23,0),FALSE)</f>
        <v>2</v>
      </c>
      <c r="K77" s="1" t="str">
        <f>MID(A77,1,1)</f>
        <v>ע</v>
      </c>
      <c r="L77" s="1" t="str">
        <f>MID(A77,2,1)</f>
        <v>כ</v>
      </c>
      <c r="M77" s="1" t="str">
        <f>MID(A77,4,1)</f>
        <v>ז</v>
      </c>
      <c r="N77" s="1">
        <f>VLOOKUP(K77,$W:$X,2,0)</f>
        <v>14</v>
      </c>
      <c r="O77" s="1">
        <f>VLOOKUP(L77,$Z:$AA,2,0)</f>
        <v>9</v>
      </c>
      <c r="P77" s="1">
        <f>VLOOKUP(M77,$AC:$AD,2,0)</f>
        <v>15</v>
      </c>
      <c r="Q77" s="1">
        <f>IF(A77&lt;&gt;"",P77+O77+N77+H77+I77+J77,0)</f>
        <v>45</v>
      </c>
    </row>
    <row r="78" spans="1:17" x14ac:dyDescent="0.25">
      <c r="A78" s="1" t="s">
        <v>771</v>
      </c>
      <c r="B78">
        <v>3</v>
      </c>
      <c r="C78" s="1" t="s">
        <v>772</v>
      </c>
      <c r="D78">
        <v>5</v>
      </c>
      <c r="E78" s="1" t="str">
        <f>MID(A78,1,2)</f>
        <v>ער</v>
      </c>
      <c r="F78" s="1" t="str">
        <f>MID(C78,3,2)</f>
        <v>רק</v>
      </c>
      <c r="G78" s="1" t="str">
        <f>CONCATENATE(K78,M78)</f>
        <v>עק</v>
      </c>
      <c r="H78" s="1">
        <f>VLOOKUP(K78,$W$23:$AN$40,MATCH(L78,$W$23:$AN$23,0),FALSE)</f>
        <v>2</v>
      </c>
      <c r="I78" s="1">
        <f>VLOOKUP(L78,$W$23:$AN$40,MATCH(M78,$W$23:$AN$23,0),FALSE)</f>
        <v>3</v>
      </c>
      <c r="J78" s="1">
        <f>VLOOKUP(K78,$W$23:$AN$40,MATCH(M78,$W$23:$AN$23,0),FALSE)</f>
        <v>4</v>
      </c>
      <c r="K78" s="1" t="str">
        <f>MID(A78,1,1)</f>
        <v>ע</v>
      </c>
      <c r="L78" s="1" t="str">
        <f>MID(A78,2,1)</f>
        <v>ר</v>
      </c>
      <c r="M78" s="1" t="str">
        <f>MID(A78,4,1)</f>
        <v>ק</v>
      </c>
      <c r="N78" s="1">
        <f>VLOOKUP(K78,$W:$X,2,0)</f>
        <v>14</v>
      </c>
      <c r="O78" s="1">
        <f>VLOOKUP(L78,$Z:$AA,2,0)</f>
        <v>10</v>
      </c>
      <c r="P78" s="1">
        <f>VLOOKUP(M78,$AC:$AD,2,0)</f>
        <v>15</v>
      </c>
      <c r="Q78" s="1">
        <f>IF(A78&lt;&gt;"",P78+O78+N78+H78+I78+J78,0)</f>
        <v>48</v>
      </c>
    </row>
    <row r="79" spans="1:17" x14ac:dyDescent="0.25">
      <c r="A79" s="1" t="s">
        <v>773</v>
      </c>
      <c r="B79">
        <v>0</v>
      </c>
      <c r="C79" s="1" t="s">
        <v>774</v>
      </c>
      <c r="D79">
        <v>2</v>
      </c>
      <c r="E79" s="1" t="str">
        <f>MID(A79,1,2)</f>
        <v>קז</v>
      </c>
      <c r="F79" s="1" t="str">
        <f>MID(C79,3,2)</f>
        <v>זט</v>
      </c>
      <c r="G79" s="1" t="str">
        <f>CONCATENATE(K79,M79)</f>
        <v>קט</v>
      </c>
      <c r="H79" s="1">
        <f>VLOOKUP(K79,$W$23:$AN$40,MATCH(L79,$W$23:$AN$23,0),FALSE)</f>
        <v>5</v>
      </c>
      <c r="I79" s="1">
        <f>VLOOKUP(L79,$W$23:$AN$40,MATCH(M79,$W$23:$AN$23,0),FALSE)</f>
        <v>4</v>
      </c>
      <c r="J79" s="1">
        <f>VLOOKUP(K79,$W$23:$AN$40,MATCH(M79,$W$23:$AN$23,0),FALSE)</f>
        <v>4</v>
      </c>
      <c r="K79" s="1" t="str">
        <f>MID(A79,1,1)</f>
        <v>ק</v>
      </c>
      <c r="L79" s="1" t="str">
        <f>MID(A79,2,1)</f>
        <v>ז</v>
      </c>
      <c r="M79" s="1" t="str">
        <f>MID(A79,4,1)</f>
        <v>ט</v>
      </c>
      <c r="N79" s="1">
        <f>VLOOKUP(K79,$W:$X,2,0)</f>
        <v>15</v>
      </c>
      <c r="O79" s="1">
        <f>VLOOKUP(L79,$Z:$AA,2,0)</f>
        <v>10</v>
      </c>
      <c r="P79" s="1">
        <f>VLOOKUP(M79,$AC:$AD,2,0)</f>
        <v>15</v>
      </c>
      <c r="Q79" s="1">
        <f>IF(A79&lt;&gt;"",P79+O79+N79+H79+I79+J79,0)</f>
        <v>53</v>
      </c>
    </row>
    <row r="80" spans="1:17" x14ac:dyDescent="0.25">
      <c r="A80" s="41" t="s">
        <v>775</v>
      </c>
      <c r="B80">
        <v>1</v>
      </c>
      <c r="C80" s="41" t="s">
        <v>776</v>
      </c>
      <c r="D80">
        <v>2</v>
      </c>
      <c r="E80" s="1" t="str">
        <f>MID(A80,1,2)</f>
        <v>גט</v>
      </c>
      <c r="F80" s="1" t="str">
        <f>MID(C80,3,2)</f>
        <v>טל</v>
      </c>
      <c r="G80" s="1" t="str">
        <f>CONCATENATE(K80,M80)</f>
        <v>גל</v>
      </c>
      <c r="H80" s="1">
        <f>VLOOKUP(K80,$W$23:$AN$40,MATCH(L80,$W$23:$AN$23,0),FALSE)</f>
        <v>4</v>
      </c>
      <c r="I80" s="1">
        <f>VLOOKUP(L80,$W$23:$AN$40,MATCH(M80,$W$23:$AN$23,0),FALSE)</f>
        <v>6</v>
      </c>
      <c r="J80" s="1">
        <f>VLOOKUP(K80,$W$23:$AN$40,MATCH(M80,$W$23:$AN$23,0),FALSE)</f>
        <v>4</v>
      </c>
      <c r="K80" s="1" t="str">
        <f>MID(A80,1,1)</f>
        <v>ג</v>
      </c>
      <c r="L80" s="1" t="str">
        <f>MID(A80,2,1)</f>
        <v>ט</v>
      </c>
      <c r="M80" s="1" t="str">
        <f>MID(A80,4,1)</f>
        <v>ל</v>
      </c>
      <c r="N80" s="1">
        <f>VLOOKUP(K80,$W:$X,2,0)</f>
        <v>15</v>
      </c>
      <c r="O80" s="1">
        <f>VLOOKUP(L80,$Z:$AA,2,0)</f>
        <v>9</v>
      </c>
      <c r="P80" s="1">
        <f>VLOOKUP(M80,$AC:$AD,2,0)</f>
        <v>14</v>
      </c>
      <c r="Q80" s="1">
        <f>IF(A80&lt;&gt;"",P80+O80+N80+H80+I80+J80,0)</f>
        <v>52</v>
      </c>
    </row>
    <row r="81" spans="1:17" x14ac:dyDescent="0.25">
      <c r="A81" s="1" t="s">
        <v>777</v>
      </c>
      <c r="B81">
        <v>0</v>
      </c>
      <c r="C81" s="1" t="s">
        <v>778</v>
      </c>
      <c r="D81">
        <v>1</v>
      </c>
      <c r="E81" s="1" t="str">
        <f>MID(A81,1,2)</f>
        <v>חנ</v>
      </c>
      <c r="F81" s="1" t="str">
        <f>MID(C81,3,2)</f>
        <v>נג</v>
      </c>
      <c r="G81" s="1" t="str">
        <f>CONCATENATE(K81,M81)</f>
        <v>חג</v>
      </c>
      <c r="H81" s="1">
        <f>VLOOKUP(K81,$W$23:$AN$40,MATCH(L81,$W$23:$AN$23,0),FALSE)</f>
        <v>2</v>
      </c>
      <c r="I81" s="1">
        <f>VLOOKUP(L81,$W$23:$AN$40,MATCH(M81,$W$23:$AN$23,0),FALSE)</f>
        <v>1</v>
      </c>
      <c r="J81" s="1">
        <f>VLOOKUP(K81,$W$23:$AN$40,MATCH(M81,$W$23:$AN$23,0),FALSE)</f>
        <v>4</v>
      </c>
      <c r="K81" s="1" t="str">
        <f>MID(A81,1,1)</f>
        <v>ח</v>
      </c>
      <c r="L81" s="1" t="str">
        <f>MID(A81,2,1)</f>
        <v>נ</v>
      </c>
      <c r="M81" s="1" t="str">
        <f>MID(A81,4,1)</f>
        <v>ג</v>
      </c>
      <c r="N81" s="1">
        <f>VLOOKUP(K81,$W:$X,2,0)</f>
        <v>14</v>
      </c>
      <c r="O81" s="1">
        <f>VLOOKUP(L81,$Z:$AA,2,0)</f>
        <v>9</v>
      </c>
      <c r="P81" s="1">
        <f>VLOOKUP(M81,$AC:$AD,2,0)</f>
        <v>14</v>
      </c>
      <c r="Q81" s="1">
        <f>IF(A81&lt;&gt;"",P81+O81+N81+H81+I81+J81,0)</f>
        <v>44</v>
      </c>
    </row>
    <row r="82" spans="1:17" x14ac:dyDescent="0.25">
      <c r="A82" s="1" t="s">
        <v>561</v>
      </c>
      <c r="B82">
        <v>3</v>
      </c>
      <c r="C82" s="1" t="s">
        <v>562</v>
      </c>
      <c r="D82">
        <v>1</v>
      </c>
      <c r="E82" s="1" t="str">
        <f>MID(A82,1,2)</f>
        <v>פת</v>
      </c>
      <c r="F82" s="1" t="str">
        <f>MID(C82,3,2)</f>
        <v>תד</v>
      </c>
      <c r="G82" s="1" t="str">
        <f>CONCATENATE(K82,M82)</f>
        <v>פד</v>
      </c>
      <c r="H82" s="1">
        <f>VLOOKUP(K82,$W$23:$AN$40,MATCH(L82,$W$23:$AN$23,0),FALSE)</f>
        <v>2</v>
      </c>
      <c r="I82" s="1">
        <f>VLOOKUP(L82,$W$23:$AN$40,MATCH(M82,$W$23:$AN$23,0),FALSE)</f>
        <v>1</v>
      </c>
      <c r="J82" s="1">
        <f>VLOOKUP(K82,$W$23:$AN$40,MATCH(M82,$W$23:$AN$23,0),FALSE)</f>
        <v>2</v>
      </c>
      <c r="K82" s="1" t="str">
        <f>MID(A82,1,1)</f>
        <v>פ</v>
      </c>
      <c r="L82" s="1" t="str">
        <f>MID(A82,2,1)</f>
        <v>ת</v>
      </c>
      <c r="M82" s="1" t="str">
        <f>MID(A82,4,1)</f>
        <v>ד</v>
      </c>
      <c r="N82" s="1">
        <f>VLOOKUP(K82,$W:$X,2,0)</f>
        <v>15</v>
      </c>
      <c r="O82" s="1">
        <f>VLOOKUP(L82,$Z:$AA,2,0)</f>
        <v>9</v>
      </c>
      <c r="P82" s="1">
        <f>VLOOKUP(M82,$AC:$AD,2,0)</f>
        <v>15</v>
      </c>
      <c r="Q82" s="1">
        <f>IF(A82&lt;&gt;"",P82+O82+N82+H82+I82+J82,0)</f>
        <v>44</v>
      </c>
    </row>
    <row r="83" spans="1:17" x14ac:dyDescent="0.25">
      <c r="A83" s="41" t="s">
        <v>779</v>
      </c>
      <c r="B83">
        <v>2</v>
      </c>
      <c r="C83" s="41" t="s">
        <v>780</v>
      </c>
      <c r="D83">
        <v>1</v>
      </c>
      <c r="E83" s="1" t="str">
        <f>MID(A83,1,2)</f>
        <v>צק</v>
      </c>
      <c r="F83" s="1" t="str">
        <f>MID(C83,3,2)</f>
        <v>קז</v>
      </c>
      <c r="G83" s="1" t="str">
        <f>CONCATENATE(K83,M83)</f>
        <v>צז</v>
      </c>
      <c r="H83" s="1">
        <f>VLOOKUP(K83,$W$23:$AN$40,MATCH(L83,$W$23:$AN$23,0),FALSE)</f>
        <v>6</v>
      </c>
      <c r="I83" s="1">
        <f>VLOOKUP(L83,$W$23:$AN$40,MATCH(M83,$W$23:$AN$23,0),FALSE)</f>
        <v>5</v>
      </c>
      <c r="J83" s="1">
        <f>VLOOKUP(K83,$W$23:$AN$40,MATCH(M83,$W$23:$AN$23,0),FALSE)</f>
        <v>5</v>
      </c>
      <c r="K83" s="1" t="str">
        <f>MID(A83,1,1)</f>
        <v>צ</v>
      </c>
      <c r="L83" s="1" t="str">
        <f>MID(A83,2,1)</f>
        <v>ק</v>
      </c>
      <c r="M83" s="1" t="str">
        <f>MID(A83,4,1)</f>
        <v>ז</v>
      </c>
      <c r="N83" s="1">
        <f>VLOOKUP(K83,$W:$X,2,0)</f>
        <v>15</v>
      </c>
      <c r="O83" s="1">
        <f>VLOOKUP(L83,$Z:$AA,2,0)</f>
        <v>9</v>
      </c>
      <c r="P83" s="1">
        <f>VLOOKUP(M83,$AC:$AD,2,0)</f>
        <v>15</v>
      </c>
      <c r="Q83" s="1">
        <f>IF(A83&lt;&gt;"",P83+O83+N83+H83+I83+J83,0)</f>
        <v>55</v>
      </c>
    </row>
    <row r="84" spans="1:17" x14ac:dyDescent="0.25">
      <c r="A84" s="1" t="s">
        <v>699</v>
      </c>
      <c r="B84">
        <v>2</v>
      </c>
      <c r="C84" s="1" t="s">
        <v>700</v>
      </c>
      <c r="D84">
        <v>2</v>
      </c>
      <c r="E84" s="1" t="str">
        <f>MID(A84,1,2)</f>
        <v>דע</v>
      </c>
      <c r="F84" s="1" t="str">
        <f>MID(C84,3,2)</f>
        <v>עש</v>
      </c>
      <c r="G84" s="1" t="str">
        <f>CONCATENATE(K84,M84)</f>
        <v>דש</v>
      </c>
      <c r="H84" s="1">
        <f>VLOOKUP(K84,$W$23:$AN$40,MATCH(L84,$W$23:$AN$23,0),FALSE)</f>
        <v>2</v>
      </c>
      <c r="I84" s="1">
        <f>VLOOKUP(L84,$W$23:$AN$40,MATCH(M84,$W$23:$AN$23,0),FALSE)</f>
        <v>4</v>
      </c>
      <c r="J84" s="1">
        <f>VLOOKUP(K84,$W$23:$AN$40,MATCH(M84,$W$23:$AN$23,0),FALSE)</f>
        <v>4</v>
      </c>
      <c r="K84" s="1" t="str">
        <f>MID(A84,1,1)</f>
        <v>ד</v>
      </c>
      <c r="L84" s="1" t="str">
        <f>MID(A84,2,1)</f>
        <v>ע</v>
      </c>
      <c r="M84" s="1" t="str">
        <f>MID(A84,4,1)</f>
        <v>ש</v>
      </c>
      <c r="N84" s="1">
        <f>VLOOKUP(K84,$W:$X,2,0)</f>
        <v>14</v>
      </c>
      <c r="O84" s="1">
        <f>VLOOKUP(L84,$Z:$AA,2,0)</f>
        <v>8</v>
      </c>
      <c r="P84" s="1">
        <f>VLOOKUP(M84,$AC:$AD,2,0)</f>
        <v>14</v>
      </c>
      <c r="Q84" s="1">
        <f>IF(A84&lt;&gt;"",P84+O84+N84+H84+I84+J84,0)</f>
        <v>46</v>
      </c>
    </row>
    <row r="85" spans="1:17" x14ac:dyDescent="0.25">
      <c r="A85" s="41" t="s">
        <v>781</v>
      </c>
      <c r="B85">
        <v>2</v>
      </c>
      <c r="C85" s="41" t="s">
        <v>782</v>
      </c>
      <c r="D85">
        <v>1</v>
      </c>
      <c r="E85" s="1" t="str">
        <f>MID(A85,1,2)</f>
        <v>טל</v>
      </c>
      <c r="F85" s="1" t="str">
        <f>MID(C85,3,2)</f>
        <v>לח</v>
      </c>
      <c r="G85" s="1" t="str">
        <f>CONCATENATE(K85,M85)</f>
        <v>טח</v>
      </c>
      <c r="H85" s="1">
        <f>VLOOKUP(K85,$W$23:$AN$40,MATCH(L85,$W$23:$AN$23,0),FALSE)</f>
        <v>6</v>
      </c>
      <c r="I85" s="1">
        <f>VLOOKUP(L85,$W$23:$AN$40,MATCH(M85,$W$23:$AN$23,0),FALSE)</f>
        <v>1</v>
      </c>
      <c r="J85" s="1">
        <f>VLOOKUP(K85,$W$23:$AN$40,MATCH(M85,$W$23:$AN$23,0),FALSE)</f>
        <v>7</v>
      </c>
      <c r="K85" s="1" t="str">
        <f>MID(A85,1,1)</f>
        <v>ט</v>
      </c>
      <c r="L85" s="1" t="str">
        <f>MID(A85,2,1)</f>
        <v>ל</v>
      </c>
      <c r="M85" s="1" t="str">
        <f>MID(A85,4,1)</f>
        <v>ח</v>
      </c>
      <c r="N85" s="1">
        <f>VLOOKUP(K85,$W:$X,2,0)</f>
        <v>15</v>
      </c>
      <c r="O85" s="1">
        <f>VLOOKUP(L85,$Z:$AA,2,0)</f>
        <v>9</v>
      </c>
      <c r="P85" s="1">
        <f>VLOOKUP(M85,$AC:$AD,2,0)</f>
        <v>14</v>
      </c>
      <c r="Q85" s="1">
        <f>IF(A85&lt;&gt;"",P85+O85+N85+H85+I85+J85,0)</f>
        <v>52</v>
      </c>
    </row>
    <row r="86" spans="1:17" x14ac:dyDescent="0.25">
      <c r="A86" s="1" t="s">
        <v>536</v>
      </c>
      <c r="B86">
        <v>3</v>
      </c>
      <c r="C86" s="1" t="s">
        <v>537</v>
      </c>
      <c r="D86">
        <v>3</v>
      </c>
      <c r="E86" s="1" t="str">
        <f>MID(A86,1,2)</f>
        <v>סד</v>
      </c>
      <c r="F86" s="1" t="str">
        <f>MID(C86,3,2)</f>
        <v>דר</v>
      </c>
      <c r="G86" s="1" t="str">
        <f>CONCATENATE(K86,M86)</f>
        <v>סר</v>
      </c>
      <c r="H86" s="1">
        <f>VLOOKUP(K86,$W$23:$AN$40,MATCH(L86,$W$23:$AN$23,0),FALSE)</f>
        <v>3</v>
      </c>
      <c r="I86" s="1">
        <f>VLOOKUP(L86,$W$23:$AN$40,MATCH(M86,$W$23:$AN$23,0),FALSE)</f>
        <v>4</v>
      </c>
      <c r="J86" s="1">
        <f>VLOOKUP(K86,$W$23:$AN$40,MATCH(M86,$W$23:$AN$23,0),FALSE)</f>
        <v>3</v>
      </c>
      <c r="K86" s="1" t="str">
        <f>MID(A86,1,1)</f>
        <v>ס</v>
      </c>
      <c r="L86" s="1" t="str">
        <f>MID(A86,2,1)</f>
        <v>ד</v>
      </c>
      <c r="M86" s="1" t="str">
        <f>MID(A86,4,1)</f>
        <v>ר</v>
      </c>
      <c r="N86" s="1">
        <f>VLOOKUP(K86,$W:$X,2,0)</f>
        <v>14</v>
      </c>
      <c r="O86" s="1">
        <f>VLOOKUP(L86,$Z:$AA,2,0)</f>
        <v>10</v>
      </c>
      <c r="P86" s="1">
        <f>VLOOKUP(M86,$AC:$AD,2,0)</f>
        <v>14</v>
      </c>
      <c r="Q86" s="1">
        <f>IF(A86&lt;&gt;"",P86+O86+N86+H86+I86+J86,0)</f>
        <v>48</v>
      </c>
    </row>
    <row r="87" spans="1:17" x14ac:dyDescent="0.25">
      <c r="A87" s="41" t="s">
        <v>783</v>
      </c>
      <c r="B87">
        <v>2</v>
      </c>
      <c r="C87" s="41" t="s">
        <v>784</v>
      </c>
      <c r="D87">
        <v>1</v>
      </c>
      <c r="E87" s="1" t="str">
        <f>MID(A87,1,2)</f>
        <v>זצ</v>
      </c>
      <c r="F87" s="1" t="str">
        <f>MID(C87,3,2)</f>
        <v>צע</v>
      </c>
      <c r="G87" s="1" t="str">
        <f>CONCATENATE(K87,M87)</f>
        <v>זע</v>
      </c>
      <c r="H87" s="1">
        <f>VLOOKUP(K87,$W$23:$AN$40,MATCH(L87,$W$23:$AN$23,0),FALSE)</f>
        <v>1</v>
      </c>
      <c r="I87" s="1">
        <f>VLOOKUP(L87,$W$23:$AN$40,MATCH(M87,$W$23:$AN$23,0),FALSE)</f>
        <v>2</v>
      </c>
      <c r="J87" s="1">
        <f>VLOOKUP(K87,$W$23:$AN$40,MATCH(M87,$W$23:$AN$23,0),FALSE)</f>
        <v>3</v>
      </c>
      <c r="K87" s="1" t="str">
        <f>MID(A87,1,1)</f>
        <v>ז</v>
      </c>
      <c r="L87" s="1" t="str">
        <f>MID(A87,2,1)</f>
        <v>צ</v>
      </c>
      <c r="M87" s="1" t="str">
        <f>MID(A87,4,1)</f>
        <v>ע</v>
      </c>
      <c r="N87" s="1">
        <f>VLOOKUP(K87,$W:$X,2,0)</f>
        <v>15</v>
      </c>
      <c r="O87" s="1">
        <f>VLOOKUP(L87,$Z:$AA,2,0)</f>
        <v>9</v>
      </c>
      <c r="P87" s="1">
        <f>VLOOKUP(M87,$AC:$AD,2,0)</f>
        <v>15</v>
      </c>
      <c r="Q87" s="1">
        <f>IF(A87&lt;&gt;"",P87+O87+N87+H87+I87+J87,0)</f>
        <v>45</v>
      </c>
    </row>
    <row r="88" spans="1:17" x14ac:dyDescent="0.25">
      <c r="A88" s="1" t="s">
        <v>785</v>
      </c>
      <c r="B88">
        <v>3</v>
      </c>
      <c r="C88" s="1" t="s">
        <v>786</v>
      </c>
      <c r="D88">
        <v>1</v>
      </c>
      <c r="E88" s="1" t="str">
        <f>MID(A88,1,2)</f>
        <v>רק</v>
      </c>
      <c r="F88" s="1" t="str">
        <f>MID(C88,3,2)</f>
        <v>קס</v>
      </c>
      <c r="G88" s="1" t="str">
        <f>CONCATENATE(K88,M88)</f>
        <v>רס</v>
      </c>
      <c r="H88" s="1">
        <f>VLOOKUP(K88,$W$23:$AN$40,MATCH(L88,$W$23:$AN$23,0),FALSE)</f>
        <v>3</v>
      </c>
      <c r="I88" s="1">
        <f>VLOOKUP(L88,$W$23:$AN$40,MATCH(M88,$W$23:$AN$23,0),FALSE)</f>
        <v>4</v>
      </c>
      <c r="J88" s="1">
        <f>VLOOKUP(K88,$W$23:$AN$40,MATCH(M88,$W$23:$AN$23,0),FALSE)</f>
        <v>2</v>
      </c>
      <c r="K88" s="1" t="str">
        <f>MID(A88,1,1)</f>
        <v>ר</v>
      </c>
      <c r="L88" s="1" t="str">
        <f>MID(A88,2,1)</f>
        <v>ק</v>
      </c>
      <c r="M88" s="1" t="str">
        <f>MID(A88,4,1)</f>
        <v>ס</v>
      </c>
      <c r="N88" s="1">
        <f>VLOOKUP(K88,$W:$X,2,0)</f>
        <v>14</v>
      </c>
      <c r="O88" s="1">
        <f>VLOOKUP(L88,$Z:$AA,2,0)</f>
        <v>9</v>
      </c>
      <c r="P88" s="1">
        <f>VLOOKUP(M88,$AC:$AD,2,0)</f>
        <v>15</v>
      </c>
      <c r="Q88" s="1">
        <f>IF(A88&lt;&gt;"",P88+O88+N88+H88+I88+J88,0)</f>
        <v>47</v>
      </c>
    </row>
    <row r="89" spans="1:17" x14ac:dyDescent="0.25">
      <c r="A89" s="41" t="s">
        <v>787</v>
      </c>
      <c r="B89">
        <v>3</v>
      </c>
      <c r="C89" s="41" t="s">
        <v>788</v>
      </c>
      <c r="D89">
        <v>0</v>
      </c>
      <c r="E89" s="1" t="str">
        <f>MID(A89,1,2)</f>
        <v>פל</v>
      </c>
      <c r="F89" s="1" t="str">
        <f>MID(C89,3,2)</f>
        <v>לס</v>
      </c>
      <c r="G89" s="1" t="str">
        <f>CONCATENATE(K89,M89)</f>
        <v>פס</v>
      </c>
      <c r="H89" s="1">
        <f>VLOOKUP(K89,$W$23:$AN$40,MATCH(L89,$W$23:$AN$23,0),FALSE)</f>
        <v>5</v>
      </c>
      <c r="I89" s="1">
        <f>VLOOKUP(L89,$W$23:$AN$40,MATCH(M89,$W$23:$AN$23,0),FALSE)</f>
        <v>2</v>
      </c>
      <c r="J89" s="1">
        <f>VLOOKUP(K89,$W$23:$AN$40,MATCH(M89,$W$23:$AN$23,0),FALSE)</f>
        <v>3</v>
      </c>
      <c r="K89" s="1" t="str">
        <f>MID(A89,1,1)</f>
        <v>פ</v>
      </c>
      <c r="L89" s="1" t="str">
        <f>MID(A89,2,1)</f>
        <v>ל</v>
      </c>
      <c r="M89" s="1" t="str">
        <f>MID(A89,4,1)</f>
        <v>ס</v>
      </c>
      <c r="N89" s="1">
        <f>VLOOKUP(K89,$W:$X,2,0)</f>
        <v>15</v>
      </c>
      <c r="O89" s="1">
        <f>VLOOKUP(L89,$Z:$AA,2,0)</f>
        <v>9</v>
      </c>
      <c r="P89" s="1">
        <f>VLOOKUP(M89,$AC:$AD,2,0)</f>
        <v>15</v>
      </c>
      <c r="Q89" s="1">
        <f>IF(A89&lt;&gt;"",P89+O89+N89+H89+I89+J89,0)</f>
        <v>49</v>
      </c>
    </row>
    <row r="90" spans="1:17" x14ac:dyDescent="0.25">
      <c r="A90" s="1" t="s">
        <v>789</v>
      </c>
      <c r="B90">
        <v>0</v>
      </c>
      <c r="C90" s="1" t="s">
        <v>790</v>
      </c>
      <c r="D90">
        <v>1</v>
      </c>
      <c r="E90" s="1" t="str">
        <f>MID(A90,1,2)</f>
        <v>טז</v>
      </c>
      <c r="F90" s="1" t="str">
        <f>MID(C90,3,2)</f>
        <v>זג</v>
      </c>
      <c r="G90" s="1" t="str">
        <f>CONCATENATE(K90,M90)</f>
        <v>טג</v>
      </c>
      <c r="H90" s="1">
        <f>VLOOKUP(K90,$W$23:$AN$40,MATCH(L90,$W$23:$AN$23,0),FALSE)</f>
        <v>4</v>
      </c>
      <c r="I90" s="1">
        <f>VLOOKUP(L90,$W$23:$AN$40,MATCH(M90,$W$23:$AN$23,0),FALSE)</f>
        <v>6</v>
      </c>
      <c r="J90" s="1">
        <f>VLOOKUP(K90,$W$23:$AN$40,MATCH(M90,$W$23:$AN$23,0),FALSE)</f>
        <v>3</v>
      </c>
      <c r="K90" s="1" t="str">
        <f>MID(A90,1,1)</f>
        <v>ט</v>
      </c>
      <c r="L90" s="1" t="str">
        <f>MID(A90,2,1)</f>
        <v>ז</v>
      </c>
      <c r="M90" s="1" t="str">
        <f>MID(A90,4,1)</f>
        <v>ג</v>
      </c>
      <c r="N90" s="1">
        <f>VLOOKUP(K90,$W:$X,2,0)</f>
        <v>15</v>
      </c>
      <c r="O90" s="1">
        <f>VLOOKUP(L90,$Z:$AA,2,0)</f>
        <v>10</v>
      </c>
      <c r="P90" s="1">
        <f>VLOOKUP(M90,$AC:$AD,2,0)</f>
        <v>14</v>
      </c>
      <c r="Q90" s="1">
        <f>IF(A90&lt;&gt;"",P90+O90+N90+H90+I90+J90,0)</f>
        <v>52</v>
      </c>
    </row>
    <row r="91" spans="1:17" x14ac:dyDescent="0.25">
      <c r="A91" s="41" t="s">
        <v>791</v>
      </c>
      <c r="B91">
        <v>3</v>
      </c>
      <c r="C91" s="41" t="s">
        <v>792</v>
      </c>
      <c r="D91">
        <v>3</v>
      </c>
      <c r="E91" s="1" t="str">
        <f>MID(A91,1,2)</f>
        <v>סש</v>
      </c>
      <c r="F91" s="1" t="str">
        <f>MID(C91,3,2)</f>
        <v>שר</v>
      </c>
      <c r="G91" s="1" t="str">
        <f>CONCATENATE(K91,M91)</f>
        <v>סר</v>
      </c>
      <c r="H91" s="1">
        <f>VLOOKUP(K91,$W$23:$AN$40,MATCH(L91,$W$23:$AN$23,0),FALSE)</f>
        <v>6</v>
      </c>
      <c r="I91" s="1">
        <f>VLOOKUP(L91,$W$23:$AN$40,MATCH(M91,$W$23:$AN$23,0),FALSE)</f>
        <v>2</v>
      </c>
      <c r="J91" s="1">
        <f>VLOOKUP(K91,$W$23:$AN$40,MATCH(M91,$W$23:$AN$23,0),FALSE)</f>
        <v>3</v>
      </c>
      <c r="K91" s="1" t="str">
        <f>MID(A91,1,1)</f>
        <v>ס</v>
      </c>
      <c r="L91" s="1" t="str">
        <f>MID(A91,2,1)</f>
        <v>ש</v>
      </c>
      <c r="M91" s="1" t="str">
        <f>MID(A91,4,1)</f>
        <v>ר</v>
      </c>
      <c r="N91" s="1">
        <f>VLOOKUP(K91,$W:$X,2,0)</f>
        <v>14</v>
      </c>
      <c r="O91" s="1">
        <f>VLOOKUP(L91,$Z:$AA,2,0)</f>
        <v>10</v>
      </c>
      <c r="P91" s="1">
        <f>VLOOKUP(M91,$AC:$AD,2,0)</f>
        <v>14</v>
      </c>
      <c r="Q91" s="1">
        <f>IF(A91&lt;&gt;"",P91+O91+N91+H91+I91+J91,0)</f>
        <v>49</v>
      </c>
    </row>
    <row r="92" spans="1:17" x14ac:dyDescent="0.25">
      <c r="A92" s="1" t="s">
        <v>701</v>
      </c>
      <c r="B92">
        <v>1</v>
      </c>
      <c r="C92" s="1" t="s">
        <v>702</v>
      </c>
      <c r="D92">
        <v>1</v>
      </c>
      <c r="E92" s="1" t="str">
        <f>MID(A92,1,2)</f>
        <v>גט</v>
      </c>
      <c r="F92" s="1" t="str">
        <f>MID(C92,3,2)</f>
        <v>טש</v>
      </c>
      <c r="G92" s="1" t="str">
        <f>CONCATENATE(K92,M92)</f>
        <v>גש</v>
      </c>
      <c r="H92" s="1">
        <f>VLOOKUP(K92,$W$23:$AN$40,MATCH(L92,$W$23:$AN$23,0),FALSE)</f>
        <v>4</v>
      </c>
      <c r="I92" s="1">
        <f>VLOOKUP(L92,$W$23:$AN$40,MATCH(M92,$W$23:$AN$23,0),FALSE)</f>
        <v>3</v>
      </c>
      <c r="J92" s="1">
        <f>VLOOKUP(K92,$W$23:$AN$40,MATCH(M92,$W$23:$AN$23,0),FALSE)</f>
        <v>3</v>
      </c>
      <c r="K92" s="1" t="str">
        <f>MID(A92,1,1)</f>
        <v>ג</v>
      </c>
      <c r="L92" s="1" t="str">
        <f>MID(A92,2,1)</f>
        <v>ט</v>
      </c>
      <c r="M92" s="1" t="str">
        <f>MID(A92,4,1)</f>
        <v>ש</v>
      </c>
      <c r="N92" s="1">
        <f>VLOOKUP(K92,$W:$X,2,0)</f>
        <v>15</v>
      </c>
      <c r="O92" s="1">
        <f>VLOOKUP(L92,$Z:$AA,2,0)</f>
        <v>9</v>
      </c>
      <c r="P92" s="1">
        <f>VLOOKUP(M92,$AC:$AD,2,0)</f>
        <v>14</v>
      </c>
      <c r="Q92" s="1">
        <f>IF(A92&lt;&gt;"",P92+O92+N92+H92+I92+J92,0)</f>
        <v>48</v>
      </c>
    </row>
    <row r="93" spans="1:17" x14ac:dyDescent="0.25">
      <c r="A93" s="1" t="s">
        <v>603</v>
      </c>
      <c r="B93">
        <v>2</v>
      </c>
      <c r="C93" s="1" t="s">
        <v>604</v>
      </c>
      <c r="D93">
        <v>1</v>
      </c>
      <c r="E93" s="1" t="str">
        <f>MID(A93,1,2)</f>
        <v>דג</v>
      </c>
      <c r="F93" s="1" t="str">
        <f>MID(C93,3,2)</f>
        <v>גע</v>
      </c>
      <c r="G93" s="1" t="str">
        <f>CONCATENATE(K93,M93)</f>
        <v>דע</v>
      </c>
      <c r="H93" s="1">
        <f>VLOOKUP(K93,$W$23:$AN$40,MATCH(L93,$W$23:$AN$23,0),FALSE)</f>
        <v>4</v>
      </c>
      <c r="I93" s="1">
        <f>VLOOKUP(L93,$W$23:$AN$40,MATCH(M93,$W$23:$AN$23,0),FALSE)</f>
        <v>6</v>
      </c>
      <c r="J93" s="1">
        <f>VLOOKUP(K93,$W$23:$AN$40,MATCH(M93,$W$23:$AN$23,0),FALSE)</f>
        <v>2</v>
      </c>
      <c r="K93" s="1" t="str">
        <f>MID(A93,1,1)</f>
        <v>ד</v>
      </c>
      <c r="L93" s="1" t="str">
        <f>MID(A93,2,1)</f>
        <v>ג</v>
      </c>
      <c r="M93" s="1" t="str">
        <f>MID(A93,4,1)</f>
        <v>ע</v>
      </c>
      <c r="N93" s="1">
        <f>VLOOKUP(K93,$W:$X,2,0)</f>
        <v>14</v>
      </c>
      <c r="O93" s="1">
        <f>VLOOKUP(L93,$Z:$AA,2,0)</f>
        <v>9</v>
      </c>
      <c r="P93" s="1">
        <f>VLOOKUP(M93,$AC:$AD,2,0)</f>
        <v>15</v>
      </c>
      <c r="Q93" s="1">
        <f>IF(A93&lt;&gt;"",P93+O93+N93+H93+I93+J93,0)</f>
        <v>50</v>
      </c>
    </row>
    <row r="94" spans="1:17" x14ac:dyDescent="0.25">
      <c r="A94" s="1" t="s">
        <v>573</v>
      </c>
      <c r="B94">
        <v>1</v>
      </c>
      <c r="C94" s="1" t="s">
        <v>574</v>
      </c>
      <c r="D94">
        <v>3</v>
      </c>
      <c r="E94" s="1" t="str">
        <f>MID(A94,1,2)</f>
        <v>קס</v>
      </c>
      <c r="F94" s="1" t="str">
        <f>MID(C94,3,2)</f>
        <v>סח</v>
      </c>
      <c r="G94" s="1" t="str">
        <f>CONCATENATE(K94,M94)</f>
        <v>קח</v>
      </c>
      <c r="H94" s="1">
        <f>VLOOKUP(K94,$W$23:$AN$40,MATCH(L94,$W$23:$AN$23,0),FALSE)</f>
        <v>4</v>
      </c>
      <c r="I94" s="1">
        <f>VLOOKUP(L94,$W$23:$AN$40,MATCH(M94,$W$23:$AN$23,0),FALSE)</f>
        <v>3</v>
      </c>
      <c r="J94" s="1">
        <f>VLOOKUP(K94,$W$23:$AN$40,MATCH(M94,$W$23:$AN$23,0),FALSE)</f>
        <v>2</v>
      </c>
      <c r="K94" s="1" t="str">
        <f>MID(A94,1,1)</f>
        <v>ק</v>
      </c>
      <c r="L94" s="1" t="str">
        <f>MID(A94,2,1)</f>
        <v>ס</v>
      </c>
      <c r="M94" s="1" t="str">
        <f>MID(A94,4,1)</f>
        <v>ח</v>
      </c>
      <c r="N94" s="1">
        <f>VLOOKUP(K94,$W:$X,2,0)</f>
        <v>15</v>
      </c>
      <c r="O94" s="1">
        <f>VLOOKUP(L94,$Z:$AA,2,0)</f>
        <v>10</v>
      </c>
      <c r="P94" s="1">
        <f>VLOOKUP(M94,$AC:$AD,2,0)</f>
        <v>14</v>
      </c>
      <c r="Q94" s="1">
        <f>IF(A94&lt;&gt;"",P94+O94+N94+H94+I94+J94,0)</f>
        <v>48</v>
      </c>
    </row>
    <row r="95" spans="1:17" x14ac:dyDescent="0.25">
      <c r="A95" s="1" t="s">
        <v>605</v>
      </c>
      <c r="B95">
        <v>2</v>
      </c>
      <c r="C95" s="1" t="s">
        <v>606</v>
      </c>
      <c r="D95">
        <v>1</v>
      </c>
      <c r="E95" s="1" t="str">
        <f>MID(A95,1,2)</f>
        <v>זר</v>
      </c>
      <c r="F95" s="1" t="str">
        <f>MID(C95,3,2)</f>
        <v>רל</v>
      </c>
      <c r="G95" s="1" t="str">
        <f>CONCATENATE(K95,M95)</f>
        <v>זל</v>
      </c>
      <c r="H95" s="1">
        <f>VLOOKUP(K95,$W$23:$AN$40,MATCH(L95,$W$23:$AN$23,0),FALSE)</f>
        <v>5</v>
      </c>
      <c r="I95" s="1">
        <f>VLOOKUP(L95,$W$23:$AN$40,MATCH(M95,$W$23:$AN$23,0),FALSE)</f>
        <v>2</v>
      </c>
      <c r="J95" s="1">
        <f>VLOOKUP(K95,$W$23:$AN$40,MATCH(M95,$W$23:$AN$23,0),FALSE)</f>
        <v>3</v>
      </c>
      <c r="K95" s="1" t="str">
        <f>MID(A95,1,1)</f>
        <v>ז</v>
      </c>
      <c r="L95" s="1" t="str">
        <f>MID(A95,2,1)</f>
        <v>ר</v>
      </c>
      <c r="M95" s="1" t="str">
        <f>MID(A95,4,1)</f>
        <v>ל</v>
      </c>
      <c r="N95" s="1">
        <f>VLOOKUP(K95,$W:$X,2,0)</f>
        <v>15</v>
      </c>
      <c r="O95" s="1">
        <f>VLOOKUP(L95,$Z:$AA,2,0)</f>
        <v>10</v>
      </c>
      <c r="P95" s="1">
        <f>VLOOKUP(M95,$AC:$AD,2,0)</f>
        <v>14</v>
      </c>
      <c r="Q95" s="1">
        <f>IF(A95&lt;&gt;"",P95+O95+N95+H95+I95+J95,0)</f>
        <v>49</v>
      </c>
    </row>
    <row r="96" spans="1:17" x14ac:dyDescent="0.25">
      <c r="A96" s="1" t="s">
        <v>793</v>
      </c>
      <c r="B96">
        <v>1</v>
      </c>
      <c r="C96" s="1" t="s">
        <v>794</v>
      </c>
      <c r="D96">
        <v>1</v>
      </c>
      <c r="E96" s="1" t="str">
        <f>MID(A96,1,2)</f>
        <v>צח</v>
      </c>
      <c r="F96" s="1" t="str">
        <f>MID(C96,3,2)</f>
        <v>חק</v>
      </c>
      <c r="G96" s="1" t="str">
        <f>CONCATENATE(K96,M96)</f>
        <v>צק</v>
      </c>
      <c r="H96" s="1">
        <f>VLOOKUP(K96,$W$23:$AN$40,MATCH(L96,$W$23:$AN$23,0),FALSE)</f>
        <v>3</v>
      </c>
      <c r="I96" s="1">
        <f>VLOOKUP(L96,$W$23:$AN$40,MATCH(M96,$W$23:$AN$23,0),FALSE)</f>
        <v>3</v>
      </c>
      <c r="J96" s="1">
        <f>VLOOKUP(K96,$W$23:$AN$40,MATCH(M96,$W$23:$AN$23,0),FALSE)</f>
        <v>6</v>
      </c>
      <c r="K96" s="1" t="str">
        <f>MID(A96,1,1)</f>
        <v>צ</v>
      </c>
      <c r="L96" s="1" t="str">
        <f>MID(A96,2,1)</f>
        <v>ח</v>
      </c>
      <c r="M96" s="1" t="str">
        <f>MID(A96,4,1)</f>
        <v>ק</v>
      </c>
      <c r="N96" s="1">
        <f>VLOOKUP(K96,$W:$X,2,0)</f>
        <v>15</v>
      </c>
      <c r="O96" s="1">
        <f>VLOOKUP(L96,$Z:$AA,2,0)</f>
        <v>10</v>
      </c>
      <c r="P96" s="1">
        <f>VLOOKUP(M96,$AC:$AD,2,0)</f>
        <v>15</v>
      </c>
      <c r="Q96" s="1">
        <f>IF(A96&lt;&gt;"",P96+O96+N96+H96+I96+J96,0)</f>
        <v>52</v>
      </c>
    </row>
    <row r="97" spans="1:17" x14ac:dyDescent="0.25">
      <c r="A97" s="1" t="s">
        <v>703</v>
      </c>
      <c r="B97">
        <v>0</v>
      </c>
      <c r="C97" s="1" t="s">
        <v>704</v>
      </c>
      <c r="D97">
        <v>1</v>
      </c>
      <c r="E97" s="1" t="str">
        <f>MID(A97,1,2)</f>
        <v>עפ</v>
      </c>
      <c r="F97" s="1" t="str">
        <f>MID(C97,3,2)</f>
        <v>פט</v>
      </c>
      <c r="G97" s="1" t="str">
        <f>CONCATENATE(K97,M97)</f>
        <v>עט</v>
      </c>
      <c r="H97" s="1">
        <f>VLOOKUP(K97,$W$23:$AN$40,MATCH(L97,$W$23:$AN$23,0),FALSE)</f>
        <v>1</v>
      </c>
      <c r="I97" s="1">
        <f>VLOOKUP(L97,$W$23:$AN$40,MATCH(M97,$W$23:$AN$23,0),FALSE)</f>
        <v>5</v>
      </c>
      <c r="J97" s="1">
        <f>VLOOKUP(K97,$W$23:$AN$40,MATCH(M97,$W$23:$AN$23,0),FALSE)</f>
        <v>3</v>
      </c>
      <c r="K97" s="1" t="str">
        <f>MID(A97,1,1)</f>
        <v>ע</v>
      </c>
      <c r="L97" s="1" t="str">
        <f>MID(A97,2,1)</f>
        <v>פ</v>
      </c>
      <c r="M97" s="1" t="str">
        <f>MID(A97,4,1)</f>
        <v>ט</v>
      </c>
      <c r="N97" s="1">
        <f>VLOOKUP(K97,$W:$X,2,0)</f>
        <v>14</v>
      </c>
      <c r="O97" s="1">
        <f>VLOOKUP(L97,$Z:$AA,2,0)</f>
        <v>10</v>
      </c>
      <c r="P97" s="1">
        <f>VLOOKUP(M97,$AC:$AD,2,0)</f>
        <v>15</v>
      </c>
      <c r="Q97" s="1">
        <f>IF(A97&lt;&gt;"",P97+O97+N97+H97+I97+J97,0)</f>
        <v>48</v>
      </c>
    </row>
    <row r="98" spans="1:17" x14ac:dyDescent="0.25">
      <c r="A98" s="41" t="s">
        <v>681</v>
      </c>
      <c r="B98">
        <v>3</v>
      </c>
      <c r="C98" s="41" t="s">
        <v>682</v>
      </c>
      <c r="D98">
        <v>2</v>
      </c>
      <c r="E98" s="1" t="str">
        <f>MID(A98,1,2)</f>
        <v>חע</v>
      </c>
      <c r="F98" s="1" t="str">
        <f>MID(C98,3,2)</f>
        <v>עד</v>
      </c>
      <c r="G98" s="1" t="str">
        <f>CONCATENATE(K98,M98)</f>
        <v>חד</v>
      </c>
      <c r="H98" s="1">
        <f>VLOOKUP(K98,$W$23:$AN$40,MATCH(L98,$W$23:$AN$23,0),FALSE)</f>
        <v>3</v>
      </c>
      <c r="I98" s="1">
        <f>VLOOKUP(L98,$W$23:$AN$40,MATCH(M98,$W$23:$AN$23,0),FALSE)</f>
        <v>6</v>
      </c>
      <c r="J98" s="1">
        <f>VLOOKUP(K98,$W$23:$AN$40,MATCH(M98,$W$23:$AN$23,0),FALSE)</f>
        <v>3</v>
      </c>
      <c r="K98" s="1" t="str">
        <f>MID(A98,1,1)</f>
        <v>ח</v>
      </c>
      <c r="L98" s="1" t="str">
        <f>MID(A98,2,1)</f>
        <v>ע</v>
      </c>
      <c r="M98" s="1" t="str">
        <f>MID(A98,4,1)</f>
        <v>ד</v>
      </c>
      <c r="N98" s="1">
        <f>VLOOKUP(K98,$W:$X,2,0)</f>
        <v>14</v>
      </c>
      <c r="O98" s="1">
        <f>VLOOKUP(L98,$Z:$AA,2,0)</f>
        <v>8</v>
      </c>
      <c r="P98" s="1">
        <f>VLOOKUP(M98,$AC:$AD,2,0)</f>
        <v>15</v>
      </c>
      <c r="Q98" s="1">
        <f>IF(A98&lt;&gt;"",P98+O98+N98+H98+I98+J98,0)</f>
        <v>49</v>
      </c>
    </row>
    <row r="99" spans="1:17" x14ac:dyDescent="0.25">
      <c r="A99" s="41" t="s">
        <v>795</v>
      </c>
      <c r="B99">
        <v>2</v>
      </c>
      <c r="C99" s="41" t="s">
        <v>796</v>
      </c>
      <c r="D99">
        <v>1</v>
      </c>
      <c r="E99" s="1" t="str">
        <f>MID(A99,1,2)</f>
        <v>רכ</v>
      </c>
      <c r="F99" s="1" t="str">
        <f>MID(C99,3,2)</f>
        <v>כז</v>
      </c>
      <c r="G99" s="1" t="str">
        <f>CONCATENATE(K99,M99)</f>
        <v>רז</v>
      </c>
      <c r="H99" s="1">
        <f>VLOOKUP(K99,$W$23:$AN$40,MATCH(L99,$W$23:$AN$23,0),FALSE)</f>
        <v>1</v>
      </c>
      <c r="I99" s="1">
        <f>VLOOKUP(L99,$W$23:$AN$40,MATCH(M99,$W$23:$AN$23,0),FALSE)</f>
        <v>2</v>
      </c>
      <c r="J99" s="1">
        <f>VLOOKUP(K99,$W$23:$AN$40,MATCH(M99,$W$23:$AN$23,0),FALSE)</f>
        <v>6</v>
      </c>
      <c r="K99" s="1" t="str">
        <f>MID(A99,1,1)</f>
        <v>ר</v>
      </c>
      <c r="L99" s="1" t="str">
        <f>MID(A99,2,1)</f>
        <v>כ</v>
      </c>
      <c r="M99" s="1" t="str">
        <f>MID(A99,4,1)</f>
        <v>ז</v>
      </c>
      <c r="N99" s="1">
        <f>VLOOKUP(K99,$W:$X,2,0)</f>
        <v>14</v>
      </c>
      <c r="O99" s="1">
        <f>VLOOKUP(L99,$Z:$AA,2,0)</f>
        <v>9</v>
      </c>
      <c r="P99" s="1">
        <f>VLOOKUP(M99,$AC:$AD,2,0)</f>
        <v>15</v>
      </c>
      <c r="Q99" s="1">
        <f>IF(A99&lt;&gt;"",P99+O99+N99+H99+I99+J99,0)</f>
        <v>47</v>
      </c>
    </row>
    <row r="100" spans="1:17" x14ac:dyDescent="0.25">
      <c r="A100" s="41" t="s">
        <v>669</v>
      </c>
      <c r="B100">
        <v>2</v>
      </c>
      <c r="C100" s="41" t="s">
        <v>670</v>
      </c>
      <c r="D100">
        <v>3</v>
      </c>
      <c r="E100" s="1" t="str">
        <f>MID(A100,1,2)</f>
        <v>צת</v>
      </c>
      <c r="F100" s="1" t="str">
        <f>MID(C100,3,2)</f>
        <v>תר</v>
      </c>
      <c r="G100" s="1" t="str">
        <f>CONCATENATE(K100,M100)</f>
        <v>צר</v>
      </c>
      <c r="H100" s="1">
        <f>VLOOKUP(K100,$W$23:$AN$40,MATCH(L100,$W$23:$AN$23,0),FALSE)</f>
        <v>1</v>
      </c>
      <c r="I100" s="1">
        <f>VLOOKUP(L100,$W$23:$AN$40,MATCH(M100,$W$23:$AN$23,0),FALSE)</f>
        <v>1</v>
      </c>
      <c r="J100" s="1">
        <f>VLOOKUP(K100,$W$23:$AN$40,MATCH(M100,$W$23:$AN$23,0),FALSE)</f>
        <v>4</v>
      </c>
      <c r="K100" s="1" t="str">
        <f>MID(A100,1,1)</f>
        <v>צ</v>
      </c>
      <c r="L100" s="1" t="str">
        <f>MID(A100,2,1)</f>
        <v>ת</v>
      </c>
      <c r="M100" s="1" t="str">
        <f>MID(A100,4,1)</f>
        <v>ר</v>
      </c>
      <c r="N100" s="1">
        <f>VLOOKUP(K100,$W:$X,2,0)</f>
        <v>15</v>
      </c>
      <c r="O100" s="1">
        <f>VLOOKUP(L100,$Z:$AA,2,0)</f>
        <v>9</v>
      </c>
      <c r="P100" s="1">
        <f>VLOOKUP(M100,$AC:$AD,2,0)</f>
        <v>14</v>
      </c>
      <c r="Q100" s="1">
        <f>IF(A100&lt;&gt;"",P100+O100+N100+H100+I100+J100,0)</f>
        <v>44</v>
      </c>
    </row>
    <row r="101" spans="1:17" x14ac:dyDescent="0.25">
      <c r="A101" s="41" t="s">
        <v>657</v>
      </c>
      <c r="B101">
        <v>0</v>
      </c>
      <c r="C101" s="41" t="s">
        <v>658</v>
      </c>
      <c r="D101">
        <v>2</v>
      </c>
      <c r="E101" s="1" t="str">
        <f>MID(A101,1,2)</f>
        <v>סמ</v>
      </c>
      <c r="F101" s="1" t="str">
        <f>MID(C101,3,2)</f>
        <v>מח</v>
      </c>
      <c r="G101" s="1" t="str">
        <f>CONCATENATE(K101,M101)</f>
        <v>סח</v>
      </c>
      <c r="H101" s="1">
        <f>VLOOKUP(K101,$W$23:$AN$40,MATCH(L101,$W$23:$AN$23,0),FALSE)</f>
        <v>1</v>
      </c>
      <c r="I101" s="1">
        <f>VLOOKUP(L101,$W$23:$AN$40,MATCH(M101,$W$23:$AN$23,0),FALSE)</f>
        <v>2</v>
      </c>
      <c r="J101" s="1">
        <f>VLOOKUP(K101,$W$23:$AN$40,MATCH(M101,$W$23:$AN$23,0),FALSE)</f>
        <v>3</v>
      </c>
      <c r="K101" s="1" t="str">
        <f>MID(A101,1,1)</f>
        <v>ס</v>
      </c>
      <c r="L101" s="1" t="str">
        <f>MID(A101,2,1)</f>
        <v>מ</v>
      </c>
      <c r="M101" s="1" t="str">
        <f>MID(A101,4,1)</f>
        <v>ח</v>
      </c>
      <c r="N101" s="1">
        <f>VLOOKUP(K101,$W:$X,2,0)</f>
        <v>14</v>
      </c>
      <c r="O101" s="1">
        <f>VLOOKUP(L101,$Z:$AA,2,0)</f>
        <v>10</v>
      </c>
      <c r="P101" s="1">
        <f>VLOOKUP(M101,$AC:$AD,2,0)</f>
        <v>14</v>
      </c>
      <c r="Q101" s="1">
        <f>IF(A101&lt;&gt;"",P101+O101+N101+H101+I101+J101,0)</f>
        <v>44</v>
      </c>
    </row>
    <row r="102" spans="1:17" x14ac:dyDescent="0.25">
      <c r="A102" s="41" t="s">
        <v>659</v>
      </c>
      <c r="B102">
        <v>0</v>
      </c>
      <c r="C102" s="41" t="s">
        <v>660</v>
      </c>
      <c r="D102">
        <v>2</v>
      </c>
      <c r="E102" s="1" t="str">
        <f>MID(A102,1,2)</f>
        <v>רנ</v>
      </c>
      <c r="F102" s="1" t="str">
        <f>MID(C102,3,2)</f>
        <v>נש</v>
      </c>
      <c r="G102" s="1" t="str">
        <f>CONCATENATE(K102,M102)</f>
        <v>רש</v>
      </c>
      <c r="H102" s="1">
        <f>VLOOKUP(K102,$W$23:$AN$40,MATCH(L102,$W$23:$AN$23,0),FALSE)</f>
        <v>2</v>
      </c>
      <c r="I102" s="1">
        <f>VLOOKUP(L102,$W$23:$AN$40,MATCH(M102,$W$23:$AN$23,0),FALSE)</f>
        <v>1</v>
      </c>
      <c r="J102" s="1">
        <f>VLOOKUP(K102,$W$23:$AN$40,MATCH(M102,$W$23:$AN$23,0),FALSE)</f>
        <v>3</v>
      </c>
      <c r="K102" s="1" t="str">
        <f>MID(A102,1,1)</f>
        <v>ר</v>
      </c>
      <c r="L102" s="1" t="str">
        <f>MID(A102,2,1)</f>
        <v>נ</v>
      </c>
      <c r="M102" s="1" t="str">
        <f>MID(A102,4,1)</f>
        <v>ש</v>
      </c>
      <c r="N102" s="1">
        <f>VLOOKUP(K102,$W:$X,2,0)</f>
        <v>14</v>
      </c>
      <c r="O102" s="1">
        <f>VLOOKUP(L102,$Z:$AA,2,0)</f>
        <v>9</v>
      </c>
      <c r="P102" s="1">
        <f>VLOOKUP(M102,$AC:$AD,2,0)</f>
        <v>14</v>
      </c>
      <c r="Q102" s="1">
        <f>IF(A102&lt;&gt;"",P102+O102+N102+H102+I102+J102,0)</f>
        <v>43</v>
      </c>
    </row>
    <row r="103" spans="1:17" x14ac:dyDescent="0.25">
      <c r="A103" s="41" t="s">
        <v>565</v>
      </c>
      <c r="B103">
        <v>3</v>
      </c>
      <c r="C103" s="41" t="s">
        <v>566</v>
      </c>
      <c r="D103">
        <v>2</v>
      </c>
      <c r="E103" s="1" t="str">
        <f>MID(A103,1,2)</f>
        <v>חד</v>
      </c>
      <c r="F103" s="1" t="str">
        <f>MID(C103,3,2)</f>
        <v>דק</v>
      </c>
      <c r="G103" s="1" t="str">
        <f>CONCATENATE(K103,M103)</f>
        <v>חק</v>
      </c>
      <c r="H103" s="1">
        <f>VLOOKUP(K103,$W$23:$AN$40,MATCH(L103,$W$23:$AN$23,0),FALSE)</f>
        <v>3</v>
      </c>
      <c r="I103" s="1">
        <f>VLOOKUP(L103,$W$23:$AN$40,MATCH(M103,$W$23:$AN$23,0),FALSE)</f>
        <v>3</v>
      </c>
      <c r="J103" s="1">
        <f>VLOOKUP(K103,$W$23:$AN$40,MATCH(M103,$W$23:$AN$23,0),FALSE)</f>
        <v>3</v>
      </c>
      <c r="K103" s="1" t="str">
        <f>MID(A103,1,1)</f>
        <v>ח</v>
      </c>
      <c r="L103" s="1" t="str">
        <f>MID(A103,2,1)</f>
        <v>ד</v>
      </c>
      <c r="M103" s="1" t="str">
        <f>MID(A103,4,1)</f>
        <v>ק</v>
      </c>
      <c r="N103" s="1">
        <f>VLOOKUP(K103,$W:$X,2,0)</f>
        <v>14</v>
      </c>
      <c r="O103" s="1">
        <f>VLOOKUP(L103,$Z:$AA,2,0)</f>
        <v>10</v>
      </c>
      <c r="P103" s="1">
        <f>VLOOKUP(M103,$AC:$AD,2,0)</f>
        <v>15</v>
      </c>
      <c r="Q103" s="1">
        <f>IF(A103&lt;&gt;"",P103+O103+N103+H103+I103+J103,0)</f>
        <v>48</v>
      </c>
    </row>
    <row r="104" spans="1:17" x14ac:dyDescent="0.25">
      <c r="A104" s="41" t="s">
        <v>797</v>
      </c>
      <c r="B104">
        <v>3</v>
      </c>
      <c r="C104" s="41" t="s">
        <v>798</v>
      </c>
      <c r="D104">
        <v>3</v>
      </c>
      <c r="E104" s="1" t="str">
        <f>MID(A104,1,2)</f>
        <v>עז</v>
      </c>
      <c r="F104" s="1" t="str">
        <f>MID(C104,3,2)</f>
        <v>זד</v>
      </c>
      <c r="G104" s="1" t="str">
        <f>CONCATENATE(K104,M104)</f>
        <v>עד</v>
      </c>
      <c r="H104" s="1">
        <f>VLOOKUP(K104,$W$23:$AN$40,MATCH(L104,$W$23:$AN$23,0),FALSE)</f>
        <v>2</v>
      </c>
      <c r="I104" s="1">
        <f>VLOOKUP(L104,$W$23:$AN$40,MATCH(M104,$W$23:$AN$23,0),FALSE)</f>
        <v>4</v>
      </c>
      <c r="J104" s="1">
        <f>VLOOKUP(K104,$W$23:$AN$40,MATCH(M104,$W$23:$AN$23,0),FALSE)</f>
        <v>6</v>
      </c>
      <c r="K104" s="1" t="str">
        <f>MID(A104,1,1)</f>
        <v>ע</v>
      </c>
      <c r="L104" s="1" t="str">
        <f>MID(A104,2,1)</f>
        <v>ז</v>
      </c>
      <c r="M104" s="1" t="str">
        <f>MID(A104,4,1)</f>
        <v>ד</v>
      </c>
      <c r="N104" s="1">
        <f>VLOOKUP(K104,$W:$X,2,0)</f>
        <v>14</v>
      </c>
      <c r="O104" s="1">
        <f>VLOOKUP(L104,$Z:$AA,2,0)</f>
        <v>10</v>
      </c>
      <c r="P104" s="1">
        <f>VLOOKUP(M104,$AC:$AD,2,0)</f>
        <v>15</v>
      </c>
      <c r="Q104" s="1">
        <f>IF(A104&lt;&gt;"",P104+O104+N104+H104+I104+J104,0)</f>
        <v>51</v>
      </c>
    </row>
    <row r="105" spans="1:17" x14ac:dyDescent="0.25">
      <c r="A105" s="41" t="s">
        <v>655</v>
      </c>
      <c r="B105">
        <v>0</v>
      </c>
      <c r="C105" s="41" t="s">
        <v>656</v>
      </c>
      <c r="D105">
        <v>1</v>
      </c>
      <c r="E105" s="1" t="str">
        <f>MID(A105,1,2)</f>
        <v>פמ</v>
      </c>
      <c r="F105" s="1" t="str">
        <f>MID(C105,3,2)</f>
        <v>מל</v>
      </c>
      <c r="G105" s="1" t="str">
        <f>CONCATENATE(K105,M105)</f>
        <v>פל</v>
      </c>
      <c r="H105" s="1">
        <f>VLOOKUP(K105,$W$23:$AN$40,MATCH(L105,$W$23:$AN$23,0),FALSE)</f>
        <v>3</v>
      </c>
      <c r="I105" s="1">
        <f>VLOOKUP(L105,$W$23:$AN$40,MATCH(M105,$W$23:$AN$23,0),FALSE)</f>
        <v>3</v>
      </c>
      <c r="J105" s="1">
        <f>VLOOKUP(K105,$W$23:$AN$40,MATCH(M105,$W$23:$AN$23,0),FALSE)</f>
        <v>5</v>
      </c>
      <c r="K105" s="1" t="str">
        <f>MID(A105,1,1)</f>
        <v>פ</v>
      </c>
      <c r="L105" s="1" t="str">
        <f>MID(A105,2,1)</f>
        <v>מ</v>
      </c>
      <c r="M105" s="1" t="str">
        <f>MID(A105,4,1)</f>
        <v>ל</v>
      </c>
      <c r="N105" s="1">
        <f>VLOOKUP(K105,$W:$X,2,0)</f>
        <v>15</v>
      </c>
      <c r="O105" s="1">
        <f>VLOOKUP(L105,$Z:$AA,2,0)</f>
        <v>10</v>
      </c>
      <c r="P105" s="1">
        <f>VLOOKUP(M105,$AC:$AD,2,0)</f>
        <v>14</v>
      </c>
      <c r="Q105" s="1">
        <f>IF(A105&lt;&gt;"",P105+O105+N105+H105+I105+J105,0)</f>
        <v>50</v>
      </c>
    </row>
    <row r="106" spans="1:17" x14ac:dyDescent="0.25">
      <c r="A106" s="1" t="s">
        <v>556</v>
      </c>
      <c r="B106">
        <v>2</v>
      </c>
      <c r="C106" s="1" t="s">
        <v>557</v>
      </c>
      <c r="D106">
        <v>1</v>
      </c>
      <c r="E106" s="1" t="str">
        <f>MID(A106,1,2)</f>
        <v>זל</v>
      </c>
      <c r="F106" s="1" t="str">
        <f>MID(C106,3,2)</f>
        <v>לס</v>
      </c>
      <c r="G106" s="1" t="str">
        <f>CONCATENATE(K106,M106)</f>
        <v>זס</v>
      </c>
      <c r="H106" s="1">
        <f>VLOOKUP(K106,$W$23:$AN$40,MATCH(L106,$W$23:$AN$23,0),FALSE)</f>
        <v>3</v>
      </c>
      <c r="I106" s="1">
        <f>VLOOKUP(L106,$W$23:$AN$40,MATCH(M106,$W$23:$AN$23,0),FALSE)</f>
        <v>2</v>
      </c>
      <c r="J106" s="1">
        <f>VLOOKUP(K106,$W$23:$AN$40,MATCH(M106,$W$23:$AN$23,0),FALSE)</f>
        <v>2</v>
      </c>
      <c r="K106" s="1" t="str">
        <f>MID(A106,1,1)</f>
        <v>ז</v>
      </c>
      <c r="L106" s="1" t="str">
        <f>MID(A106,2,1)</f>
        <v>ל</v>
      </c>
      <c r="M106" s="1" t="str">
        <f>MID(A106,4,1)</f>
        <v>ס</v>
      </c>
      <c r="N106" s="1">
        <f>VLOOKUP(K106,$W:$X,2,0)</f>
        <v>15</v>
      </c>
      <c r="O106" s="1">
        <f>VLOOKUP(L106,$Z:$AA,2,0)</f>
        <v>9</v>
      </c>
      <c r="P106" s="1">
        <f>VLOOKUP(M106,$AC:$AD,2,0)</f>
        <v>15</v>
      </c>
      <c r="Q106" s="1">
        <f>IF(A106&lt;&gt;"",P106+O106+N106+H106+I106+J106,0)</f>
        <v>46</v>
      </c>
    </row>
    <row r="107" spans="1:17" x14ac:dyDescent="0.25">
      <c r="A107" s="1" t="s">
        <v>799</v>
      </c>
      <c r="B107">
        <v>2</v>
      </c>
      <c r="C107" s="1" t="s">
        <v>800</v>
      </c>
      <c r="D107">
        <v>1</v>
      </c>
      <c r="E107" s="1" t="str">
        <f>MID(A107,1,2)</f>
        <v>קט</v>
      </c>
      <c r="F107" s="1" t="str">
        <f>MID(C107,3,2)</f>
        <v>טע</v>
      </c>
      <c r="G107" s="1" t="str">
        <f>CONCATENATE(K107,M107)</f>
        <v>קע</v>
      </c>
      <c r="H107" s="1">
        <f>VLOOKUP(K107,$W$23:$AN$40,MATCH(L107,$W$23:$AN$23,0),FALSE)</f>
        <v>4</v>
      </c>
      <c r="I107" s="1">
        <f>VLOOKUP(L107,$W$23:$AN$40,MATCH(M107,$W$23:$AN$23,0),FALSE)</f>
        <v>3</v>
      </c>
      <c r="J107" s="1">
        <f>VLOOKUP(K107,$W$23:$AN$40,MATCH(M107,$W$23:$AN$23,0),FALSE)</f>
        <v>5</v>
      </c>
      <c r="K107" s="1" t="str">
        <f>MID(A107,1,1)</f>
        <v>ק</v>
      </c>
      <c r="L107" s="1" t="str">
        <f>MID(A107,2,1)</f>
        <v>ט</v>
      </c>
      <c r="M107" s="1" t="str">
        <f>MID(A107,4,1)</f>
        <v>ע</v>
      </c>
      <c r="N107" s="1">
        <f>VLOOKUP(K107,$W:$X,2,0)</f>
        <v>15</v>
      </c>
      <c r="O107" s="1">
        <f>VLOOKUP(L107,$Z:$AA,2,0)</f>
        <v>9</v>
      </c>
      <c r="P107" s="1">
        <f>VLOOKUP(M107,$AC:$AD,2,0)</f>
        <v>15</v>
      </c>
      <c r="Q107" s="1">
        <f>IF(A107&lt;&gt;"",P107+O107+N107+H107+I107+J107,0)</f>
        <v>51</v>
      </c>
    </row>
    <row r="108" spans="1:17" x14ac:dyDescent="0.25">
      <c r="A108" s="1" t="s">
        <v>801</v>
      </c>
      <c r="B108">
        <v>2</v>
      </c>
      <c r="C108" s="1" t="s">
        <v>802</v>
      </c>
      <c r="D108">
        <v>3</v>
      </c>
      <c r="E108" s="1" t="str">
        <f>MID(A108,1,2)</f>
        <v>גת</v>
      </c>
      <c r="F108" s="1" t="str">
        <f>MID(C108,3,2)</f>
        <v>תז</v>
      </c>
      <c r="G108" s="1" t="str">
        <f>CONCATENATE(K108,M108)</f>
        <v>גז</v>
      </c>
      <c r="H108" s="1">
        <f>VLOOKUP(K108,$W$23:$AN$40,MATCH(L108,$W$23:$AN$23,0),FALSE)</f>
        <v>2</v>
      </c>
      <c r="I108" s="1">
        <f>VLOOKUP(L108,$W$23:$AN$40,MATCH(M108,$W$23:$AN$23,0),FALSE)</f>
        <v>1</v>
      </c>
      <c r="J108" s="1">
        <f>VLOOKUP(K108,$W$23:$AN$40,MATCH(M108,$W$23:$AN$23,0),FALSE)</f>
        <v>4</v>
      </c>
      <c r="K108" s="1" t="str">
        <f>MID(A108,1,1)</f>
        <v>ג</v>
      </c>
      <c r="L108" s="1" t="str">
        <f>MID(A108,2,1)</f>
        <v>ת</v>
      </c>
      <c r="M108" s="1" t="str">
        <f>MID(A108,4,1)</f>
        <v>ז</v>
      </c>
      <c r="N108" s="1">
        <f>VLOOKUP(K108,$W:$X,2,0)</f>
        <v>15</v>
      </c>
      <c r="O108" s="1">
        <f>VLOOKUP(L108,$Z:$AA,2,0)</f>
        <v>9</v>
      </c>
      <c r="P108" s="1">
        <f>VLOOKUP(M108,$AC:$AD,2,0)</f>
        <v>15</v>
      </c>
      <c r="Q108" s="1">
        <f>IF(A108&lt;&gt;"",P108+O108+N108+H108+I108+J108,0)</f>
        <v>46</v>
      </c>
    </row>
    <row r="109" spans="1:17" x14ac:dyDescent="0.25">
      <c r="A109" s="41" t="s">
        <v>803</v>
      </c>
      <c r="B109">
        <v>1</v>
      </c>
      <c r="C109" s="41" t="s">
        <v>804</v>
      </c>
      <c r="D109">
        <v>1</v>
      </c>
      <c r="E109" s="1" t="str">
        <f>MID(A109,1,2)</f>
        <v>טע</v>
      </c>
      <c r="F109" s="1" t="str">
        <f>MID(C109,3,2)</f>
        <v>עג</v>
      </c>
      <c r="G109" s="1" t="str">
        <f>CONCATENATE(K109,M109)</f>
        <v>טג</v>
      </c>
      <c r="H109" s="1">
        <f>VLOOKUP(K109,$W$23:$AN$40,MATCH(L109,$W$23:$AN$23,0),FALSE)</f>
        <v>3</v>
      </c>
      <c r="I109" s="1">
        <f>VLOOKUP(L109,$W$23:$AN$40,MATCH(M109,$W$23:$AN$23,0),FALSE)</f>
        <v>4</v>
      </c>
      <c r="J109" s="1">
        <f>VLOOKUP(K109,$W$23:$AN$40,MATCH(M109,$W$23:$AN$23,0),FALSE)</f>
        <v>3</v>
      </c>
      <c r="K109" s="1" t="str">
        <f>MID(A109,1,1)</f>
        <v>ט</v>
      </c>
      <c r="L109" s="1" t="str">
        <f>MID(A109,2,1)</f>
        <v>ע</v>
      </c>
      <c r="M109" s="1" t="str">
        <f>MID(A109,4,1)</f>
        <v>ג</v>
      </c>
      <c r="N109" s="1">
        <f>VLOOKUP(K109,$W:$X,2,0)</f>
        <v>15</v>
      </c>
      <c r="O109" s="1">
        <f>VLOOKUP(L109,$Z:$AA,2,0)</f>
        <v>8</v>
      </c>
      <c r="P109" s="1">
        <f>VLOOKUP(M109,$AC:$AD,2,0)</f>
        <v>14</v>
      </c>
      <c r="Q109" s="1">
        <f>IF(A109&lt;&gt;"",P109+O109+N109+H109+I109+J109,0)</f>
        <v>47</v>
      </c>
    </row>
    <row r="110" spans="1:17" x14ac:dyDescent="0.25">
      <c r="A110" s="41" t="s">
        <v>534</v>
      </c>
      <c r="B110">
        <v>3</v>
      </c>
      <c r="C110" s="41" t="s">
        <v>535</v>
      </c>
      <c r="D110">
        <v>3</v>
      </c>
      <c r="E110" s="1" t="str">
        <f>MID(A110,1,2)</f>
        <v>דש</v>
      </c>
      <c r="F110" s="1" t="str">
        <f>MID(C110,3,2)</f>
        <v>שט</v>
      </c>
      <c r="G110" s="1" t="str">
        <f>CONCATENATE(K110,M110)</f>
        <v>דט</v>
      </c>
      <c r="H110" s="1">
        <f>VLOOKUP(K110,$W$23:$AN$40,MATCH(L110,$W$23:$AN$23,0),FALSE)</f>
        <v>4</v>
      </c>
      <c r="I110" s="1">
        <f>VLOOKUP(L110,$W$23:$AN$40,MATCH(M110,$W$23:$AN$23,0),FALSE)</f>
        <v>3</v>
      </c>
      <c r="J110" s="1">
        <f>VLOOKUP(K110,$W$23:$AN$40,MATCH(M110,$W$23:$AN$23,0),FALSE)</f>
        <v>4</v>
      </c>
      <c r="K110" s="1" t="str">
        <f>MID(A110,1,1)</f>
        <v>ד</v>
      </c>
      <c r="L110" s="1" t="str">
        <f>MID(A110,2,1)</f>
        <v>ש</v>
      </c>
      <c r="M110" s="1" t="str">
        <f>MID(A110,4,1)</f>
        <v>ט</v>
      </c>
      <c r="N110" s="1">
        <f>VLOOKUP(K110,$W:$X,2,0)</f>
        <v>14</v>
      </c>
      <c r="O110" s="1">
        <f>VLOOKUP(L110,$Z:$AA,2,0)</f>
        <v>10</v>
      </c>
      <c r="P110" s="1">
        <f>VLOOKUP(M110,$AC:$AD,2,0)</f>
        <v>15</v>
      </c>
      <c r="Q110" s="1">
        <f>IF(A110&lt;&gt;"",P110+O110+N110+H110+I110+J110,0)</f>
        <v>50</v>
      </c>
    </row>
    <row r="111" spans="1:17" x14ac:dyDescent="0.25">
      <c r="A111" s="1" t="s">
        <v>805</v>
      </c>
      <c r="B111">
        <v>0</v>
      </c>
      <c r="C111" s="1" t="s">
        <v>806</v>
      </c>
      <c r="D111">
        <v>3</v>
      </c>
      <c r="E111" s="1" t="str">
        <f>MID(A111,1,2)</f>
        <v>קכ</v>
      </c>
      <c r="F111" s="1" t="str">
        <f>MID(C111,3,2)</f>
        <v>כל</v>
      </c>
      <c r="G111" s="1" t="str">
        <f>CONCATENATE(K111,M111)</f>
        <v>קל</v>
      </c>
      <c r="H111" s="1">
        <f>VLOOKUP(K111,$W$23:$AN$40,MATCH(L111,$W$23:$AN$23,0),FALSE)</f>
        <v>2</v>
      </c>
      <c r="I111" s="1">
        <f>VLOOKUP(L111,$W$23:$AN$40,MATCH(M111,$W$23:$AN$23,0),FALSE)</f>
        <v>1</v>
      </c>
      <c r="J111" s="1">
        <f>VLOOKUP(K111,$W$23:$AN$40,MATCH(M111,$W$23:$AN$23,0),FALSE)</f>
        <v>3</v>
      </c>
      <c r="K111" s="1" t="str">
        <f>MID(A111,1,1)</f>
        <v>ק</v>
      </c>
      <c r="L111" s="1" t="str">
        <f>MID(A111,2,1)</f>
        <v>כ</v>
      </c>
      <c r="M111" s="1" t="str">
        <f>MID(A111,4,1)</f>
        <v>ל</v>
      </c>
      <c r="N111" s="1">
        <f>VLOOKUP(K111,$W:$X,2,0)</f>
        <v>15</v>
      </c>
      <c r="O111" s="1">
        <f>VLOOKUP(L111,$Z:$AA,2,0)</f>
        <v>9</v>
      </c>
      <c r="P111" s="1">
        <f>VLOOKUP(M111,$AC:$AD,2,0)</f>
        <v>14</v>
      </c>
      <c r="Q111" s="1">
        <f>IF(A111&lt;&gt;"",P111+O111+N111+H111+I111+J111,0)</f>
        <v>44</v>
      </c>
    </row>
    <row r="112" spans="1:17" x14ac:dyDescent="0.25">
      <c r="A112" s="1" t="s">
        <v>807</v>
      </c>
      <c r="B112">
        <v>1</v>
      </c>
      <c r="C112" s="1" t="s">
        <v>808</v>
      </c>
      <c r="D112">
        <v>2</v>
      </c>
      <c r="E112" s="1" t="str">
        <f>MID(A112,1,2)</f>
        <v>צפ</v>
      </c>
      <c r="F112" s="1" t="str">
        <f>MID(C112,3,2)</f>
        <v>פס</v>
      </c>
      <c r="G112" s="1" t="str">
        <f>CONCATENATE(K112,M112)</f>
        <v>צס</v>
      </c>
      <c r="H112" s="1">
        <f>VLOOKUP(K112,$W$23:$AN$40,MATCH(L112,$W$23:$AN$23,0),FALSE)</f>
        <v>2</v>
      </c>
      <c r="I112" s="1">
        <f>VLOOKUP(L112,$W$23:$AN$40,MATCH(M112,$W$23:$AN$23,0),FALSE)</f>
        <v>3</v>
      </c>
      <c r="J112" s="1">
        <f>VLOOKUP(K112,$W$23:$AN$40,MATCH(M112,$W$23:$AN$23,0),FALSE)</f>
        <v>6</v>
      </c>
      <c r="K112" s="1" t="str">
        <f>MID(A112,1,1)</f>
        <v>צ</v>
      </c>
      <c r="L112" s="1" t="str">
        <f>MID(A112,2,1)</f>
        <v>פ</v>
      </c>
      <c r="M112" s="1" t="str">
        <f>MID(A112,4,1)</f>
        <v>ס</v>
      </c>
      <c r="N112" s="1">
        <f>VLOOKUP(K112,$W:$X,2,0)</f>
        <v>15</v>
      </c>
      <c r="O112" s="1">
        <f>VLOOKUP(L112,$Z:$AA,2,0)</f>
        <v>10</v>
      </c>
      <c r="P112" s="1">
        <f>VLOOKUP(M112,$AC:$AD,2,0)</f>
        <v>15</v>
      </c>
      <c r="Q112" s="1">
        <f>IF(A112&lt;&gt;"",P112+O112+N112+H112+I112+J112,0)</f>
        <v>51</v>
      </c>
    </row>
    <row r="113" spans="1:17" x14ac:dyDescent="0.25">
      <c r="A113" s="1" t="s">
        <v>641</v>
      </c>
      <c r="B113">
        <v>2</v>
      </c>
      <c r="C113" s="1" t="s">
        <v>642</v>
      </c>
      <c r="D113">
        <v>2</v>
      </c>
      <c r="E113" s="1" t="str">
        <f>MID(A113,1,2)</f>
        <v>גס</v>
      </c>
      <c r="F113" s="1" t="str">
        <f>MID(C113,3,2)</f>
        <v>סש</v>
      </c>
      <c r="G113" s="1" t="str">
        <f>CONCATENATE(K113,M113)</f>
        <v>גש</v>
      </c>
      <c r="H113" s="1">
        <f>VLOOKUP(K113,$W$23:$AN$40,MATCH(L113,$W$23:$AN$23,0),FALSE)</f>
        <v>2</v>
      </c>
      <c r="I113" s="1">
        <f>VLOOKUP(L113,$W$23:$AN$40,MATCH(M113,$W$23:$AN$23,0),FALSE)</f>
        <v>6</v>
      </c>
      <c r="J113" s="1">
        <f>VLOOKUP(K113,$W$23:$AN$40,MATCH(M113,$W$23:$AN$23,0),FALSE)</f>
        <v>3</v>
      </c>
      <c r="K113" s="1" t="str">
        <f>MID(A113,1,1)</f>
        <v>ג</v>
      </c>
      <c r="L113" s="1" t="str">
        <f>MID(A113,2,1)</f>
        <v>ס</v>
      </c>
      <c r="M113" s="1" t="str">
        <f>MID(A113,4,1)</f>
        <v>ש</v>
      </c>
      <c r="N113" s="1">
        <f>VLOOKUP(K113,$W:$X,2,0)</f>
        <v>15</v>
      </c>
      <c r="O113" s="1">
        <f>VLOOKUP(L113,$Z:$AA,2,0)</f>
        <v>10</v>
      </c>
      <c r="P113" s="1">
        <f>VLOOKUP(M113,$AC:$AD,2,0)</f>
        <v>14</v>
      </c>
      <c r="Q113" s="1">
        <f>IF(A113&lt;&gt;"",P113+O113+N113+H113+I113+J113,0)</f>
        <v>50</v>
      </c>
    </row>
    <row r="114" spans="1:17" x14ac:dyDescent="0.25">
      <c r="A114" s="41" t="s">
        <v>809</v>
      </c>
      <c r="B114">
        <v>1</v>
      </c>
      <c r="C114" s="41" t="s">
        <v>810</v>
      </c>
      <c r="D114">
        <v>0</v>
      </c>
      <c r="E114" s="1" t="str">
        <f>MID(A114,1,2)</f>
        <v>חנ</v>
      </c>
      <c r="F114" s="1" t="str">
        <f>MID(C114,3,2)</f>
        <v>נז</v>
      </c>
      <c r="G114" s="1" t="str">
        <f>CONCATENATE(K114,M114)</f>
        <v>חז</v>
      </c>
      <c r="H114" s="1">
        <f>VLOOKUP(K114,$W$23:$AN$40,MATCH(L114,$W$23:$AN$23,0),FALSE)</f>
        <v>2</v>
      </c>
      <c r="I114" s="1">
        <f>VLOOKUP(L114,$W$23:$AN$40,MATCH(M114,$W$23:$AN$23,0),FALSE)</f>
        <v>2</v>
      </c>
      <c r="J114" s="1">
        <f>VLOOKUP(K114,$W$23:$AN$40,MATCH(M114,$W$23:$AN$23,0),FALSE)</f>
        <v>5</v>
      </c>
      <c r="K114" s="1" t="str">
        <f>MID(A114,1,1)</f>
        <v>ח</v>
      </c>
      <c r="L114" s="1" t="str">
        <f>MID(A114,2,1)</f>
        <v>נ</v>
      </c>
      <c r="M114" s="1" t="str">
        <f>MID(A114,4,1)</f>
        <v>ז</v>
      </c>
      <c r="N114" s="1">
        <f>VLOOKUP(K114,$W:$X,2,0)</f>
        <v>14</v>
      </c>
      <c r="O114" s="1">
        <f>VLOOKUP(L114,$Z:$AA,2,0)</f>
        <v>9</v>
      </c>
      <c r="P114" s="1">
        <f>VLOOKUP(M114,$AC:$AD,2,0)</f>
        <v>15</v>
      </c>
      <c r="Q114" s="1">
        <f>IF(A114&lt;&gt;"",P114+O114+N114+H114+I114+J114,0)</f>
        <v>47</v>
      </c>
    </row>
    <row r="115" spans="1:17" x14ac:dyDescent="0.25">
      <c r="A115" s="41" t="s">
        <v>811</v>
      </c>
      <c r="B115">
        <v>1</v>
      </c>
      <c r="C115" s="41" t="s">
        <v>812</v>
      </c>
      <c r="D115">
        <v>2</v>
      </c>
      <c r="E115" s="1" t="str">
        <f>MID(A115,1,2)</f>
        <v>דצ</v>
      </c>
      <c r="F115" s="1" t="str">
        <f>MID(C115,3,2)</f>
        <v>צח</v>
      </c>
      <c r="G115" s="1" t="str">
        <f>CONCATENATE(K115,M115)</f>
        <v>דח</v>
      </c>
      <c r="H115" s="1">
        <f>VLOOKUP(K115,$W$23:$AN$40,MATCH(L115,$W$23:$AN$23,0),FALSE)</f>
        <v>2</v>
      </c>
      <c r="I115" s="1">
        <f>VLOOKUP(L115,$W$23:$AN$40,MATCH(M115,$W$23:$AN$23,0),FALSE)</f>
        <v>3</v>
      </c>
      <c r="J115" s="1">
        <f>VLOOKUP(K115,$W$23:$AN$40,MATCH(M115,$W$23:$AN$23,0),FALSE)</f>
        <v>4</v>
      </c>
      <c r="K115" s="1" t="str">
        <f>MID(A115,1,1)</f>
        <v>ד</v>
      </c>
      <c r="L115" s="1" t="str">
        <f>MID(A115,2,1)</f>
        <v>צ</v>
      </c>
      <c r="M115" s="1" t="str">
        <f>MID(A115,4,1)</f>
        <v>ח</v>
      </c>
      <c r="N115" s="1">
        <f>VLOOKUP(K115,$W:$X,2,0)</f>
        <v>14</v>
      </c>
      <c r="O115" s="1">
        <f>VLOOKUP(L115,$Z:$AA,2,0)</f>
        <v>9</v>
      </c>
      <c r="P115" s="1">
        <f>VLOOKUP(M115,$AC:$AD,2,0)</f>
        <v>14</v>
      </c>
      <c r="Q115" s="1">
        <f>IF(A115&lt;&gt;"",P115+O115+N115+H115+I115+J115,0)</f>
        <v>46</v>
      </c>
    </row>
    <row r="116" spans="1:17" x14ac:dyDescent="0.25">
      <c r="A116" s="41" t="s">
        <v>583</v>
      </c>
      <c r="B116">
        <v>2</v>
      </c>
      <c r="C116" s="41" t="s">
        <v>584</v>
      </c>
      <c r="D116">
        <v>2</v>
      </c>
      <c r="E116" s="1" t="str">
        <f>MID(A116,1,2)</f>
        <v>סר</v>
      </c>
      <c r="F116" s="1" t="str">
        <f>MID(C116,3,2)</f>
        <v>רט</v>
      </c>
      <c r="G116" s="1" t="str">
        <f>CONCATENATE(K116,M116)</f>
        <v>סט</v>
      </c>
      <c r="H116" s="1">
        <f>VLOOKUP(K116,$W$23:$AN$40,MATCH(L116,$W$23:$AN$23,0),FALSE)</f>
        <v>3</v>
      </c>
      <c r="I116" s="1">
        <f>VLOOKUP(L116,$W$23:$AN$40,MATCH(M116,$W$23:$AN$23,0),FALSE)</f>
        <v>3</v>
      </c>
      <c r="J116" s="1">
        <f>VLOOKUP(K116,$W$23:$AN$40,MATCH(M116,$W$23:$AN$23,0),FALSE)</f>
        <v>2</v>
      </c>
      <c r="K116" s="1" t="str">
        <f>MID(A116,1,1)</f>
        <v>ס</v>
      </c>
      <c r="L116" s="1" t="str">
        <f>MID(A116,2,1)</f>
        <v>ר</v>
      </c>
      <c r="M116" s="1" t="str">
        <f>MID(A116,4,1)</f>
        <v>ט</v>
      </c>
      <c r="N116" s="1">
        <f>VLOOKUP(K116,$W:$X,2,0)</f>
        <v>14</v>
      </c>
      <c r="O116" s="1">
        <f>VLOOKUP(L116,$Z:$AA,2,0)</f>
        <v>10</v>
      </c>
      <c r="P116" s="1">
        <f>VLOOKUP(M116,$AC:$AD,2,0)</f>
        <v>15</v>
      </c>
      <c r="Q116" s="1">
        <f>IF(A116&lt;&gt;"",P116+O116+N116+H116+I116+J116,0)</f>
        <v>47</v>
      </c>
    </row>
    <row r="117" spans="1:17" x14ac:dyDescent="0.25">
      <c r="A117" s="41" t="s">
        <v>585</v>
      </c>
      <c r="B117">
        <v>3</v>
      </c>
      <c r="C117" s="41" t="s">
        <v>586</v>
      </c>
      <c r="D117">
        <v>1</v>
      </c>
      <c r="E117" s="1" t="str">
        <f>MID(A117,1,2)</f>
        <v>פח</v>
      </c>
      <c r="F117" s="1" t="str">
        <f>MID(C117,3,2)</f>
        <v>חר</v>
      </c>
      <c r="G117" s="1" t="str">
        <f>CONCATENATE(K117,M117)</f>
        <v>פר</v>
      </c>
      <c r="H117" s="1">
        <f>VLOOKUP(K117,$W$23:$AN$40,MATCH(L117,$W$23:$AN$23,0),FALSE)</f>
        <v>4</v>
      </c>
      <c r="I117" s="1">
        <f>VLOOKUP(L117,$W$23:$AN$40,MATCH(M117,$W$23:$AN$23,0),FALSE)</f>
        <v>4</v>
      </c>
      <c r="J117" s="1">
        <f>VLOOKUP(K117,$W$23:$AN$40,MATCH(M117,$W$23:$AN$23,0),FALSE)</f>
        <v>4</v>
      </c>
      <c r="K117" s="1" t="str">
        <f>MID(A117,1,1)</f>
        <v>פ</v>
      </c>
      <c r="L117" s="1" t="str">
        <f>MID(A117,2,1)</f>
        <v>ח</v>
      </c>
      <c r="M117" s="1" t="str">
        <f>MID(A117,4,1)</f>
        <v>ר</v>
      </c>
      <c r="N117" s="1">
        <f>VLOOKUP(K117,$W:$X,2,0)</f>
        <v>15</v>
      </c>
      <c r="O117" s="1">
        <f>VLOOKUP(L117,$Z:$AA,2,0)</f>
        <v>10</v>
      </c>
      <c r="P117" s="1">
        <f>VLOOKUP(M117,$AC:$AD,2,0)</f>
        <v>14</v>
      </c>
      <c r="Q117" s="1">
        <f>IF(A117&lt;&gt;"",P117+O117+N117+H117+I117+J117,0)</f>
        <v>51</v>
      </c>
    </row>
    <row r="118" spans="1:17" x14ac:dyDescent="0.25">
      <c r="A118" s="1" t="s">
        <v>813</v>
      </c>
      <c r="B118">
        <v>1</v>
      </c>
      <c r="C118" s="1" t="s">
        <v>814</v>
      </c>
      <c r="D118">
        <v>0</v>
      </c>
      <c r="E118" s="1" t="str">
        <f>MID(A118,1,2)</f>
        <v>זג</v>
      </c>
      <c r="F118" s="1" t="str">
        <f>MID(C118,3,2)</f>
        <v>גק</v>
      </c>
      <c r="G118" s="1" t="str">
        <f>CONCATENATE(K118,M118)</f>
        <v>זק</v>
      </c>
      <c r="H118" s="1">
        <f>VLOOKUP(K118,$W$23:$AN$40,MATCH(L118,$W$23:$AN$23,0),FALSE)</f>
        <v>6</v>
      </c>
      <c r="I118" s="1">
        <f>VLOOKUP(L118,$W$23:$AN$40,MATCH(M118,$W$23:$AN$23,0),FALSE)</f>
        <v>3</v>
      </c>
      <c r="J118" s="1">
        <f>VLOOKUP(K118,$W$23:$AN$40,MATCH(M118,$W$23:$AN$23,0),FALSE)</f>
        <v>2</v>
      </c>
      <c r="K118" s="1" t="str">
        <f>MID(A118,1,1)</f>
        <v>ז</v>
      </c>
      <c r="L118" s="1" t="str">
        <f>MID(A118,2,1)</f>
        <v>ג</v>
      </c>
      <c r="M118" s="1" t="str">
        <f>MID(A118,4,1)</f>
        <v>ק</v>
      </c>
      <c r="N118" s="1">
        <f>VLOOKUP(K118,$W:$X,2,0)</f>
        <v>15</v>
      </c>
      <c r="O118" s="1">
        <f>VLOOKUP(L118,$Z:$AA,2,0)</f>
        <v>9</v>
      </c>
      <c r="P118" s="1">
        <f>VLOOKUP(M118,$AC:$AD,2,0)</f>
        <v>15</v>
      </c>
      <c r="Q118" s="1">
        <f>IF(A118&lt;&gt;"",P118+O118+N118+H118+I118+J118,0)</f>
        <v>50</v>
      </c>
    </row>
    <row r="119" spans="1:17" x14ac:dyDescent="0.25">
      <c r="A119" s="41" t="s">
        <v>571</v>
      </c>
      <c r="B119">
        <v>1</v>
      </c>
      <c r="C119" s="41" t="s">
        <v>572</v>
      </c>
      <c r="D119">
        <v>0</v>
      </c>
      <c r="E119" s="1" t="str">
        <f>MID(A119,1,2)</f>
        <v>טק</v>
      </c>
      <c r="F119" s="1" t="str">
        <f>MID(C119,3,2)</f>
        <v>קע</v>
      </c>
      <c r="G119" s="1" t="str">
        <f>CONCATENATE(K119,M119)</f>
        <v>טע</v>
      </c>
      <c r="H119" s="1">
        <f>VLOOKUP(K119,$W$23:$AN$40,MATCH(L119,$W$23:$AN$23,0),FALSE)</f>
        <v>3</v>
      </c>
      <c r="I119" s="1">
        <f>VLOOKUP(L119,$W$23:$AN$40,MATCH(M119,$W$23:$AN$23,0),FALSE)</f>
        <v>5</v>
      </c>
      <c r="J119" s="1">
        <f>VLOOKUP(K119,$W$23:$AN$40,MATCH(M119,$W$23:$AN$23,0),FALSE)</f>
        <v>3</v>
      </c>
      <c r="K119" s="1" t="str">
        <f>MID(A119,1,1)</f>
        <v>ט</v>
      </c>
      <c r="L119" s="1" t="str">
        <f>MID(A119,2,1)</f>
        <v>ק</v>
      </c>
      <c r="M119" s="1" t="str">
        <f>MID(A119,4,1)</f>
        <v>ע</v>
      </c>
      <c r="N119" s="1">
        <f>VLOOKUP(K119,$W:$X,2,0)</f>
        <v>15</v>
      </c>
      <c r="O119" s="1">
        <f>VLOOKUP(L119,$Z:$AA,2,0)</f>
        <v>9</v>
      </c>
      <c r="P119" s="1">
        <f>VLOOKUP(M119,$AC:$AD,2,0)</f>
        <v>15</v>
      </c>
      <c r="Q119" s="1">
        <f>IF(A119&lt;&gt;"",P119+O119+N119+H119+I119+J119,0)</f>
        <v>50</v>
      </c>
    </row>
    <row r="120" spans="1:17" x14ac:dyDescent="0.25">
      <c r="A120" s="41" t="s">
        <v>615</v>
      </c>
      <c r="B120">
        <v>0</v>
      </c>
      <c r="C120" s="41" t="s">
        <v>616</v>
      </c>
      <c r="D120">
        <v>1</v>
      </c>
      <c r="E120" s="1" t="str">
        <f>MID(A120,1,2)</f>
        <v>עכ</v>
      </c>
      <c r="F120" s="1" t="str">
        <f>MID(C120,3,2)</f>
        <v>כג</v>
      </c>
      <c r="G120" s="1" t="str">
        <f>CONCATENATE(K120,M120)</f>
        <v>עג</v>
      </c>
      <c r="H120" s="1">
        <f>VLOOKUP(K120,$W$23:$AN$40,MATCH(L120,$W$23:$AN$23,0),FALSE)</f>
        <v>3</v>
      </c>
      <c r="I120" s="1">
        <f>VLOOKUP(L120,$W$23:$AN$40,MATCH(M120,$W$23:$AN$23,0),FALSE)</f>
        <v>1</v>
      </c>
      <c r="J120" s="1">
        <f>VLOOKUP(K120,$W$23:$AN$40,MATCH(M120,$W$23:$AN$23,0),FALSE)</f>
        <v>4</v>
      </c>
      <c r="K120" s="1" t="str">
        <f>MID(A120,1,1)</f>
        <v>ע</v>
      </c>
      <c r="L120" s="1" t="str">
        <f>MID(A120,2,1)</f>
        <v>כ</v>
      </c>
      <c r="M120" s="1" t="str">
        <f>MID(A120,4,1)</f>
        <v>ג</v>
      </c>
      <c r="N120" s="1">
        <f>VLOOKUP(K120,$W:$X,2,0)</f>
        <v>14</v>
      </c>
      <c r="O120" s="1">
        <f>VLOOKUP(L120,$Z:$AA,2,0)</f>
        <v>9</v>
      </c>
      <c r="P120" s="1">
        <f>VLOOKUP(M120,$AC:$AD,2,0)</f>
        <v>14</v>
      </c>
      <c r="Q120" s="1">
        <f>IF(A120&lt;&gt;"",P120+O120+N120+H120+I120+J120,0)</f>
        <v>45</v>
      </c>
    </row>
    <row r="121" spans="1:17" x14ac:dyDescent="0.25">
      <c r="A121" s="41" t="s">
        <v>713</v>
      </c>
      <c r="B121">
        <v>1</v>
      </c>
      <c r="C121" s="41" t="s">
        <v>714</v>
      </c>
      <c r="D121">
        <v>2</v>
      </c>
      <c r="E121" s="1" t="str">
        <f>MID(A121,1,2)</f>
        <v>רת</v>
      </c>
      <c r="F121" s="1" t="str">
        <f>MID(C121,3,2)</f>
        <v>תט</v>
      </c>
      <c r="G121" s="1" t="str">
        <f>CONCATENATE(K121,M121)</f>
        <v>רט</v>
      </c>
      <c r="H121" s="1">
        <f>VLOOKUP(K121,$W$23:$AN$40,MATCH(L121,$W$23:$AN$23,0),FALSE)</f>
        <v>1</v>
      </c>
      <c r="I121" s="1">
        <f>VLOOKUP(L121,$W$23:$AN$40,MATCH(M121,$W$23:$AN$23,0),FALSE)</f>
        <v>2</v>
      </c>
      <c r="J121" s="1">
        <f>VLOOKUP(K121,$W$23:$AN$40,MATCH(M121,$W$23:$AN$23,0),FALSE)</f>
        <v>3</v>
      </c>
      <c r="K121" s="1" t="str">
        <f>MID(A121,1,1)</f>
        <v>ר</v>
      </c>
      <c r="L121" s="1" t="str">
        <f>MID(A121,2,1)</f>
        <v>ת</v>
      </c>
      <c r="M121" s="1" t="str">
        <f>MID(A121,4,1)</f>
        <v>ט</v>
      </c>
      <c r="N121" s="1">
        <f>VLOOKUP(K121,$W:$X,2,0)</f>
        <v>14</v>
      </c>
      <c r="O121" s="1">
        <f>VLOOKUP(L121,$Z:$AA,2,0)</f>
        <v>9</v>
      </c>
      <c r="P121" s="1">
        <f>VLOOKUP(M121,$AC:$AD,2,0)</f>
        <v>15</v>
      </c>
      <c r="Q121" s="1">
        <f>IF(A121&lt;&gt;"",P121+O121+N121+H121+I121+J121,0)</f>
        <v>44</v>
      </c>
    </row>
    <row r="122" spans="1:17" x14ac:dyDescent="0.25">
      <c r="A122" s="41" t="s">
        <v>815</v>
      </c>
      <c r="B122">
        <v>2</v>
      </c>
      <c r="C122" s="41" t="s">
        <v>816</v>
      </c>
      <c r="D122">
        <v>2</v>
      </c>
      <c r="E122" s="1" t="str">
        <f>MID(A122,1,2)</f>
        <v>פר</v>
      </c>
      <c r="F122" s="1" t="str">
        <f>MID(C122,3,2)</f>
        <v>רח</v>
      </c>
      <c r="G122" s="1" t="str">
        <f>CONCATENATE(K122,M122)</f>
        <v>פח</v>
      </c>
      <c r="H122" s="1">
        <f>VLOOKUP(K122,$W$23:$AN$40,MATCH(L122,$W$23:$AN$23,0),FALSE)</f>
        <v>4</v>
      </c>
      <c r="I122" s="1">
        <f>VLOOKUP(L122,$W$23:$AN$40,MATCH(M122,$W$23:$AN$23,0),FALSE)</f>
        <v>3</v>
      </c>
      <c r="J122" s="1">
        <f>VLOOKUP(K122,$W$23:$AN$40,MATCH(M122,$W$23:$AN$23,0),FALSE)</f>
        <v>4</v>
      </c>
      <c r="K122" s="1" t="str">
        <f>MID(A122,1,1)</f>
        <v>פ</v>
      </c>
      <c r="L122" s="1" t="str">
        <f>MID(A122,2,1)</f>
        <v>ר</v>
      </c>
      <c r="M122" s="1" t="str">
        <f>MID(A122,4,1)</f>
        <v>ח</v>
      </c>
      <c r="N122" s="1">
        <f>VLOOKUP(K122,$W:$X,2,0)</f>
        <v>15</v>
      </c>
      <c r="O122" s="1">
        <f>VLOOKUP(L122,$Z:$AA,2,0)</f>
        <v>10</v>
      </c>
      <c r="P122" s="1">
        <f>VLOOKUP(M122,$AC:$AD,2,0)</f>
        <v>14</v>
      </c>
      <c r="Q122" s="1">
        <f>IF(A122&lt;&gt;"",P122+O122+N122+H122+I122+J122,0)</f>
        <v>50</v>
      </c>
    </row>
    <row r="123" spans="1:17" x14ac:dyDescent="0.25">
      <c r="A123" s="41" t="s">
        <v>817</v>
      </c>
      <c r="B123">
        <v>1</v>
      </c>
      <c r="C123" s="41" t="s">
        <v>818</v>
      </c>
      <c r="D123">
        <v>2</v>
      </c>
      <c r="E123" s="1" t="str">
        <f>MID(A123,1,2)</f>
        <v>טח</v>
      </c>
      <c r="F123" s="1" t="str">
        <f>MID(C123,3,2)</f>
        <v>חד</v>
      </c>
      <c r="G123" s="1" t="str">
        <f>CONCATENATE(K123,M123)</f>
        <v>טד</v>
      </c>
      <c r="H123" s="1">
        <f>VLOOKUP(K123,$W$23:$AN$40,MATCH(L123,$W$23:$AN$23,0),FALSE)</f>
        <v>7</v>
      </c>
      <c r="I123" s="1">
        <f>VLOOKUP(L123,$W$23:$AN$40,MATCH(M123,$W$23:$AN$23,0),FALSE)</f>
        <v>3</v>
      </c>
      <c r="J123" s="1">
        <f>VLOOKUP(K123,$W$23:$AN$40,MATCH(M123,$W$23:$AN$23,0),FALSE)</f>
        <v>4</v>
      </c>
      <c r="K123" s="1" t="str">
        <f>MID(A123,1,1)</f>
        <v>ט</v>
      </c>
      <c r="L123" s="1" t="str">
        <f>MID(A123,2,1)</f>
        <v>ח</v>
      </c>
      <c r="M123" s="1" t="str">
        <f>MID(A123,4,1)</f>
        <v>ד</v>
      </c>
      <c r="N123" s="1">
        <f>VLOOKUP(K123,$W:$X,2,0)</f>
        <v>15</v>
      </c>
      <c r="O123" s="1">
        <f>VLOOKUP(L123,$Z:$AA,2,0)</f>
        <v>10</v>
      </c>
      <c r="P123" s="1">
        <f>VLOOKUP(M123,$AC:$AD,2,0)</f>
        <v>15</v>
      </c>
      <c r="Q123" s="1">
        <f>IF(A123&lt;&gt;"",P123+O123+N123+H123+I123+J123,0)</f>
        <v>54</v>
      </c>
    </row>
    <row r="124" spans="1:17" x14ac:dyDescent="0.25">
      <c r="A124" s="1" t="s">
        <v>599</v>
      </c>
      <c r="B124">
        <v>4</v>
      </c>
      <c r="C124" s="1" t="s">
        <v>600</v>
      </c>
      <c r="D124">
        <v>2</v>
      </c>
      <c r="E124" s="1" t="str">
        <f>MID(A124,1,2)</f>
        <v>על</v>
      </c>
      <c r="F124" s="1" t="str">
        <f>MID(C124,3,2)</f>
        <v>לד</v>
      </c>
      <c r="G124" s="1" t="str">
        <f>CONCATENATE(K124,M124)</f>
        <v>עד</v>
      </c>
      <c r="H124" s="1">
        <f>VLOOKUP(K124,$W$23:$AN$40,MATCH(L124,$W$23:$AN$23,0),FALSE)</f>
        <v>1</v>
      </c>
      <c r="I124" s="1">
        <f>VLOOKUP(L124,$W$23:$AN$40,MATCH(M124,$W$23:$AN$23,0),FALSE)</f>
        <v>2</v>
      </c>
      <c r="J124" s="1">
        <f>VLOOKUP(K124,$W$23:$AN$40,MATCH(M124,$W$23:$AN$23,0),FALSE)</f>
        <v>6</v>
      </c>
      <c r="K124" s="1" t="str">
        <f>MID(A124,1,1)</f>
        <v>ע</v>
      </c>
      <c r="L124" s="1" t="str">
        <f>MID(A124,2,1)</f>
        <v>ל</v>
      </c>
      <c r="M124" s="1" t="str">
        <f>MID(A124,4,1)</f>
        <v>ד</v>
      </c>
      <c r="N124" s="1">
        <f>VLOOKUP(K124,$W:$X,2,0)</f>
        <v>14</v>
      </c>
      <c r="O124" s="1">
        <f>VLOOKUP(L124,$Z:$AA,2,0)</f>
        <v>9</v>
      </c>
      <c r="P124" s="1">
        <f>VLOOKUP(M124,$AC:$AD,2,0)</f>
        <v>15</v>
      </c>
      <c r="Q124" s="1">
        <f>IF(A124&lt;&gt;"",P124+O124+N124+H124+I124+J124,0)</f>
        <v>47</v>
      </c>
    </row>
    <row r="125" spans="1:17" x14ac:dyDescent="0.25">
      <c r="A125" s="1" t="s">
        <v>819</v>
      </c>
      <c r="B125">
        <v>1</v>
      </c>
      <c r="C125" s="1" t="s">
        <v>820</v>
      </c>
      <c r="D125">
        <v>2</v>
      </c>
      <c r="E125" s="1" t="str">
        <f>MID(A125,1,2)</f>
        <v>רס</v>
      </c>
      <c r="F125" s="1" t="str">
        <f>MID(C125,3,2)</f>
        <v>סק</v>
      </c>
      <c r="G125" s="1" t="str">
        <f>CONCATENATE(K125,M125)</f>
        <v>רק</v>
      </c>
      <c r="H125" s="1">
        <f>VLOOKUP(K125,$W$23:$AN$40,MATCH(L125,$W$23:$AN$23,0),FALSE)</f>
        <v>2</v>
      </c>
      <c r="I125" s="1">
        <f>VLOOKUP(L125,$W$23:$AN$40,MATCH(M125,$W$23:$AN$23,0),FALSE)</f>
        <v>5</v>
      </c>
      <c r="J125" s="1">
        <f>VLOOKUP(K125,$W$23:$AN$40,MATCH(M125,$W$23:$AN$23,0),FALSE)</f>
        <v>3</v>
      </c>
      <c r="K125" s="1" t="str">
        <f>MID(A125,1,1)</f>
        <v>ר</v>
      </c>
      <c r="L125" s="1" t="str">
        <f>MID(A125,2,1)</f>
        <v>ס</v>
      </c>
      <c r="M125" s="1" t="str">
        <f>MID(A125,4,1)</f>
        <v>ק</v>
      </c>
      <c r="N125" s="1">
        <f>VLOOKUP(K125,$W:$X,2,0)</f>
        <v>14</v>
      </c>
      <c r="O125" s="1">
        <f>VLOOKUP(L125,$Z:$AA,2,0)</f>
        <v>10</v>
      </c>
      <c r="P125" s="1">
        <f>VLOOKUP(M125,$AC:$AD,2,0)</f>
        <v>15</v>
      </c>
      <c r="Q125" s="1">
        <f>IF(A125&lt;&gt;"",P125+O125+N125+H125+I125+J125,0)</f>
        <v>49</v>
      </c>
    </row>
    <row r="126" spans="1:17" x14ac:dyDescent="0.25">
      <c r="A126" s="1" t="s">
        <v>643</v>
      </c>
      <c r="B126">
        <v>2</v>
      </c>
      <c r="C126" s="1" t="s">
        <v>644</v>
      </c>
      <c r="D126">
        <v>0</v>
      </c>
      <c r="E126" s="1" t="str">
        <f>MID(A126,1,2)</f>
        <v>חצ</v>
      </c>
      <c r="F126" s="1" t="str">
        <f>MID(C126,3,2)</f>
        <v>צז</v>
      </c>
      <c r="G126" s="1" t="str">
        <f>CONCATENATE(K126,M126)</f>
        <v>חז</v>
      </c>
      <c r="H126" s="1">
        <f>VLOOKUP(K126,$W$23:$AN$40,MATCH(L126,$W$23:$AN$23,0),FALSE)</f>
        <v>2</v>
      </c>
      <c r="I126" s="1">
        <f>VLOOKUP(L126,$W$23:$AN$40,MATCH(M126,$W$23:$AN$23,0),FALSE)</f>
        <v>5</v>
      </c>
      <c r="J126" s="1">
        <f>VLOOKUP(K126,$W$23:$AN$40,MATCH(M126,$W$23:$AN$23,0),FALSE)</f>
        <v>5</v>
      </c>
      <c r="K126" s="1" t="str">
        <f>MID(A126,1,1)</f>
        <v>ח</v>
      </c>
      <c r="L126" s="1" t="str">
        <f>MID(A126,2,1)</f>
        <v>צ</v>
      </c>
      <c r="M126" s="1" t="str">
        <f>MID(A126,4,1)</f>
        <v>ז</v>
      </c>
      <c r="N126" s="1">
        <f>VLOOKUP(K126,$W:$X,2,0)</f>
        <v>14</v>
      </c>
      <c r="O126" s="1">
        <f>VLOOKUP(L126,$Z:$AA,2,0)</f>
        <v>9</v>
      </c>
      <c r="P126" s="1">
        <f>VLOOKUP(M126,$AC:$AD,2,0)</f>
        <v>15</v>
      </c>
      <c r="Q126" s="1">
        <f>IF(A126&lt;&gt;"",P126+O126+N126+H126+I126+J126,0)</f>
        <v>50</v>
      </c>
    </row>
    <row r="127" spans="1:17" x14ac:dyDescent="0.25">
      <c r="A127" s="1" t="s">
        <v>821</v>
      </c>
      <c r="B127">
        <v>1</v>
      </c>
      <c r="C127" s="1" t="s">
        <v>822</v>
      </c>
      <c r="D127">
        <v>3</v>
      </c>
      <c r="E127" s="1" t="str">
        <f>MID(A127,1,2)</f>
        <v>גז</v>
      </c>
      <c r="F127" s="1" t="str">
        <f>MID(C127,3,2)</f>
        <v>זע</v>
      </c>
      <c r="G127" s="1" t="str">
        <f>CONCATENATE(K127,M127)</f>
        <v>גע</v>
      </c>
      <c r="H127" s="1">
        <f>VLOOKUP(K127,$W$23:$AN$40,MATCH(L127,$W$23:$AN$23,0),FALSE)</f>
        <v>4</v>
      </c>
      <c r="I127" s="1">
        <f>VLOOKUP(L127,$W$23:$AN$40,MATCH(M127,$W$23:$AN$23,0),FALSE)</f>
        <v>3</v>
      </c>
      <c r="J127" s="1">
        <f>VLOOKUP(K127,$W$23:$AN$40,MATCH(M127,$W$23:$AN$23,0),FALSE)</f>
        <v>6</v>
      </c>
      <c r="K127" s="1" t="str">
        <f>MID(A127,1,1)</f>
        <v>ג</v>
      </c>
      <c r="L127" s="1" t="str">
        <f>MID(A127,2,1)</f>
        <v>ז</v>
      </c>
      <c r="M127" s="1" t="str">
        <f>MID(A127,4,1)</f>
        <v>ע</v>
      </c>
      <c r="N127" s="1">
        <f>VLOOKUP(K127,$W:$X,2,0)</f>
        <v>15</v>
      </c>
      <c r="O127" s="1">
        <f>VLOOKUP(L127,$Z:$AA,2,0)</f>
        <v>10</v>
      </c>
      <c r="P127" s="1">
        <f>VLOOKUP(M127,$AC:$AD,2,0)</f>
        <v>15</v>
      </c>
      <c r="Q127" s="1">
        <f>IF(A127&lt;&gt;"",P127+O127+N127+H127+I127+J127,0)</f>
        <v>53</v>
      </c>
    </row>
    <row r="128" spans="1:17" x14ac:dyDescent="0.25">
      <c r="A128" s="1" t="s">
        <v>530</v>
      </c>
      <c r="B128">
        <v>1</v>
      </c>
      <c r="C128" s="1" t="s">
        <v>531</v>
      </c>
      <c r="D128">
        <v>2</v>
      </c>
      <c r="E128" s="1" t="str">
        <f>MID(A128,1,2)</f>
        <v>דט</v>
      </c>
      <c r="F128" s="1" t="str">
        <f>MID(C128,3,2)</f>
        <v>טס</v>
      </c>
      <c r="G128" s="1" t="str">
        <f>CONCATENATE(K128,M128)</f>
        <v>דס</v>
      </c>
      <c r="H128" s="1">
        <f>VLOOKUP(K128,$W$23:$AN$40,MATCH(L128,$W$23:$AN$23,0),FALSE)</f>
        <v>4</v>
      </c>
      <c r="I128" s="1">
        <f>VLOOKUP(L128,$W$23:$AN$40,MATCH(M128,$W$23:$AN$23,0),FALSE)</f>
        <v>4</v>
      </c>
      <c r="J128" s="1">
        <f>VLOOKUP(K128,$W$23:$AN$40,MATCH(M128,$W$23:$AN$23,0),FALSE)</f>
        <v>4</v>
      </c>
      <c r="K128" s="1" t="str">
        <f>MID(A128,1,1)</f>
        <v>ד</v>
      </c>
      <c r="L128" s="1" t="str">
        <f>MID(A128,2,1)</f>
        <v>ט</v>
      </c>
      <c r="M128" s="1" t="str">
        <f>MID(A128,4,1)</f>
        <v>ס</v>
      </c>
      <c r="N128" s="1">
        <f>VLOOKUP(K128,$W:$X,2,0)</f>
        <v>14</v>
      </c>
      <c r="O128" s="1">
        <f>VLOOKUP(L128,$Z:$AA,2,0)</f>
        <v>9</v>
      </c>
      <c r="P128" s="1">
        <f>VLOOKUP(M128,$AC:$AD,2,0)</f>
        <v>15</v>
      </c>
      <c r="Q128" s="1">
        <f>IF(A128&lt;&gt;"",P128+O128+N128+H128+I128+J128,0)</f>
        <v>50</v>
      </c>
    </row>
    <row r="129" spans="1:24" x14ac:dyDescent="0.25">
      <c r="A129" s="1" t="s">
        <v>823</v>
      </c>
      <c r="B129">
        <v>3</v>
      </c>
      <c r="C129" s="1" t="s">
        <v>824</v>
      </c>
      <c r="D129">
        <v>2</v>
      </c>
      <c r="E129" s="1" t="str">
        <f>MID(A129,1,2)</f>
        <v>קג</v>
      </c>
      <c r="F129" s="1" t="str">
        <f>MID(C129,3,2)</f>
        <v>גר</v>
      </c>
      <c r="G129" s="1" t="str">
        <f>CONCATENATE(K129,M129)</f>
        <v>קר</v>
      </c>
      <c r="H129" s="1">
        <f>VLOOKUP(K129,$W$23:$AN$40,MATCH(L129,$W$23:$AN$23,0),FALSE)</f>
        <v>1</v>
      </c>
      <c r="I129" s="1">
        <f>VLOOKUP(L129,$W$23:$AN$40,MATCH(M129,$W$23:$AN$23,0),FALSE)</f>
        <v>5</v>
      </c>
      <c r="J129" s="1">
        <f>VLOOKUP(K129,$W$23:$AN$40,MATCH(M129,$W$23:$AN$23,0),FALSE)</f>
        <v>2</v>
      </c>
      <c r="K129" s="1" t="str">
        <f>MID(A129,1,1)</f>
        <v>ק</v>
      </c>
      <c r="L129" s="1" t="str">
        <f>MID(A129,2,1)</f>
        <v>ג</v>
      </c>
      <c r="M129" s="1" t="str">
        <f>MID(A129,4,1)</f>
        <v>ר</v>
      </c>
      <c r="N129" s="1">
        <f>VLOOKUP(K129,$W:$X,2,0)</f>
        <v>15</v>
      </c>
      <c r="O129" s="1">
        <f>VLOOKUP(L129,$Z:$AA,2,0)</f>
        <v>9</v>
      </c>
      <c r="P129" s="1">
        <f>VLOOKUP(M129,$AC:$AD,2,0)</f>
        <v>14</v>
      </c>
      <c r="Q129" s="1">
        <f>IF(A129&lt;&gt;"",P129+O129+N129+H129+I129+J129,0)</f>
        <v>46</v>
      </c>
    </row>
    <row r="130" spans="1:24" x14ac:dyDescent="0.25">
      <c r="A130" s="41" t="s">
        <v>635</v>
      </c>
      <c r="B130">
        <v>1</v>
      </c>
      <c r="C130" s="41" t="s">
        <v>636</v>
      </c>
      <c r="D130">
        <v>3</v>
      </c>
      <c r="E130" s="1" t="str">
        <f>MID(A130,1,2)</f>
        <v>סד</v>
      </c>
      <c r="F130" s="1" t="str">
        <f>MID(C130,3,2)</f>
        <v>דג</v>
      </c>
      <c r="G130" s="1" t="str">
        <f>CONCATENATE(K130,M130)</f>
        <v>סג</v>
      </c>
      <c r="H130" s="1">
        <f>VLOOKUP(K130,$W$23:$AN$40,MATCH(L130,$W$23:$AN$23,0),FALSE)</f>
        <v>3</v>
      </c>
      <c r="I130" s="1">
        <f>VLOOKUP(L130,$W$23:$AN$40,MATCH(M130,$W$23:$AN$23,0),FALSE)</f>
        <v>4</v>
      </c>
      <c r="J130" s="1">
        <f>VLOOKUP(K130,$W$23:$AN$40,MATCH(M130,$W$23:$AN$23,0),FALSE)</f>
        <v>5</v>
      </c>
      <c r="K130" s="1" t="str">
        <f>MID(A130,1,1)</f>
        <v>ס</v>
      </c>
      <c r="L130" s="1" t="str">
        <f>MID(A130,2,1)</f>
        <v>ד</v>
      </c>
      <c r="M130" s="1" t="str">
        <f>MID(A130,4,1)</f>
        <v>ג</v>
      </c>
      <c r="N130" s="1">
        <f>VLOOKUP(K130,$W:$X,2,0)</f>
        <v>14</v>
      </c>
      <c r="O130" s="1">
        <f>VLOOKUP(L130,$Z:$AA,2,0)</f>
        <v>10</v>
      </c>
      <c r="P130" s="1">
        <f>VLOOKUP(M130,$AC:$AD,2,0)</f>
        <v>14</v>
      </c>
      <c r="Q130" s="1">
        <f>IF(A130&lt;&gt;"",P130+O130+N130+H130+I130+J130,0)</f>
        <v>50</v>
      </c>
    </row>
    <row r="131" spans="1:24" x14ac:dyDescent="0.25">
      <c r="A131" s="41" t="s">
        <v>563</v>
      </c>
      <c r="B131">
        <v>0</v>
      </c>
      <c r="C131" s="41" t="s">
        <v>564</v>
      </c>
      <c r="D131">
        <v>1</v>
      </c>
      <c r="E131" s="1" t="str">
        <f>MID(A131,1,2)</f>
        <v>זמ</v>
      </c>
      <c r="F131" s="1" t="str">
        <f>MID(C131,3,2)</f>
        <v>מש</v>
      </c>
      <c r="G131" s="1" t="str">
        <f>CONCATENATE(K131,M131)</f>
        <v>זש</v>
      </c>
      <c r="H131" s="1">
        <f>VLOOKUP(K131,$W$23:$AN$40,MATCH(L131,$W$23:$AN$23,0),FALSE)</f>
        <v>1</v>
      </c>
      <c r="I131" s="1">
        <f>VLOOKUP(L131,$W$23:$AN$40,MATCH(M131,$W$23:$AN$23,0),FALSE)</f>
        <v>1</v>
      </c>
      <c r="J131" s="1">
        <f>VLOOKUP(K131,$W$23:$AN$40,MATCH(M131,$W$23:$AN$23,0),FALSE)</f>
        <v>2</v>
      </c>
      <c r="K131" s="1" t="str">
        <f>MID(A131,1,1)</f>
        <v>ז</v>
      </c>
      <c r="L131" s="1" t="str">
        <f>MID(A131,2,1)</f>
        <v>מ</v>
      </c>
      <c r="M131" s="1" t="str">
        <f>MID(A131,4,1)</f>
        <v>ש</v>
      </c>
      <c r="N131" s="1">
        <f>VLOOKUP(K131,$W:$X,2,0)</f>
        <v>15</v>
      </c>
      <c r="O131" s="1">
        <f>VLOOKUP(L131,$Z:$AA,2,0)</f>
        <v>10</v>
      </c>
      <c r="P131" s="1">
        <f>VLOOKUP(M131,$AC:$AD,2,0)</f>
        <v>14</v>
      </c>
      <c r="Q131" s="1">
        <f>IF(A131&lt;&gt;"",P131+O131+N131+H131+I131+J131,0)</f>
        <v>43</v>
      </c>
    </row>
    <row r="132" spans="1:24" x14ac:dyDescent="0.25">
      <c r="A132" s="1" t="s">
        <v>611</v>
      </c>
      <c r="B132">
        <v>0</v>
      </c>
      <c r="C132" s="1" t="s">
        <v>612</v>
      </c>
      <c r="D132">
        <v>2</v>
      </c>
      <c r="E132" s="1" t="str">
        <f>MID(A132,1,2)</f>
        <v>צפ</v>
      </c>
      <c r="F132" s="1" t="str">
        <f>MID(C132,3,2)</f>
        <v>פל</v>
      </c>
      <c r="G132" s="1" t="str">
        <f>CONCATENATE(K132,M132)</f>
        <v>צל</v>
      </c>
      <c r="H132" s="1">
        <f>VLOOKUP(K132,$W$23:$AN$40,MATCH(L132,$W$23:$AN$23,0),FALSE)</f>
        <v>2</v>
      </c>
      <c r="I132" s="1">
        <f>VLOOKUP(L132,$W$23:$AN$40,MATCH(M132,$W$23:$AN$23,0),FALSE)</f>
        <v>5</v>
      </c>
      <c r="J132" s="1">
        <f>VLOOKUP(K132,$W$23:$AN$40,MATCH(M132,$W$23:$AN$23,0),FALSE)</f>
        <v>2</v>
      </c>
      <c r="K132" s="1" t="str">
        <f>MID(A132,1,1)</f>
        <v>צ</v>
      </c>
      <c r="L132" s="1" t="str">
        <f>MID(A132,2,1)</f>
        <v>פ</v>
      </c>
      <c r="M132" s="1" t="str">
        <f>MID(A132,4,1)</f>
        <v>ל</v>
      </c>
      <c r="N132" s="1">
        <f>VLOOKUP(K132,$W:$X,2,0)</f>
        <v>15</v>
      </c>
      <c r="O132" s="1">
        <f>VLOOKUP(L132,$Z:$AA,2,0)</f>
        <v>10</v>
      </c>
      <c r="P132" s="1">
        <f>VLOOKUP(M132,$AC:$AD,2,0)</f>
        <v>14</v>
      </c>
      <c r="Q132" s="1">
        <f>IF(A132&lt;&gt;"",P132+O132+N132+H132+I132+J132,0)</f>
        <v>48</v>
      </c>
    </row>
    <row r="133" spans="1:24" x14ac:dyDescent="0.25">
      <c r="A133" s="41" t="s">
        <v>601</v>
      </c>
      <c r="B133">
        <v>1</v>
      </c>
      <c r="C133" s="41" t="s">
        <v>602</v>
      </c>
      <c r="D133">
        <v>1</v>
      </c>
      <c r="E133" s="1" t="str">
        <f>MID(A133,1,2)</f>
        <v>רנ</v>
      </c>
      <c r="F133" s="1" t="str">
        <f>MID(C133,3,2)</f>
        <v>נז</v>
      </c>
      <c r="G133" s="1" t="str">
        <f>CONCATENATE(K133,M133)</f>
        <v>רז</v>
      </c>
      <c r="H133" s="1">
        <f>VLOOKUP(K133,$W$23:$AN$40,MATCH(L133,$W$23:$AN$23,0),FALSE)</f>
        <v>2</v>
      </c>
      <c r="I133" s="1">
        <f>VLOOKUP(L133,$W$23:$AN$40,MATCH(M133,$W$23:$AN$23,0),FALSE)</f>
        <v>2</v>
      </c>
      <c r="J133" s="1">
        <f>VLOOKUP(K133,$W$23:$AN$40,MATCH(M133,$W$23:$AN$23,0),FALSE)</f>
        <v>6</v>
      </c>
      <c r="K133" s="1" t="str">
        <f>MID(A133,1,1)</f>
        <v>ר</v>
      </c>
      <c r="L133" s="1" t="str">
        <f>MID(A133,2,1)</f>
        <v>נ</v>
      </c>
      <c r="M133" s="1" t="str">
        <f>MID(A133,4,1)</f>
        <v>ז</v>
      </c>
      <c r="N133" s="1">
        <f>VLOOKUP(K133,$W:$X,2,0)</f>
        <v>14</v>
      </c>
      <c r="O133" s="1">
        <f>VLOOKUP(L133,$Z:$AA,2,0)</f>
        <v>9</v>
      </c>
      <c r="P133" s="1">
        <f>VLOOKUP(M133,$AC:$AD,2,0)</f>
        <v>15</v>
      </c>
      <c r="Q133" s="1">
        <f>IF(A133&lt;&gt;"",P133+O133+N133+H133+I133+J133,0)</f>
        <v>48</v>
      </c>
    </row>
    <row r="134" spans="1:24" x14ac:dyDescent="0.25">
      <c r="A134" s="1" t="s">
        <v>663</v>
      </c>
      <c r="B134">
        <v>2</v>
      </c>
      <c r="C134" s="1" t="s">
        <v>664</v>
      </c>
      <c r="D134">
        <v>2</v>
      </c>
      <c r="E134" s="1" t="str">
        <f>MID(A134,1,2)</f>
        <v>צק</v>
      </c>
      <c r="F134" s="1" t="str">
        <f>MID(C134,3,2)</f>
        <v>קד</v>
      </c>
      <c r="G134" s="1" t="str">
        <f>CONCATENATE(K134,M134)</f>
        <v>צד</v>
      </c>
      <c r="H134" s="1">
        <f>VLOOKUP(K134,$W$23:$AN$40,MATCH(L134,$W$23:$AN$23,0),FALSE)</f>
        <v>6</v>
      </c>
      <c r="I134" s="1">
        <f>VLOOKUP(L134,$W$23:$AN$40,MATCH(M134,$W$23:$AN$23,0),FALSE)</f>
        <v>6</v>
      </c>
      <c r="J134" s="1">
        <f>VLOOKUP(K134,$W$23:$AN$40,MATCH(M134,$W$23:$AN$23,0),FALSE)</f>
        <v>3</v>
      </c>
      <c r="K134" s="1" t="str">
        <f>MID(A134,1,1)</f>
        <v>צ</v>
      </c>
      <c r="L134" s="1" t="str">
        <f>MID(A134,2,1)</f>
        <v>ק</v>
      </c>
      <c r="M134" s="1" t="str">
        <f>MID(A134,4,1)</f>
        <v>ד</v>
      </c>
      <c r="N134" s="1">
        <f>VLOOKUP(K134,$W:$X,2,0)</f>
        <v>15</v>
      </c>
      <c r="O134" s="1">
        <f>VLOOKUP(L134,$Z:$AA,2,0)</f>
        <v>9</v>
      </c>
      <c r="P134" s="1">
        <f>VLOOKUP(M134,$AC:$AD,2,0)</f>
        <v>15</v>
      </c>
      <c r="Q134" s="1">
        <f>IF(A134&lt;&gt;"",P134+O134+N134+H134+I134+J134,0)</f>
        <v>54</v>
      </c>
    </row>
    <row r="135" spans="1:24" x14ac:dyDescent="0.25">
      <c r="A135" s="41" t="s">
        <v>825</v>
      </c>
      <c r="B135">
        <v>1</v>
      </c>
      <c r="C135" s="41" t="s">
        <v>826</v>
      </c>
      <c r="D135">
        <v>2</v>
      </c>
      <c r="E135" s="1" t="str">
        <f>MID(A135,1,2)</f>
        <v>קע</v>
      </c>
      <c r="F135" s="1" t="str">
        <f>MID(C135,3,2)</f>
        <v>עט</v>
      </c>
      <c r="G135" s="1" t="str">
        <f>CONCATENATE(K135,M135)</f>
        <v>קט</v>
      </c>
      <c r="H135" s="1">
        <f>VLOOKUP(K135,$W$23:$AN$40,MATCH(L135,$W$23:$AN$23,0),FALSE)</f>
        <v>5</v>
      </c>
      <c r="I135" s="1">
        <f>VLOOKUP(L135,$W$23:$AN$40,MATCH(M135,$W$23:$AN$23,0),FALSE)</f>
        <v>3</v>
      </c>
      <c r="J135" s="1">
        <f>VLOOKUP(K135,$W$23:$AN$40,MATCH(M135,$W$23:$AN$23,0),FALSE)</f>
        <v>4</v>
      </c>
      <c r="K135" s="1" t="str">
        <f>MID(A135,1,1)</f>
        <v>ק</v>
      </c>
      <c r="L135" s="1" t="str">
        <f>MID(A135,2,1)</f>
        <v>ע</v>
      </c>
      <c r="M135" s="1" t="str">
        <f>MID(A135,4,1)</f>
        <v>ט</v>
      </c>
      <c r="N135" s="1">
        <f>VLOOKUP(K135,$W:$X,2,0)</f>
        <v>15</v>
      </c>
      <c r="O135" s="1">
        <f>VLOOKUP(L135,$Z:$AA,2,0)</f>
        <v>8</v>
      </c>
      <c r="P135" s="1">
        <f>VLOOKUP(M135,$AC:$AD,2,0)</f>
        <v>15</v>
      </c>
      <c r="Q135" s="1">
        <f>IF(A135&lt;&gt;"",P135+O135+N135+H135+I135+J135,0)</f>
        <v>50</v>
      </c>
    </row>
    <row r="136" spans="1:24" x14ac:dyDescent="0.25">
      <c r="A136" s="41" t="s">
        <v>595</v>
      </c>
      <c r="B136">
        <v>4</v>
      </c>
      <c r="C136" s="41" t="s">
        <v>596</v>
      </c>
      <c r="D136">
        <v>0</v>
      </c>
      <c r="E136" s="1" t="str">
        <f>MID(A136,1,2)</f>
        <v>חש</v>
      </c>
      <c r="F136" s="1" t="str">
        <f>MID(C136,3,2)</f>
        <v>שס</v>
      </c>
      <c r="G136" s="1" t="str">
        <f>CONCATENATE(K136,M136)</f>
        <v>חס</v>
      </c>
      <c r="H136" s="1">
        <f>VLOOKUP(K136,$W$23:$AN$40,MATCH(L136,$W$23:$AN$23,0),FALSE)</f>
        <v>4</v>
      </c>
      <c r="I136" s="1">
        <f>VLOOKUP(L136,$W$23:$AN$40,MATCH(M136,$W$23:$AN$23,0),FALSE)</f>
        <v>2</v>
      </c>
      <c r="J136" s="1">
        <f>VLOOKUP(K136,$W$23:$AN$40,MATCH(M136,$W$23:$AN$23,0),FALSE)</f>
        <v>4</v>
      </c>
      <c r="K136" s="1" t="str">
        <f>MID(A136,1,1)</f>
        <v>ח</v>
      </c>
      <c r="L136" s="1" t="str">
        <f>MID(A136,2,1)</f>
        <v>ש</v>
      </c>
      <c r="M136" s="1" t="str">
        <f>MID(A136,4,1)</f>
        <v>ס</v>
      </c>
      <c r="N136" s="1">
        <f>VLOOKUP(K136,$W:$X,2,0)</f>
        <v>14</v>
      </c>
      <c r="O136" s="1">
        <f>VLOOKUP(L136,$Z:$AA,2,0)</f>
        <v>10</v>
      </c>
      <c r="P136" s="1">
        <f>VLOOKUP(M136,$AC:$AD,2,0)</f>
        <v>15</v>
      </c>
      <c r="Q136" s="1">
        <f>IF(A136&lt;&gt;"",P136+O136+N136+H136+I136+J136,0)</f>
        <v>49</v>
      </c>
    </row>
    <row r="137" spans="1:24" x14ac:dyDescent="0.25">
      <c r="A137" s="41" t="s">
        <v>559</v>
      </c>
      <c r="B137">
        <v>1</v>
      </c>
      <c r="C137" s="41" t="s">
        <v>560</v>
      </c>
      <c r="D137">
        <v>2</v>
      </c>
      <c r="E137" s="1" t="str">
        <f>MID(A137,1,2)</f>
        <v>סח</v>
      </c>
      <c r="F137" s="1" t="str">
        <f>MID(C137,3,2)</f>
        <v>חש</v>
      </c>
      <c r="G137" s="1" t="str">
        <f>CONCATENATE(K137,M137)</f>
        <v>סש</v>
      </c>
      <c r="H137" s="1">
        <f>VLOOKUP(K137,$W$23:$AN$40,MATCH(L137,$W$23:$AN$23,0),FALSE)</f>
        <v>3</v>
      </c>
      <c r="I137" s="1">
        <f>VLOOKUP(L137,$W$23:$AN$40,MATCH(M137,$W$23:$AN$23,0),FALSE)</f>
        <v>4</v>
      </c>
      <c r="J137" s="1">
        <f>VLOOKUP(K137,$W$23:$AN$40,MATCH(M137,$W$23:$AN$23,0),FALSE)</f>
        <v>6</v>
      </c>
      <c r="K137" s="1" t="str">
        <f>MID(A137,1,1)</f>
        <v>ס</v>
      </c>
      <c r="L137" s="1" t="str">
        <f>MID(A137,2,1)</f>
        <v>ח</v>
      </c>
      <c r="M137" s="1" t="str">
        <f>MID(A137,4,1)</f>
        <v>ש</v>
      </c>
      <c r="N137" s="1">
        <f>VLOOKUP(K137,$W:$X,2,0)</f>
        <v>14</v>
      </c>
      <c r="O137" s="1">
        <f>VLOOKUP(L137,$Z:$AA,2,0)</f>
        <v>10</v>
      </c>
      <c r="P137" s="1">
        <f>VLOOKUP(M137,$AC:$AD,2,0)</f>
        <v>14</v>
      </c>
      <c r="Q137" s="1">
        <f>IF(A137&lt;&gt;"",P137+O137+N137+H137+I137+J137,0)</f>
        <v>51</v>
      </c>
      <c r="X137"/>
    </row>
    <row r="138" spans="1:24" x14ac:dyDescent="0.25">
      <c r="A138" s="41" t="s">
        <v>827</v>
      </c>
      <c r="B138">
        <v>2</v>
      </c>
      <c r="C138" s="41" t="s">
        <v>828</v>
      </c>
      <c r="D138">
        <v>3</v>
      </c>
      <c r="E138" s="1" t="str">
        <f>MID(A138,1,2)</f>
        <v>דת</v>
      </c>
      <c r="F138" s="1" t="str">
        <f>MID(C138,3,2)</f>
        <v>תג</v>
      </c>
      <c r="G138" s="1" t="str">
        <f>CONCATENATE(K138,M138)</f>
        <v>דג</v>
      </c>
      <c r="H138" s="1">
        <f>VLOOKUP(K138,$W$23:$AN$40,MATCH(L138,$W$23:$AN$23,0),FALSE)</f>
        <v>1</v>
      </c>
      <c r="I138" s="1">
        <f>VLOOKUP(L138,$W$23:$AN$40,MATCH(M138,$W$23:$AN$23,0),FALSE)</f>
        <v>2</v>
      </c>
      <c r="J138" s="1">
        <f>VLOOKUP(K138,$W$23:$AN$40,MATCH(M138,$W$23:$AN$23,0),FALSE)</f>
        <v>4</v>
      </c>
      <c r="K138" s="1" t="str">
        <f>MID(A138,1,1)</f>
        <v>ד</v>
      </c>
      <c r="L138" s="1" t="str">
        <f>MID(A138,2,1)</f>
        <v>ת</v>
      </c>
      <c r="M138" s="1" t="str">
        <f>MID(A138,4,1)</f>
        <v>ג</v>
      </c>
      <c r="N138" s="1">
        <f>VLOOKUP(K138,$W:$X,2,0)</f>
        <v>14</v>
      </c>
      <c r="O138" s="1">
        <f>VLOOKUP(L138,$Z:$AA,2,0)</f>
        <v>9</v>
      </c>
      <c r="P138" s="1">
        <f>VLOOKUP(M138,$AC:$AD,2,0)</f>
        <v>14</v>
      </c>
      <c r="Q138" s="1">
        <f>IF(A138&lt;&gt;"",P138+O138+N138+H138+I138+J138,0)</f>
        <v>44</v>
      </c>
      <c r="X138"/>
    </row>
    <row r="139" spans="1:24" x14ac:dyDescent="0.25">
      <c r="A139" s="1" t="s">
        <v>597</v>
      </c>
      <c r="B139">
        <v>1</v>
      </c>
      <c r="C139" s="1" t="s">
        <v>598</v>
      </c>
      <c r="D139">
        <v>1</v>
      </c>
      <c r="E139" s="1" t="str">
        <f>MID(A139,1,2)</f>
        <v>טג</v>
      </c>
      <c r="F139" s="1" t="str">
        <f>MID(C139,3,2)</f>
        <v>גל</v>
      </c>
      <c r="G139" s="1" t="str">
        <f>CONCATENATE(K139,M139)</f>
        <v>טל</v>
      </c>
      <c r="H139" s="1">
        <f>VLOOKUP(K139,$W$23:$AN$40,MATCH(L139,$W$23:$AN$23,0),FALSE)</f>
        <v>3</v>
      </c>
      <c r="I139" s="1">
        <f>VLOOKUP(L139,$W$23:$AN$40,MATCH(M139,$W$23:$AN$23,0),FALSE)</f>
        <v>4</v>
      </c>
      <c r="J139" s="1">
        <f>VLOOKUP(K139,$W$23:$AN$40,MATCH(M139,$W$23:$AN$23,0),FALSE)</f>
        <v>6</v>
      </c>
      <c r="K139" s="1" t="str">
        <f>MID(A139,1,1)</f>
        <v>ט</v>
      </c>
      <c r="L139" s="1" t="str">
        <f>MID(A139,2,1)</f>
        <v>ג</v>
      </c>
      <c r="M139" s="1" t="str">
        <f>MID(A139,4,1)</f>
        <v>ל</v>
      </c>
      <c r="N139" s="1">
        <f>VLOOKUP(K139,$W:$X,2,0)</f>
        <v>15</v>
      </c>
      <c r="O139" s="1">
        <f>VLOOKUP(L139,$Z:$AA,2,0)</f>
        <v>9</v>
      </c>
      <c r="P139" s="1">
        <f>VLOOKUP(M139,$AC:$AD,2,0)</f>
        <v>14</v>
      </c>
      <c r="Q139" s="1">
        <f>IF(A139&lt;&gt;"",P139+O139+N139+H139+I139+J139,0)</f>
        <v>51</v>
      </c>
      <c r="X139"/>
    </row>
    <row r="140" spans="1:24" x14ac:dyDescent="0.25">
      <c r="A140" s="1" t="s">
        <v>829</v>
      </c>
      <c r="B140">
        <v>0</v>
      </c>
      <c r="C140" s="1" t="s">
        <v>830</v>
      </c>
      <c r="D140">
        <v>1</v>
      </c>
      <c r="E140" s="1" t="str">
        <f>MID(A140,1,2)</f>
        <v>עכ</v>
      </c>
      <c r="F140" s="1" t="str">
        <f>MID(C140,3,2)</f>
        <v>כק</v>
      </c>
      <c r="G140" s="1" t="str">
        <f>CONCATENATE(K140,M140)</f>
        <v>עק</v>
      </c>
      <c r="H140" s="1">
        <f>VLOOKUP(K140,$W$23:$AN$40,MATCH(L140,$W$23:$AN$23,0),FALSE)</f>
        <v>3</v>
      </c>
      <c r="I140" s="1">
        <f>VLOOKUP(L140,$W$23:$AN$40,MATCH(M140,$W$23:$AN$23,0),FALSE)</f>
        <v>1</v>
      </c>
      <c r="J140" s="1">
        <f>VLOOKUP(K140,$W$23:$AN$40,MATCH(M140,$W$23:$AN$23,0),FALSE)</f>
        <v>4</v>
      </c>
      <c r="K140" s="1" t="str">
        <f>MID(A140,1,1)</f>
        <v>ע</v>
      </c>
      <c r="L140" s="1" t="str">
        <f>MID(A140,2,1)</f>
        <v>כ</v>
      </c>
      <c r="M140" s="1" t="str">
        <f>MID(A140,4,1)</f>
        <v>ק</v>
      </c>
      <c r="N140" s="1">
        <f>VLOOKUP(K140,$W:$X,2,0)</f>
        <v>14</v>
      </c>
      <c r="O140" s="1">
        <f>VLOOKUP(L140,$Z:$AA,2,0)</f>
        <v>9</v>
      </c>
      <c r="P140" s="1">
        <f>VLOOKUP(M140,$AC:$AD,2,0)</f>
        <v>15</v>
      </c>
      <c r="Q140" s="1">
        <f>IF(A140&lt;&gt;"",P140+O140+N140+H140+I140+J140,0)</f>
        <v>46</v>
      </c>
      <c r="X140"/>
    </row>
    <row r="141" spans="1:24" x14ac:dyDescent="0.25">
      <c r="A141" s="41" t="s">
        <v>623</v>
      </c>
      <c r="B141">
        <v>2</v>
      </c>
      <c r="C141" s="41" t="s">
        <v>624</v>
      </c>
      <c r="D141">
        <v>3</v>
      </c>
      <c r="E141" s="1" t="str">
        <f>MID(A141,1,2)</f>
        <v>גז</v>
      </c>
      <c r="F141" s="1" t="str">
        <f>MID(C141,3,2)</f>
        <v>זר</v>
      </c>
      <c r="G141" s="1" t="str">
        <f>CONCATENATE(K141,M141)</f>
        <v>גר</v>
      </c>
      <c r="H141" s="1">
        <f>VLOOKUP(K141,$W$23:$AN$40,MATCH(L141,$W$23:$AN$23,0),FALSE)</f>
        <v>4</v>
      </c>
      <c r="I141" s="1">
        <f>VLOOKUP(L141,$W$23:$AN$40,MATCH(M141,$W$23:$AN$23,0),FALSE)</f>
        <v>5</v>
      </c>
      <c r="J141" s="1">
        <f>VLOOKUP(K141,$W$23:$AN$40,MATCH(M141,$W$23:$AN$23,0),FALSE)</f>
        <v>5</v>
      </c>
      <c r="K141" s="1" t="str">
        <f>MID(A141,1,1)</f>
        <v>ג</v>
      </c>
      <c r="L141" s="1" t="str">
        <f>MID(A141,2,1)</f>
        <v>ז</v>
      </c>
      <c r="M141" s="1" t="str">
        <f>MID(A141,4,1)</f>
        <v>ר</v>
      </c>
      <c r="N141" s="1">
        <f>VLOOKUP(K141,$W:$X,2,0)</f>
        <v>15</v>
      </c>
      <c r="O141" s="1">
        <f>VLOOKUP(L141,$Z:$AA,2,0)</f>
        <v>10</v>
      </c>
      <c r="P141" s="1">
        <f>VLOOKUP(M141,$AC:$AD,2,0)</f>
        <v>14</v>
      </c>
      <c r="Q141" s="1">
        <f>IF(A141&lt;&gt;"",P141+O141+N141+H141+I141+J141,0)</f>
        <v>53</v>
      </c>
      <c r="X141"/>
    </row>
    <row r="142" spans="1:24" x14ac:dyDescent="0.25">
      <c r="A142" s="1" t="s">
        <v>831</v>
      </c>
      <c r="B142">
        <v>2</v>
      </c>
      <c r="C142" s="1" t="s">
        <v>832</v>
      </c>
      <c r="D142">
        <v>2</v>
      </c>
      <c r="E142" s="1" t="str">
        <f>MID(A142,1,2)</f>
        <v>זר</v>
      </c>
      <c r="F142" s="1" t="str">
        <f>MID(C142,3,2)</f>
        <v>רח</v>
      </c>
      <c r="G142" s="1" t="str">
        <f>CONCATENATE(K142,M142)</f>
        <v>זח</v>
      </c>
      <c r="H142" s="1">
        <f>VLOOKUP(K142,$W$23:$AN$40,MATCH(L142,$W$23:$AN$23,0),FALSE)</f>
        <v>5</v>
      </c>
      <c r="I142" s="1">
        <f>VLOOKUP(L142,$W$23:$AN$40,MATCH(M142,$W$23:$AN$23,0),FALSE)</f>
        <v>3</v>
      </c>
      <c r="J142" s="1">
        <f>VLOOKUP(K142,$W$23:$AN$40,MATCH(M142,$W$23:$AN$23,0),FALSE)</f>
        <v>3</v>
      </c>
      <c r="K142" s="1" t="str">
        <f>MID(A142,1,1)</f>
        <v>ז</v>
      </c>
      <c r="L142" s="1" t="str">
        <f>MID(A142,2,1)</f>
        <v>ר</v>
      </c>
      <c r="M142" s="1" t="str">
        <f>MID(A142,4,1)</f>
        <v>ח</v>
      </c>
      <c r="N142" s="1">
        <f>VLOOKUP(K142,$W:$X,2,0)</f>
        <v>15</v>
      </c>
      <c r="O142" s="1">
        <f>VLOOKUP(L142,$Z:$AA,2,0)</f>
        <v>10</v>
      </c>
      <c r="P142" s="1">
        <f>VLOOKUP(M142,$AC:$AD,2,0)</f>
        <v>14</v>
      </c>
      <c r="Q142" s="1">
        <f>IF(A142&lt;&gt;"",P142+O142+N142+H142+I142+J142,0)</f>
        <v>50</v>
      </c>
      <c r="X142"/>
    </row>
    <row r="143" spans="1:24" x14ac:dyDescent="0.25">
      <c r="A143" s="41" t="s">
        <v>833</v>
      </c>
      <c r="B143">
        <v>1</v>
      </c>
      <c r="C143" s="41" t="s">
        <v>834</v>
      </c>
      <c r="D143">
        <v>0</v>
      </c>
      <c r="E143" s="1" t="str">
        <f>MID(A143,1,2)</f>
        <v>פק</v>
      </c>
      <c r="F143" s="1" t="str">
        <f>MID(C143,3,2)</f>
        <v>קע</v>
      </c>
      <c r="G143" s="1" t="str">
        <f>CONCATENATE(K143,M143)</f>
        <v>פע</v>
      </c>
      <c r="H143" s="1">
        <f>VLOOKUP(K143,$W$23:$AN$40,MATCH(L143,$W$23:$AN$23,0),FALSE)</f>
        <v>4</v>
      </c>
      <c r="I143" s="1">
        <f>VLOOKUP(L143,$W$23:$AN$40,MATCH(M143,$W$23:$AN$23,0),FALSE)</f>
        <v>5</v>
      </c>
      <c r="J143" s="1">
        <f>VLOOKUP(K143,$W$23:$AN$40,MATCH(M143,$W$23:$AN$23,0),FALSE)</f>
        <v>4</v>
      </c>
      <c r="K143" s="1" t="str">
        <f>MID(A143,1,1)</f>
        <v>פ</v>
      </c>
      <c r="L143" s="1" t="str">
        <f>MID(A143,2,1)</f>
        <v>ק</v>
      </c>
      <c r="M143" s="1" t="str">
        <f>MID(A143,4,1)</f>
        <v>ע</v>
      </c>
      <c r="N143" s="1">
        <f>VLOOKUP(K143,$W:$X,2,0)</f>
        <v>15</v>
      </c>
      <c r="O143" s="1">
        <f>VLOOKUP(L143,$Z:$AA,2,0)</f>
        <v>9</v>
      </c>
      <c r="P143" s="1">
        <f>VLOOKUP(M143,$AC:$AD,2,0)</f>
        <v>15</v>
      </c>
      <c r="Q143" s="1">
        <f>IF(A143&lt;&gt;"",P143+O143+N143+H143+I143+J143,0)</f>
        <v>52</v>
      </c>
      <c r="X143"/>
    </row>
    <row r="144" spans="1:24" x14ac:dyDescent="0.25">
      <c r="A144" s="1" t="s">
        <v>617</v>
      </c>
      <c r="B144">
        <v>2</v>
      </c>
      <c r="C144" s="1" t="s">
        <v>618</v>
      </c>
      <c r="D144">
        <v>1</v>
      </c>
      <c r="E144" s="1" t="str">
        <f>MID(A144,1,2)</f>
        <v>פש</v>
      </c>
      <c r="F144" s="1" t="str">
        <f>MID(C144,3,2)</f>
        <v>שט</v>
      </c>
      <c r="G144" s="1" t="str">
        <f>CONCATENATE(K144,M144)</f>
        <v>פט</v>
      </c>
      <c r="H144" s="1">
        <f>VLOOKUP(K144,$W$23:$AN$40,MATCH(L144,$W$23:$AN$23,0),FALSE)</f>
        <v>1</v>
      </c>
      <c r="I144" s="1">
        <f>VLOOKUP(L144,$W$23:$AN$40,MATCH(M144,$W$23:$AN$23,0),FALSE)</f>
        <v>3</v>
      </c>
      <c r="J144" s="1">
        <f>VLOOKUP(K144,$W$23:$AN$40,MATCH(M144,$W$23:$AN$23,0),FALSE)</f>
        <v>5</v>
      </c>
      <c r="K144" s="1" t="str">
        <f>MID(A144,1,1)</f>
        <v>פ</v>
      </c>
      <c r="L144" s="1" t="str">
        <f>MID(A144,2,1)</f>
        <v>ש</v>
      </c>
      <c r="M144" s="1" t="str">
        <f>MID(A144,4,1)</f>
        <v>ט</v>
      </c>
      <c r="N144" s="1">
        <f>VLOOKUP(K144,$W:$X,2,0)</f>
        <v>15</v>
      </c>
      <c r="O144" s="1">
        <f>VLOOKUP(L144,$Z:$AA,2,0)</f>
        <v>10</v>
      </c>
      <c r="P144" s="1">
        <f>VLOOKUP(M144,$AC:$AD,2,0)</f>
        <v>15</v>
      </c>
      <c r="Q144" s="1">
        <f>IF(A144&lt;&gt;"",P144+O144+N144+H144+I144+J144,0)</f>
        <v>49</v>
      </c>
      <c r="X144"/>
    </row>
    <row r="145" spans="1:24" x14ac:dyDescent="0.25">
      <c r="A145" s="1" t="s">
        <v>835</v>
      </c>
      <c r="B145">
        <v>1</v>
      </c>
      <c r="C145" s="1" t="s">
        <v>836</v>
      </c>
      <c r="D145">
        <v>2</v>
      </c>
      <c r="E145" s="1" t="str">
        <f>MID(A145,1,2)</f>
        <v>דמ</v>
      </c>
      <c r="F145" s="1" t="str">
        <f>MID(C145,3,2)</f>
        <v>מס</v>
      </c>
      <c r="G145" s="1" t="str">
        <f>CONCATENATE(K145,M145)</f>
        <v>דס</v>
      </c>
      <c r="H145" s="1">
        <f>VLOOKUP(K145,$W$23:$AN$40,MATCH(L145,$W$23:$AN$23,0),FALSE)</f>
        <v>1</v>
      </c>
      <c r="I145" s="1">
        <f>VLOOKUP(L145,$W$23:$AN$40,MATCH(M145,$W$23:$AN$23,0),FALSE)</f>
        <v>1</v>
      </c>
      <c r="J145" s="1">
        <f>VLOOKUP(K145,$W$23:$AN$40,MATCH(M145,$W$23:$AN$23,0),FALSE)</f>
        <v>4</v>
      </c>
      <c r="K145" s="1" t="str">
        <f>MID(A145,1,1)</f>
        <v>ד</v>
      </c>
      <c r="L145" s="1" t="str">
        <f>MID(A145,2,1)</f>
        <v>מ</v>
      </c>
      <c r="M145" s="1" t="str">
        <f>MID(A145,4,1)</f>
        <v>ס</v>
      </c>
      <c r="N145" s="1">
        <f>VLOOKUP(K145,$W:$X,2,0)</f>
        <v>14</v>
      </c>
      <c r="O145" s="1">
        <f>VLOOKUP(L145,$Z:$AA,2,0)</f>
        <v>10</v>
      </c>
      <c r="P145" s="1">
        <f>VLOOKUP(M145,$AC:$AD,2,0)</f>
        <v>15</v>
      </c>
      <c r="Q145" s="1">
        <f>IF(A145&lt;&gt;"",P145+O145+N145+H145+I145+J145,0)</f>
        <v>45</v>
      </c>
      <c r="X145"/>
    </row>
    <row r="146" spans="1:24" x14ac:dyDescent="0.25">
      <c r="A146" s="41" t="s">
        <v>629</v>
      </c>
      <c r="B146">
        <v>1</v>
      </c>
      <c r="C146" s="41" t="s">
        <v>630</v>
      </c>
      <c r="D146">
        <v>1</v>
      </c>
      <c r="E146" s="1" t="str">
        <f>MID(A146,1,2)</f>
        <v>סט</v>
      </c>
      <c r="F146" s="1" t="str">
        <f>MID(C146,3,2)</f>
        <v>טש</v>
      </c>
      <c r="G146" s="1" t="str">
        <f>CONCATENATE(K146,M146)</f>
        <v>סש</v>
      </c>
      <c r="H146" s="1">
        <f>VLOOKUP(K146,$W$23:$AN$40,MATCH(L146,$W$23:$AN$23,0),FALSE)</f>
        <v>2</v>
      </c>
      <c r="I146" s="1">
        <f>VLOOKUP(L146,$W$23:$AN$40,MATCH(M146,$W$23:$AN$23,0),FALSE)</f>
        <v>3</v>
      </c>
      <c r="J146" s="1">
        <f>VLOOKUP(K146,$W$23:$AN$40,MATCH(M146,$W$23:$AN$23,0),FALSE)</f>
        <v>6</v>
      </c>
      <c r="K146" s="1" t="str">
        <f>MID(A146,1,1)</f>
        <v>ס</v>
      </c>
      <c r="L146" s="1" t="str">
        <f>MID(A146,2,1)</f>
        <v>ט</v>
      </c>
      <c r="M146" s="1" t="str">
        <f>MID(A146,4,1)</f>
        <v>ש</v>
      </c>
      <c r="N146" s="1">
        <f>VLOOKUP(K146,$W:$X,2,0)</f>
        <v>14</v>
      </c>
      <c r="O146" s="1">
        <f>VLOOKUP(L146,$Z:$AA,2,0)</f>
        <v>9</v>
      </c>
      <c r="P146" s="1">
        <f>VLOOKUP(M146,$AC:$AD,2,0)</f>
        <v>14</v>
      </c>
      <c r="Q146" s="1">
        <f>IF(A146&lt;&gt;"",P146+O146+N146+H146+I146+J146,0)</f>
        <v>48</v>
      </c>
      <c r="X146"/>
    </row>
    <row r="147" spans="1:24" x14ac:dyDescent="0.25">
      <c r="A147" s="41" t="s">
        <v>695</v>
      </c>
      <c r="B147">
        <v>0</v>
      </c>
      <c r="C147" s="41" t="s">
        <v>696</v>
      </c>
      <c r="D147">
        <v>2</v>
      </c>
      <c r="E147" s="1" t="str">
        <f>MID(A147,1,2)</f>
        <v>צנ</v>
      </c>
      <c r="F147" s="1" t="str">
        <f>MID(C147,3,2)</f>
        <v>נק</v>
      </c>
      <c r="G147" s="1" t="str">
        <f>CONCATENATE(K147,M147)</f>
        <v>צק</v>
      </c>
      <c r="H147" s="1">
        <f>VLOOKUP(K147,$W$23:$AN$40,MATCH(L147,$W$23:$AN$23,0),FALSE)</f>
        <v>1</v>
      </c>
      <c r="I147" s="1">
        <f>VLOOKUP(L147,$W$23:$AN$40,MATCH(M147,$W$23:$AN$23,0),FALSE)</f>
        <v>1</v>
      </c>
      <c r="J147" s="1">
        <f>VLOOKUP(K147,$W$23:$AN$40,MATCH(M147,$W$23:$AN$23,0),FALSE)</f>
        <v>6</v>
      </c>
      <c r="K147" s="1" t="str">
        <f>MID(A147,1,1)</f>
        <v>צ</v>
      </c>
      <c r="L147" s="1" t="str">
        <f>MID(A147,2,1)</f>
        <v>נ</v>
      </c>
      <c r="M147" s="1" t="str">
        <f>MID(A147,4,1)</f>
        <v>ק</v>
      </c>
      <c r="N147" s="1">
        <f>VLOOKUP(K147,$W:$X,2,0)</f>
        <v>15</v>
      </c>
      <c r="O147" s="1">
        <f>VLOOKUP(L147,$Z:$AA,2,0)</f>
        <v>9</v>
      </c>
      <c r="P147" s="1">
        <f>VLOOKUP(M147,$AC:$AD,2,0)</f>
        <v>15</v>
      </c>
      <c r="Q147" s="1">
        <f>IF(A147&lt;&gt;"",P147+O147+N147+H147+I147+J147,0)</f>
        <v>47</v>
      </c>
      <c r="X147"/>
    </row>
    <row r="148" spans="1:24" x14ac:dyDescent="0.25">
      <c r="A148" s="1" t="s">
        <v>837</v>
      </c>
      <c r="B148">
        <v>3</v>
      </c>
      <c r="C148" s="1" t="s">
        <v>838</v>
      </c>
      <c r="D148">
        <v>2</v>
      </c>
      <c r="E148" s="1" t="str">
        <f>MID(A148,1,2)</f>
        <v>קד</v>
      </c>
      <c r="F148" s="1" t="str">
        <f>MID(C148,3,2)</f>
        <v>דז</v>
      </c>
      <c r="G148" s="1" t="str">
        <f>CONCATENATE(K148,M148)</f>
        <v>קז</v>
      </c>
      <c r="H148" s="1">
        <f>VLOOKUP(K148,$W$23:$AN$40,MATCH(L148,$W$23:$AN$23,0),FALSE)</f>
        <v>6</v>
      </c>
      <c r="I148" s="1">
        <f>VLOOKUP(L148,$W$23:$AN$40,MATCH(M148,$W$23:$AN$23,0),FALSE)</f>
        <v>1</v>
      </c>
      <c r="J148" s="1">
        <f>VLOOKUP(K148,$W$23:$AN$40,MATCH(M148,$W$23:$AN$23,0),FALSE)</f>
        <v>5</v>
      </c>
      <c r="K148" s="1" t="str">
        <f>MID(A148,1,1)</f>
        <v>ק</v>
      </c>
      <c r="L148" s="1" t="str">
        <f>MID(A148,2,1)</f>
        <v>ד</v>
      </c>
      <c r="M148" s="1" t="str">
        <f>MID(A148,4,1)</f>
        <v>ז</v>
      </c>
      <c r="N148" s="1">
        <f>VLOOKUP(K148,$W:$X,2,0)</f>
        <v>15</v>
      </c>
      <c r="O148" s="1">
        <f>VLOOKUP(L148,$Z:$AA,2,0)</f>
        <v>10</v>
      </c>
      <c r="P148" s="1">
        <f>VLOOKUP(M148,$AC:$AD,2,0)</f>
        <v>15</v>
      </c>
      <c r="Q148" s="1">
        <f>IF(A148&lt;&gt;"",P148+O148+N148+H148+I148+J148,0)</f>
        <v>52</v>
      </c>
      <c r="X148"/>
    </row>
    <row r="149" spans="1:24" x14ac:dyDescent="0.25">
      <c r="A149" s="1" t="s">
        <v>528</v>
      </c>
      <c r="B149">
        <v>2</v>
      </c>
      <c r="C149" s="1" t="s">
        <v>529</v>
      </c>
      <c r="D149">
        <v>1</v>
      </c>
      <c r="E149" s="1" t="str">
        <f>MID(A149,1,2)</f>
        <v>חצ</v>
      </c>
      <c r="F149" s="1" t="str">
        <f>MID(C149,3,2)</f>
        <v>צר</v>
      </c>
      <c r="G149" s="1" t="str">
        <f>CONCATENATE(K149,M149)</f>
        <v>חר</v>
      </c>
      <c r="H149" s="1">
        <f>VLOOKUP(K149,$W$23:$AN$40,MATCH(L149,$W$23:$AN$23,0),FALSE)</f>
        <v>2</v>
      </c>
      <c r="I149" s="1">
        <f>VLOOKUP(L149,$W$23:$AN$40,MATCH(M149,$W$23:$AN$23,0),FALSE)</f>
        <v>4</v>
      </c>
      <c r="J149" s="1">
        <f>VLOOKUP(K149,$W$23:$AN$40,MATCH(M149,$W$23:$AN$23,0),FALSE)</f>
        <v>4</v>
      </c>
      <c r="K149" s="1" t="str">
        <f>MID(A149,1,1)</f>
        <v>ח</v>
      </c>
      <c r="L149" s="1" t="str">
        <f>MID(A149,2,1)</f>
        <v>צ</v>
      </c>
      <c r="M149" s="1" t="str">
        <f>MID(A149,4,1)</f>
        <v>ר</v>
      </c>
      <c r="N149" s="1">
        <f>VLOOKUP(K149,$W:$X,2,0)</f>
        <v>14</v>
      </c>
      <c r="O149" s="1">
        <f>VLOOKUP(L149,$Z:$AA,2,0)</f>
        <v>9</v>
      </c>
      <c r="P149" s="1">
        <f>VLOOKUP(M149,$AC:$AD,2,0)</f>
        <v>14</v>
      </c>
      <c r="Q149" s="1">
        <f>IF(A149&lt;&gt;"",P149+O149+N149+H149+I149+J149,0)</f>
        <v>47</v>
      </c>
      <c r="X149"/>
    </row>
    <row r="150" spans="1:24" x14ac:dyDescent="0.25">
      <c r="A150" s="41" t="s">
        <v>627</v>
      </c>
      <c r="B150">
        <v>0</v>
      </c>
      <c r="C150" s="41" t="s">
        <v>628</v>
      </c>
      <c r="D150">
        <v>2</v>
      </c>
      <c r="E150" s="1" t="str">
        <f>MID(A150,1,2)</f>
        <v>גפ</v>
      </c>
      <c r="F150" s="1" t="str">
        <f>MID(C150,3,2)</f>
        <v>פל</v>
      </c>
      <c r="G150" s="1" t="str">
        <f>CONCATENATE(K150,M150)</f>
        <v>גל</v>
      </c>
      <c r="H150" s="1">
        <f>VLOOKUP(K150,$W$23:$AN$40,MATCH(L150,$W$23:$AN$23,0),FALSE)</f>
        <v>1</v>
      </c>
      <c r="I150" s="1">
        <f>VLOOKUP(L150,$W$23:$AN$40,MATCH(M150,$W$23:$AN$23,0),FALSE)</f>
        <v>5</v>
      </c>
      <c r="J150" s="1">
        <f>VLOOKUP(K150,$W$23:$AN$40,MATCH(M150,$W$23:$AN$23,0),FALSE)</f>
        <v>4</v>
      </c>
      <c r="K150" s="1" t="str">
        <f>MID(A150,1,1)</f>
        <v>ג</v>
      </c>
      <c r="L150" s="1" t="str">
        <f>MID(A150,2,1)</f>
        <v>פ</v>
      </c>
      <c r="M150" s="1" t="str">
        <f>MID(A150,4,1)</f>
        <v>ל</v>
      </c>
      <c r="N150" s="1">
        <f>VLOOKUP(K150,$W:$X,2,0)</f>
        <v>15</v>
      </c>
      <c r="O150" s="1">
        <f>VLOOKUP(L150,$Z:$AA,2,0)</f>
        <v>10</v>
      </c>
      <c r="P150" s="1">
        <f>VLOOKUP(M150,$AC:$AD,2,0)</f>
        <v>14</v>
      </c>
      <c r="Q150" s="1">
        <f>IF(A150&lt;&gt;"",P150+O150+N150+H150+I150+J150,0)</f>
        <v>49</v>
      </c>
      <c r="X150"/>
    </row>
    <row r="151" spans="1:24" x14ac:dyDescent="0.25">
      <c r="A151" s="41" t="s">
        <v>621</v>
      </c>
      <c r="B151">
        <v>4</v>
      </c>
      <c r="C151" s="41" t="s">
        <v>622</v>
      </c>
      <c r="D151">
        <v>1</v>
      </c>
      <c r="E151" s="1" t="str">
        <f>MID(A151,1,2)</f>
        <v>טל</v>
      </c>
      <c r="F151" s="1" t="str">
        <f>MID(C151,3,2)</f>
        <v>לד</v>
      </c>
      <c r="G151" s="1" t="str">
        <f>CONCATENATE(K151,M151)</f>
        <v>טד</v>
      </c>
      <c r="H151" s="1">
        <f>VLOOKUP(K151,$W$23:$AN$40,MATCH(L151,$W$23:$AN$23,0),FALSE)</f>
        <v>6</v>
      </c>
      <c r="I151" s="1">
        <f>VLOOKUP(L151,$W$23:$AN$40,MATCH(M151,$W$23:$AN$23,0),FALSE)</f>
        <v>2</v>
      </c>
      <c r="J151" s="1">
        <f>VLOOKUP(K151,$W$23:$AN$40,MATCH(M151,$W$23:$AN$23,0),FALSE)</f>
        <v>4</v>
      </c>
      <c r="K151" s="1" t="str">
        <f>MID(A151,1,1)</f>
        <v>ט</v>
      </c>
      <c r="L151" s="1" t="str">
        <f>MID(A151,2,1)</f>
        <v>ל</v>
      </c>
      <c r="M151" s="1" t="str">
        <f>MID(A151,4,1)</f>
        <v>ד</v>
      </c>
      <c r="N151" s="1">
        <f>VLOOKUP(K151,$W:$X,2,0)</f>
        <v>15</v>
      </c>
      <c r="O151" s="1">
        <f>VLOOKUP(L151,$Z:$AA,2,0)</f>
        <v>9</v>
      </c>
      <c r="P151" s="1">
        <f>VLOOKUP(M151,$AC:$AD,2,0)</f>
        <v>15</v>
      </c>
      <c r="Q151" s="1">
        <f>IF(A151&lt;&gt;"",P151+O151+N151+H151+I151+J151,0)</f>
        <v>51</v>
      </c>
      <c r="X151"/>
    </row>
    <row r="152" spans="1:24" x14ac:dyDescent="0.25">
      <c r="A152" s="41" t="s">
        <v>839</v>
      </c>
      <c r="B152">
        <v>1</v>
      </c>
      <c r="C152" s="41" t="s">
        <v>840</v>
      </c>
      <c r="D152">
        <v>1</v>
      </c>
      <c r="E152" s="1" t="str">
        <f>MID(A152,1,2)</f>
        <v>זס</v>
      </c>
      <c r="F152" s="1" t="str">
        <f>MID(C152,3,2)</f>
        <v>סג</v>
      </c>
      <c r="G152" s="1" t="str">
        <f>CONCATENATE(K152,M152)</f>
        <v>זג</v>
      </c>
      <c r="H152" s="1">
        <f>VLOOKUP(K152,$W$23:$AN$40,MATCH(L152,$W$23:$AN$23,0),FALSE)</f>
        <v>2</v>
      </c>
      <c r="I152" s="1">
        <f>VLOOKUP(L152,$W$23:$AN$40,MATCH(M152,$W$23:$AN$23,0),FALSE)</f>
        <v>5</v>
      </c>
      <c r="J152" s="1">
        <f>VLOOKUP(K152,$W$23:$AN$40,MATCH(M152,$W$23:$AN$23,0),FALSE)</f>
        <v>6</v>
      </c>
      <c r="K152" s="1" t="str">
        <f>MID(A152,1,1)</f>
        <v>ז</v>
      </c>
      <c r="L152" s="1" t="str">
        <f>MID(A152,2,1)</f>
        <v>ס</v>
      </c>
      <c r="M152" s="1" t="str">
        <f>MID(A152,4,1)</f>
        <v>ג</v>
      </c>
      <c r="N152" s="1">
        <f>VLOOKUP(K152,$W:$X,2,0)</f>
        <v>15</v>
      </c>
      <c r="O152" s="1">
        <f>VLOOKUP(L152,$Z:$AA,2,0)</f>
        <v>10</v>
      </c>
      <c r="P152" s="1">
        <f>VLOOKUP(M152,$AC:$AD,2,0)</f>
        <v>14</v>
      </c>
      <c r="Q152" s="1">
        <f>IF(A152&lt;&gt;"",P152+O152+N152+H152+I152+J152,0)</f>
        <v>52</v>
      </c>
      <c r="X152"/>
    </row>
    <row r="153" spans="1:24" x14ac:dyDescent="0.25">
      <c r="A153" s="41" t="s">
        <v>691</v>
      </c>
      <c r="B153">
        <v>2</v>
      </c>
      <c r="C153" s="41" t="s">
        <v>692</v>
      </c>
      <c r="D153">
        <v>3</v>
      </c>
      <c r="E153" s="1" t="str">
        <f>MID(A153,1,2)</f>
        <v>עד</v>
      </c>
      <c r="F153" s="1" t="str">
        <f>MID(C153,3,2)</f>
        <v>דח</v>
      </c>
      <c r="G153" s="1" t="str">
        <f>CONCATENATE(K153,M153)</f>
        <v>עח</v>
      </c>
      <c r="H153" s="1">
        <f>VLOOKUP(K153,$W$23:$AN$40,MATCH(L153,$W$23:$AN$23,0),FALSE)</f>
        <v>6</v>
      </c>
      <c r="I153" s="1">
        <f>VLOOKUP(L153,$W$23:$AN$40,MATCH(M153,$W$23:$AN$23,0),FALSE)</f>
        <v>4</v>
      </c>
      <c r="J153" s="1">
        <f>VLOOKUP(K153,$W$23:$AN$40,MATCH(M153,$W$23:$AN$23,0),FALSE)</f>
        <v>2</v>
      </c>
      <c r="K153" s="1" t="str">
        <f>MID(A153,1,1)</f>
        <v>ע</v>
      </c>
      <c r="L153" s="1" t="str">
        <f>MID(A153,2,1)</f>
        <v>ד</v>
      </c>
      <c r="M153" s="1" t="str">
        <f>MID(A153,4,1)</f>
        <v>ח</v>
      </c>
      <c r="N153" s="1">
        <f>VLOOKUP(K153,$W:$X,2,0)</f>
        <v>14</v>
      </c>
      <c r="O153" s="1">
        <f>VLOOKUP(L153,$Z:$AA,2,0)</f>
        <v>10</v>
      </c>
      <c r="P153" s="1">
        <f>VLOOKUP(M153,$AC:$AD,2,0)</f>
        <v>14</v>
      </c>
      <c r="Q153" s="1">
        <f>IF(A153&lt;&gt;"",P153+O153+N153+H153+I153+J153,0)</f>
        <v>50</v>
      </c>
      <c r="X153"/>
    </row>
    <row r="154" spans="1:24" x14ac:dyDescent="0.25">
      <c r="A154" s="1" t="s">
        <v>717</v>
      </c>
      <c r="B154">
        <v>2</v>
      </c>
      <c r="C154" s="1" t="s">
        <v>718</v>
      </c>
      <c r="D154">
        <v>1</v>
      </c>
      <c r="E154" s="1" t="str">
        <f>MID(A154,1,2)</f>
        <v>רש</v>
      </c>
      <c r="F154" s="1" t="str">
        <f>MID(C154,3,2)</f>
        <v>שע</v>
      </c>
      <c r="G154" s="1" t="str">
        <f>CONCATENATE(K154,M154)</f>
        <v>רע</v>
      </c>
      <c r="H154" s="1">
        <f>VLOOKUP(K154,$W$23:$AN$40,MATCH(L154,$W$23:$AN$23,0),FALSE)</f>
        <v>3</v>
      </c>
      <c r="I154" s="1">
        <f>VLOOKUP(L154,$W$23:$AN$40,MATCH(M154,$W$23:$AN$23,0),FALSE)</f>
        <v>1</v>
      </c>
      <c r="J154" s="1">
        <f>VLOOKUP(K154,$W$23:$AN$40,MATCH(M154,$W$23:$AN$23,0),FALSE)</f>
        <v>3</v>
      </c>
      <c r="K154" s="1" t="str">
        <f>MID(A154,1,1)</f>
        <v>ר</v>
      </c>
      <c r="L154" s="1" t="str">
        <f>MID(A154,2,1)</f>
        <v>ש</v>
      </c>
      <c r="M154" s="1" t="str">
        <f>MID(A154,4,1)</f>
        <v>ע</v>
      </c>
      <c r="N154" s="1">
        <f>VLOOKUP(K154,$W:$X,2,0)</f>
        <v>14</v>
      </c>
      <c r="O154" s="1">
        <f>VLOOKUP(L154,$Z:$AA,2,0)</f>
        <v>10</v>
      </c>
      <c r="P154" s="1">
        <f>VLOOKUP(M154,$AC:$AD,2,0)</f>
        <v>15</v>
      </c>
      <c r="Q154" s="1">
        <f>IF(A154&lt;&gt;"",P154+O154+N154+H154+I154+J154,0)</f>
        <v>46</v>
      </c>
      <c r="X154"/>
    </row>
    <row r="155" spans="1:24" x14ac:dyDescent="0.25">
      <c r="A155" s="1" t="s">
        <v>609</v>
      </c>
      <c r="B155">
        <v>3</v>
      </c>
      <c r="C155" s="1" t="s">
        <v>610</v>
      </c>
      <c r="D155">
        <v>4</v>
      </c>
      <c r="E155" s="1" t="str">
        <f>MID(A155,1,2)</f>
        <v>גר</v>
      </c>
      <c r="F155" s="1" t="str">
        <f>MID(C155,3,2)</f>
        <v>רע</v>
      </c>
      <c r="G155" s="1" t="str">
        <f>CONCATENATE(K155,M155)</f>
        <v>גע</v>
      </c>
      <c r="H155" s="1">
        <f>VLOOKUP(K155,$W$23:$AN$40,MATCH(L155,$W$23:$AN$23,0),FALSE)</f>
        <v>5</v>
      </c>
      <c r="I155" s="1">
        <f>VLOOKUP(L155,$W$23:$AN$40,MATCH(M155,$W$23:$AN$23,0),FALSE)</f>
        <v>3</v>
      </c>
      <c r="J155" s="1">
        <f>VLOOKUP(K155,$W$23:$AN$40,MATCH(M155,$W$23:$AN$23,0),FALSE)</f>
        <v>6</v>
      </c>
      <c r="K155" s="1" t="str">
        <f>MID(A155,1,1)</f>
        <v>ג</v>
      </c>
      <c r="L155" s="1" t="str">
        <f>MID(A155,2,1)</f>
        <v>ר</v>
      </c>
      <c r="M155" s="1" t="str">
        <f>MID(A155,4,1)</f>
        <v>ע</v>
      </c>
      <c r="N155" s="1">
        <f>VLOOKUP(K155,$W:$X,2,0)</f>
        <v>15</v>
      </c>
      <c r="O155" s="1">
        <f>VLOOKUP(L155,$Z:$AA,2,0)</f>
        <v>10</v>
      </c>
      <c r="P155" s="1">
        <f>VLOOKUP(M155,$AC:$AD,2,0)</f>
        <v>15</v>
      </c>
      <c r="Q155" s="1">
        <f>IF(A155&lt;&gt;"",P155+O155+N155+H155+I155+J155,0)</f>
        <v>54</v>
      </c>
      <c r="X155"/>
    </row>
    <row r="156" spans="1:24" x14ac:dyDescent="0.25">
      <c r="A156" s="1" t="s">
        <v>841</v>
      </c>
      <c r="B156">
        <v>2</v>
      </c>
      <c r="C156" s="1" t="s">
        <v>842</v>
      </c>
      <c r="D156">
        <v>2</v>
      </c>
      <c r="E156" s="1" t="str">
        <f>MID(A156,1,2)</f>
        <v>צס</v>
      </c>
      <c r="F156" s="1" t="str">
        <f>MID(C156,3,2)</f>
        <v>סז</v>
      </c>
      <c r="G156" s="1" t="str">
        <f>CONCATENATE(K156,M156)</f>
        <v>צז</v>
      </c>
      <c r="H156" s="1">
        <f>VLOOKUP(K156,$W$23:$AN$40,MATCH(L156,$W$23:$AN$23,0),FALSE)</f>
        <v>6</v>
      </c>
      <c r="I156" s="1">
        <f>VLOOKUP(L156,$W$23:$AN$40,MATCH(M156,$W$23:$AN$23,0),FALSE)</f>
        <v>2</v>
      </c>
      <c r="J156" s="1">
        <f>VLOOKUP(K156,$W$23:$AN$40,MATCH(M156,$W$23:$AN$23,0),FALSE)</f>
        <v>5</v>
      </c>
      <c r="K156" s="1" t="str">
        <f>MID(A156,1,1)</f>
        <v>צ</v>
      </c>
      <c r="L156" s="1" t="str">
        <f>MID(A156,2,1)</f>
        <v>ס</v>
      </c>
      <c r="M156" s="1" t="str">
        <f>MID(A156,4,1)</f>
        <v>ז</v>
      </c>
      <c r="N156" s="1">
        <f>VLOOKUP(K156,$W:$X,2,0)</f>
        <v>15</v>
      </c>
      <c r="O156" s="1">
        <f>VLOOKUP(L156,$Z:$AA,2,0)</f>
        <v>10</v>
      </c>
      <c r="P156" s="1">
        <f>VLOOKUP(M156,$AC:$AD,2,0)</f>
        <v>15</v>
      </c>
      <c r="Q156" s="1">
        <f>IF(A156&lt;&gt;"",P156+O156+N156+H156+I156+J156,0)</f>
        <v>53</v>
      </c>
      <c r="X156"/>
    </row>
    <row r="157" spans="1:24" x14ac:dyDescent="0.25">
      <c r="A157" s="1" t="s">
        <v>733</v>
      </c>
      <c r="B157">
        <v>1</v>
      </c>
      <c r="C157" s="1" t="s">
        <v>734</v>
      </c>
      <c r="D157">
        <v>1</v>
      </c>
      <c r="E157" s="1" t="str">
        <f>MID(A157,1,2)</f>
        <v>טח</v>
      </c>
      <c r="F157" s="1" t="str">
        <f>MID(C157,3,2)</f>
        <v>חס</v>
      </c>
      <c r="G157" s="1" t="str">
        <f>CONCATENATE(K157,M157)</f>
        <v>טס</v>
      </c>
      <c r="H157" s="1">
        <f>VLOOKUP(K157,$W$23:$AN$40,MATCH(L157,$W$23:$AN$23,0),FALSE)</f>
        <v>7</v>
      </c>
      <c r="I157" s="1">
        <f>VLOOKUP(L157,$W$23:$AN$40,MATCH(M157,$W$23:$AN$23,0),FALSE)</f>
        <v>4</v>
      </c>
      <c r="J157" s="1">
        <f>VLOOKUP(K157,$W$23:$AN$40,MATCH(M157,$W$23:$AN$23,0),FALSE)</f>
        <v>4</v>
      </c>
      <c r="K157" s="1" t="str">
        <f>MID(A157,1,1)</f>
        <v>ט</v>
      </c>
      <c r="L157" s="1" t="str">
        <f>MID(A157,2,1)</f>
        <v>ח</v>
      </c>
      <c r="M157" s="1" t="str">
        <f>MID(A157,4,1)</f>
        <v>ס</v>
      </c>
      <c r="N157" s="1">
        <f>VLOOKUP(K157,$W:$X,2,0)</f>
        <v>15</v>
      </c>
      <c r="O157" s="1">
        <f>VLOOKUP(L157,$Z:$AA,2,0)</f>
        <v>10</v>
      </c>
      <c r="P157" s="1">
        <f>VLOOKUP(M157,$AC:$AD,2,0)</f>
        <v>15</v>
      </c>
      <c r="Q157" s="1">
        <f>IF(A157&lt;&gt;"",P157+O157+N157+H157+I157+J157,0)</f>
        <v>55</v>
      </c>
      <c r="X157"/>
    </row>
    <row r="158" spans="1:24" x14ac:dyDescent="0.25">
      <c r="A158" s="1" t="s">
        <v>709</v>
      </c>
      <c r="B158">
        <v>0</v>
      </c>
      <c r="C158" s="1" t="s">
        <v>710</v>
      </c>
      <c r="D158">
        <v>0</v>
      </c>
      <c r="E158" s="1" t="str">
        <f>MID(A158,1,2)</f>
        <v>זפ</v>
      </c>
      <c r="F158" s="1" t="str">
        <f>MID(C158,3,2)</f>
        <v>פט</v>
      </c>
      <c r="G158" s="1" t="str">
        <f>CONCATENATE(K158,M158)</f>
        <v>זט</v>
      </c>
      <c r="H158" s="1">
        <f>VLOOKUP(K158,$W$23:$AN$40,MATCH(L158,$W$23:$AN$23,0),FALSE)</f>
        <v>2</v>
      </c>
      <c r="I158" s="1">
        <f>VLOOKUP(L158,$W$23:$AN$40,MATCH(M158,$W$23:$AN$23,0),FALSE)</f>
        <v>5</v>
      </c>
      <c r="J158" s="1">
        <f>VLOOKUP(K158,$W$23:$AN$40,MATCH(M158,$W$23:$AN$23,0),FALSE)</f>
        <v>4</v>
      </c>
      <c r="K158" s="1" t="str">
        <f>MID(A158,1,1)</f>
        <v>ז</v>
      </c>
      <c r="L158" s="1" t="str">
        <f>MID(A158,2,1)</f>
        <v>פ</v>
      </c>
      <c r="M158" s="1" t="str">
        <f>MID(A158,4,1)</f>
        <v>ט</v>
      </c>
      <c r="N158" s="1">
        <f>VLOOKUP(K158,$W:$X,2,0)</f>
        <v>15</v>
      </c>
      <c r="O158" s="1">
        <f>VLOOKUP(L158,$Z:$AA,2,0)</f>
        <v>10</v>
      </c>
      <c r="P158" s="1">
        <f>VLOOKUP(M158,$AC:$AD,2,0)</f>
        <v>15</v>
      </c>
      <c r="Q158" s="1">
        <f>IF(A158&lt;&gt;"",P158+O158+N158+H158+I158+J158,0)</f>
        <v>51</v>
      </c>
      <c r="X158"/>
    </row>
    <row r="159" spans="1:24" x14ac:dyDescent="0.25">
      <c r="A159" s="41" t="s">
        <v>552</v>
      </c>
      <c r="B159">
        <v>0</v>
      </c>
      <c r="C159" s="41" t="s">
        <v>553</v>
      </c>
      <c r="D159">
        <v>1</v>
      </c>
      <c r="E159" s="1" t="str">
        <f>MID(A159,1,2)</f>
        <v>פמ</v>
      </c>
      <c r="F159" s="1" t="str">
        <f>MID(C159,3,2)</f>
        <v>מק</v>
      </c>
      <c r="G159" s="1" t="str">
        <f>CONCATENATE(K159,M159)</f>
        <v>פק</v>
      </c>
      <c r="H159" s="1">
        <f>VLOOKUP(K159,$W$23:$AN$40,MATCH(L159,$W$23:$AN$23,0),FALSE)</f>
        <v>3</v>
      </c>
      <c r="I159" s="1">
        <f>VLOOKUP(L159,$W$23:$AN$40,MATCH(M159,$W$23:$AN$23,0),FALSE)</f>
        <v>1</v>
      </c>
      <c r="J159" s="1">
        <f>VLOOKUP(K159,$W$23:$AN$40,MATCH(M159,$W$23:$AN$23,0),FALSE)</f>
        <v>4</v>
      </c>
      <c r="K159" s="1" t="str">
        <f>MID(A159,1,1)</f>
        <v>פ</v>
      </c>
      <c r="L159" s="1" t="str">
        <f>MID(A159,2,1)</f>
        <v>מ</v>
      </c>
      <c r="M159" s="1" t="str">
        <f>MID(A159,4,1)</f>
        <v>ק</v>
      </c>
      <c r="N159" s="1">
        <f>VLOOKUP(K159,$W:$X,2,0)</f>
        <v>15</v>
      </c>
      <c r="O159" s="1">
        <f>VLOOKUP(L159,$Z:$AA,2,0)</f>
        <v>10</v>
      </c>
      <c r="P159" s="1">
        <f>VLOOKUP(M159,$AC:$AD,2,0)</f>
        <v>15</v>
      </c>
      <c r="Q159" s="1">
        <f>IF(A159&lt;&gt;"",P159+O159+N159+H159+I159+J159,0)</f>
        <v>48</v>
      </c>
      <c r="X159"/>
    </row>
    <row r="160" spans="1:24" x14ac:dyDescent="0.25">
      <c r="A160" s="41" t="s">
        <v>671</v>
      </c>
      <c r="B160">
        <v>1</v>
      </c>
      <c r="C160" s="41" t="s">
        <v>672</v>
      </c>
      <c r="D160">
        <v>3</v>
      </c>
      <c r="E160" s="1" t="str">
        <f>MID(A160,1,2)</f>
        <v>קז</v>
      </c>
      <c r="F160" s="1" t="str">
        <f>MID(C160,3,2)</f>
        <v>זד</v>
      </c>
      <c r="G160" s="1" t="str">
        <f>CONCATENATE(K160,M160)</f>
        <v>קד</v>
      </c>
      <c r="H160" s="1">
        <f>VLOOKUP(K160,$W$23:$AN$40,MATCH(L160,$W$23:$AN$23,0),FALSE)</f>
        <v>5</v>
      </c>
      <c r="I160" s="1">
        <f>VLOOKUP(L160,$W$23:$AN$40,MATCH(M160,$W$23:$AN$23,0),FALSE)</f>
        <v>4</v>
      </c>
      <c r="J160" s="1">
        <f>VLOOKUP(K160,$W$23:$AN$40,MATCH(M160,$W$23:$AN$23,0),FALSE)</f>
        <v>6</v>
      </c>
      <c r="K160" s="1" t="str">
        <f>MID(A160,1,1)</f>
        <v>ק</v>
      </c>
      <c r="L160" s="1" t="str">
        <f>MID(A160,2,1)</f>
        <v>ז</v>
      </c>
      <c r="M160" s="1" t="str">
        <f>MID(A160,4,1)</f>
        <v>ד</v>
      </c>
      <c r="N160" s="1">
        <f>VLOOKUP(K160,$W:$X,2,0)</f>
        <v>15</v>
      </c>
      <c r="O160" s="1">
        <f>VLOOKUP(L160,$Z:$AA,2,0)</f>
        <v>10</v>
      </c>
      <c r="P160" s="1">
        <f>VLOOKUP(M160,$AC:$AD,2,0)</f>
        <v>15</v>
      </c>
      <c r="Q160" s="1">
        <f>IF(A160&lt;&gt;"",P160+O160+N160+H160+I160+J160,0)</f>
        <v>55</v>
      </c>
      <c r="X160"/>
    </row>
    <row r="161" spans="1:24" x14ac:dyDescent="0.25">
      <c r="A161" s="41"/>
      <c r="C161" s="41"/>
      <c r="E161" s="1" t="str">
        <f>MID(A161,1,2)</f>
        <v/>
      </c>
      <c r="F161" s="1" t="str">
        <f>MID(C161,3,2)</f>
        <v/>
      </c>
      <c r="G161" s="1" t="str">
        <f>CONCATENATE(K161,M161)</f>
        <v/>
      </c>
      <c r="H161" s="1" t="e">
        <f>VLOOKUP(K161,$W$23:$AN$40,MATCH(L161,$W$23:$AN$23,0),FALSE)</f>
        <v>#N/A</v>
      </c>
      <c r="I161" s="1" t="e">
        <f>VLOOKUP(L161,$W$23:$AN$40,MATCH(M161,$W$23:$AN$23,0),FALSE)</f>
        <v>#N/A</v>
      </c>
      <c r="J161" s="1" t="e">
        <f>VLOOKUP(K161,$W$23:$AN$40,MATCH(M161,$W$23:$AN$23,0),FALSE)</f>
        <v>#N/A</v>
      </c>
      <c r="K161" s="1" t="str">
        <f>MID(A161,1,1)</f>
        <v/>
      </c>
      <c r="L161" s="1" t="str">
        <f>MID(A161,2,1)</f>
        <v/>
      </c>
      <c r="M161" s="1" t="str">
        <f>MID(A161,4,1)</f>
        <v/>
      </c>
      <c r="N161" s="1" t="e">
        <f>VLOOKUP(K161,$W:$X,2,0)</f>
        <v>#N/A</v>
      </c>
      <c r="O161" s="1" t="e">
        <f>VLOOKUP(L161,$Z:$AA,2,0)</f>
        <v>#N/A</v>
      </c>
      <c r="P161" s="1" t="e">
        <f>VLOOKUP(M161,$AC:$AD,2,0)</f>
        <v>#N/A</v>
      </c>
      <c r="Q161" s="1">
        <f>IF(A161&lt;&gt;"",P161+O161+N161+H161+I161+J161,0)</f>
        <v>0</v>
      </c>
      <c r="U161" s="40"/>
      <c r="X161"/>
    </row>
    <row r="162" spans="1:24" x14ac:dyDescent="0.25">
      <c r="A162" s="41"/>
      <c r="C162" s="41"/>
      <c r="E162" s="1" t="str">
        <f>MID(A162,1,2)</f>
        <v/>
      </c>
      <c r="F162" s="1" t="str">
        <f>MID(C162,3,2)</f>
        <v/>
      </c>
      <c r="G162" s="1" t="str">
        <f>CONCATENATE(K162,M162)</f>
        <v/>
      </c>
      <c r="H162" s="1" t="e">
        <f>VLOOKUP(K162,$W$23:$AN$40,MATCH(L162,$W$23:$AN$23,0),FALSE)</f>
        <v>#N/A</v>
      </c>
      <c r="I162" s="1" t="e">
        <f>VLOOKUP(L162,$W$23:$AN$40,MATCH(M162,$W$23:$AN$23,0),FALSE)</f>
        <v>#N/A</v>
      </c>
      <c r="J162" s="1" t="e">
        <f>VLOOKUP(K162,$W$23:$AN$40,MATCH(M162,$W$23:$AN$23,0),FALSE)</f>
        <v>#N/A</v>
      </c>
      <c r="K162" s="1" t="str">
        <f>MID(A162,1,1)</f>
        <v/>
      </c>
      <c r="L162" s="1" t="str">
        <f>MID(A162,2,1)</f>
        <v/>
      </c>
      <c r="M162" s="1" t="str">
        <f>MID(A162,4,1)</f>
        <v/>
      </c>
      <c r="N162" s="1" t="e">
        <f>VLOOKUP(K162,$W:$X,2,0)</f>
        <v>#N/A</v>
      </c>
      <c r="O162" s="1" t="e">
        <f>VLOOKUP(L162,$Z:$AA,2,0)</f>
        <v>#N/A</v>
      </c>
      <c r="P162" s="1" t="e">
        <f>VLOOKUP(M162,$AC:$AD,2,0)</f>
        <v>#N/A</v>
      </c>
      <c r="Q162" s="1">
        <f>IF(A162&lt;&gt;"",P162+O162+N162+H162+I162+J162,0)</f>
        <v>0</v>
      </c>
      <c r="U162" s="40"/>
      <c r="X162"/>
    </row>
    <row r="163" spans="1:24" x14ac:dyDescent="0.25">
      <c r="A163" s="41"/>
      <c r="C163" s="41"/>
      <c r="E163" s="1" t="str">
        <f>MID(A163,1,2)</f>
        <v/>
      </c>
      <c r="F163" s="1" t="str">
        <f>MID(C163,3,2)</f>
        <v/>
      </c>
      <c r="G163" s="1" t="str">
        <f>CONCATENATE(K163,M163)</f>
        <v/>
      </c>
      <c r="H163" s="1" t="e">
        <f>VLOOKUP(K163,$W$23:$AN$40,MATCH(L163,$W$23:$AN$23,0),FALSE)</f>
        <v>#N/A</v>
      </c>
      <c r="I163" s="1" t="e">
        <f>VLOOKUP(L163,$W$23:$AN$40,MATCH(M163,$W$23:$AN$23,0),FALSE)</f>
        <v>#N/A</v>
      </c>
      <c r="J163" s="1" t="e">
        <f>VLOOKUP(K163,$W$23:$AN$40,MATCH(M163,$W$23:$AN$23,0),FALSE)</f>
        <v>#N/A</v>
      </c>
      <c r="K163" s="1" t="str">
        <f>MID(A163,1,1)</f>
        <v/>
      </c>
      <c r="L163" s="1" t="str">
        <f>MID(A163,2,1)</f>
        <v/>
      </c>
      <c r="M163" s="1" t="str">
        <f>MID(A163,4,1)</f>
        <v/>
      </c>
      <c r="N163" s="1" t="e">
        <f>VLOOKUP(K163,$W:$X,2,0)</f>
        <v>#N/A</v>
      </c>
      <c r="O163" s="1" t="e">
        <f>VLOOKUP(L163,$Z:$AA,2,0)</f>
        <v>#N/A</v>
      </c>
      <c r="P163" s="1" t="e">
        <f>VLOOKUP(M163,$AC:$AD,2,0)</f>
        <v>#N/A</v>
      </c>
      <c r="Q163" s="1">
        <f>IF(A163&lt;&gt;"",P163+O163+N163+H163+I163+J163,0)</f>
        <v>0</v>
      </c>
      <c r="X163"/>
    </row>
    <row r="164" spans="1:24" x14ac:dyDescent="0.25">
      <c r="A164" s="41"/>
      <c r="C164" s="41"/>
      <c r="E164" s="1" t="str">
        <f>MID(A164,1,2)</f>
        <v/>
      </c>
      <c r="F164" s="1" t="str">
        <f>MID(C164,3,2)</f>
        <v/>
      </c>
      <c r="G164" s="1" t="str">
        <f>CONCATENATE(K164,M164)</f>
        <v/>
      </c>
      <c r="H164" s="1" t="e">
        <f>VLOOKUP(K164,$W$23:$AN$40,MATCH(L164,$W$23:$AN$23,0),FALSE)</f>
        <v>#N/A</v>
      </c>
      <c r="I164" s="1" t="e">
        <f>VLOOKUP(L164,$W$23:$AN$40,MATCH(M164,$W$23:$AN$23,0),FALSE)</f>
        <v>#N/A</v>
      </c>
      <c r="J164" s="1" t="e">
        <f>VLOOKUP(K164,$W$23:$AN$40,MATCH(M164,$W$23:$AN$23,0),FALSE)</f>
        <v>#N/A</v>
      </c>
      <c r="K164" s="1" t="str">
        <f>MID(A164,1,1)</f>
        <v/>
      </c>
      <c r="L164" s="1" t="str">
        <f>MID(A164,2,1)</f>
        <v/>
      </c>
      <c r="M164" s="1" t="str">
        <f>MID(A164,4,1)</f>
        <v/>
      </c>
      <c r="N164" s="1" t="e">
        <f>VLOOKUP(K164,$W:$X,2,0)</f>
        <v>#N/A</v>
      </c>
      <c r="O164" s="1" t="e">
        <f>VLOOKUP(L164,$Z:$AA,2,0)</f>
        <v>#N/A</v>
      </c>
      <c r="P164" s="1" t="e">
        <f>VLOOKUP(M164,$AC:$AD,2,0)</f>
        <v>#N/A</v>
      </c>
      <c r="Q164" s="1">
        <f>IF(A164&lt;&gt;"",P164+O164+N164+H164+I164+J164,0)</f>
        <v>0</v>
      </c>
      <c r="X164"/>
    </row>
    <row r="165" spans="1:24" x14ac:dyDescent="0.25">
      <c r="A165" s="41"/>
      <c r="C165" s="41"/>
      <c r="E165" s="1" t="str">
        <f>MID(A165,1,2)</f>
        <v/>
      </c>
      <c r="F165" s="1" t="str">
        <f>MID(C165,3,2)</f>
        <v/>
      </c>
      <c r="G165" s="1" t="str">
        <f>CONCATENATE(K165,M165)</f>
        <v/>
      </c>
      <c r="H165" s="1" t="e">
        <f>VLOOKUP(K165,$W$23:$AN$40,MATCH(L165,$W$23:$AN$23,0),FALSE)</f>
        <v>#N/A</v>
      </c>
      <c r="I165" s="1" t="e">
        <f>VLOOKUP(L165,$W$23:$AN$40,MATCH(M165,$W$23:$AN$23,0),FALSE)</f>
        <v>#N/A</v>
      </c>
      <c r="J165" s="1" t="e">
        <f>VLOOKUP(K165,$W$23:$AN$40,MATCH(M165,$W$23:$AN$23,0),FALSE)</f>
        <v>#N/A</v>
      </c>
      <c r="K165" s="1" t="str">
        <f>MID(A165,1,1)</f>
        <v/>
      </c>
      <c r="L165" s="1" t="str">
        <f>MID(A165,2,1)</f>
        <v/>
      </c>
      <c r="M165" s="1" t="str">
        <f>MID(A165,4,1)</f>
        <v/>
      </c>
      <c r="N165" s="1" t="e">
        <f>VLOOKUP(K165,$W:$X,2,0)</f>
        <v>#N/A</v>
      </c>
      <c r="O165" s="1" t="e">
        <f>VLOOKUP(L165,$Z:$AA,2,0)</f>
        <v>#N/A</v>
      </c>
      <c r="P165" s="1" t="e">
        <f>VLOOKUP(M165,$AC:$AD,2,0)</f>
        <v>#N/A</v>
      </c>
      <c r="Q165" s="1">
        <f>IF(A165&lt;&gt;"",P165+O165+N165+H165+I165+J165,0)</f>
        <v>0</v>
      </c>
      <c r="X165"/>
    </row>
    <row r="166" spans="1:24" x14ac:dyDescent="0.25">
      <c r="A166" s="41"/>
      <c r="C166" s="41"/>
      <c r="E166" s="1" t="str">
        <f>MID(A166,1,2)</f>
        <v/>
      </c>
      <c r="F166" s="1" t="str">
        <f>MID(C166,3,2)</f>
        <v/>
      </c>
      <c r="G166" s="1" t="str">
        <f>CONCATENATE(K166,M166)</f>
        <v/>
      </c>
      <c r="H166" s="1" t="e">
        <f>VLOOKUP(K166,$W$23:$AN$40,MATCH(L166,$W$23:$AN$23,0),FALSE)</f>
        <v>#N/A</v>
      </c>
      <c r="I166" s="1" t="e">
        <f>VLOOKUP(L166,$W$23:$AN$40,MATCH(M166,$W$23:$AN$23,0),FALSE)</f>
        <v>#N/A</v>
      </c>
      <c r="J166" s="1" t="e">
        <f>VLOOKUP(K166,$W$23:$AN$40,MATCH(M166,$W$23:$AN$23,0),FALSE)</f>
        <v>#N/A</v>
      </c>
      <c r="K166" s="1" t="str">
        <f>MID(A166,1,1)</f>
        <v/>
      </c>
      <c r="L166" s="1" t="str">
        <f>MID(A166,2,1)</f>
        <v/>
      </c>
      <c r="M166" s="1" t="str">
        <f>MID(A166,4,1)</f>
        <v/>
      </c>
      <c r="N166" s="1" t="e">
        <f>VLOOKUP(K166,$W:$X,2,0)</f>
        <v>#N/A</v>
      </c>
      <c r="O166" s="1" t="e">
        <f>VLOOKUP(L166,$Z:$AA,2,0)</f>
        <v>#N/A</v>
      </c>
      <c r="P166" s="1" t="e">
        <f>VLOOKUP(M166,$AC:$AD,2,0)</f>
        <v>#N/A</v>
      </c>
      <c r="Q166" s="1">
        <f>IF(A166&lt;&gt;"",P166+O166+N166+H166+I166+J166,0)</f>
        <v>0</v>
      </c>
      <c r="X166"/>
    </row>
    <row r="167" spans="1:24" x14ac:dyDescent="0.25">
      <c r="A167" s="41"/>
      <c r="C167" s="41"/>
      <c r="E167" s="1" t="str">
        <f>MID(A167,1,2)</f>
        <v/>
      </c>
      <c r="F167" s="1" t="str">
        <f>MID(C167,3,2)</f>
        <v/>
      </c>
      <c r="G167" s="1" t="str">
        <f>CONCATENATE(K167,M167)</f>
        <v/>
      </c>
      <c r="H167" s="1" t="e">
        <f>VLOOKUP(K167,$W$23:$AN$40,MATCH(L167,$W$23:$AN$23,0),FALSE)</f>
        <v>#N/A</v>
      </c>
      <c r="I167" s="1" t="e">
        <f>VLOOKUP(L167,$W$23:$AN$40,MATCH(M167,$W$23:$AN$23,0),FALSE)</f>
        <v>#N/A</v>
      </c>
      <c r="J167" s="1" t="e">
        <f>VLOOKUP(K167,$W$23:$AN$40,MATCH(M167,$W$23:$AN$23,0),FALSE)</f>
        <v>#N/A</v>
      </c>
      <c r="K167" s="1" t="str">
        <f>MID(A167,1,1)</f>
        <v/>
      </c>
      <c r="L167" s="1" t="str">
        <f>MID(A167,2,1)</f>
        <v/>
      </c>
      <c r="M167" s="1" t="str">
        <f>MID(A167,4,1)</f>
        <v/>
      </c>
      <c r="N167" s="1" t="e">
        <f>VLOOKUP(K167,$W:$X,2,0)</f>
        <v>#N/A</v>
      </c>
      <c r="O167" s="1" t="e">
        <f>VLOOKUP(L167,$Z:$AA,2,0)</f>
        <v>#N/A</v>
      </c>
      <c r="P167" s="1" t="e">
        <f>VLOOKUP(M167,$AC:$AD,2,0)</f>
        <v>#N/A</v>
      </c>
      <c r="Q167" s="1">
        <f>IF(A167&lt;&gt;"",P167+O167+N167+H167+I167+J167,0)</f>
        <v>0</v>
      </c>
      <c r="X167"/>
    </row>
    <row r="168" spans="1:24" x14ac:dyDescent="0.25">
      <c r="A168" s="41"/>
      <c r="C168" s="41"/>
      <c r="E168" s="1" t="str">
        <f>MID(A168,1,2)</f>
        <v/>
      </c>
      <c r="F168" s="1" t="str">
        <f>MID(C168,3,2)</f>
        <v/>
      </c>
      <c r="G168" s="1" t="str">
        <f>CONCATENATE(K168,M168)</f>
        <v/>
      </c>
      <c r="H168" s="1" t="e">
        <f>VLOOKUP(K168,$W$23:$AN$40,MATCH(L168,$W$23:$AN$23,0),FALSE)</f>
        <v>#N/A</v>
      </c>
      <c r="I168" s="1" t="e">
        <f>VLOOKUP(L168,$W$23:$AN$40,MATCH(M168,$W$23:$AN$23,0),FALSE)</f>
        <v>#N/A</v>
      </c>
      <c r="J168" s="1" t="e">
        <f>VLOOKUP(K168,$W$23:$AN$40,MATCH(M168,$W$23:$AN$23,0),FALSE)</f>
        <v>#N/A</v>
      </c>
      <c r="K168" s="1" t="str">
        <f>MID(A168,1,1)</f>
        <v/>
      </c>
      <c r="L168" s="1" t="str">
        <f>MID(A168,2,1)</f>
        <v/>
      </c>
      <c r="M168" s="1" t="str">
        <f>MID(A168,4,1)</f>
        <v/>
      </c>
      <c r="N168" s="1" t="e">
        <f>VLOOKUP(K168,$W:$X,2,0)</f>
        <v>#N/A</v>
      </c>
      <c r="O168" s="1" t="e">
        <f>VLOOKUP(L168,$Z:$AA,2,0)</f>
        <v>#N/A</v>
      </c>
      <c r="P168" s="1" t="e">
        <f>VLOOKUP(M168,$AC:$AD,2,0)</f>
        <v>#N/A</v>
      </c>
      <c r="Q168" s="1">
        <f>IF(A168&lt;&gt;"",P168+O168+N168+H168+I168+J168,0)</f>
        <v>0</v>
      </c>
      <c r="X168"/>
    </row>
    <row r="169" spans="1:24" x14ac:dyDescent="0.25">
      <c r="A169" s="41"/>
      <c r="C169" s="41"/>
      <c r="E169" s="1" t="str">
        <f>MID(A169,1,2)</f>
        <v/>
      </c>
      <c r="F169" s="1" t="str">
        <f>MID(C169,3,2)</f>
        <v/>
      </c>
      <c r="G169" s="1" t="str">
        <f>CONCATENATE(K169,M169)</f>
        <v/>
      </c>
      <c r="H169" s="1" t="e">
        <f>VLOOKUP(K169,$W$23:$AN$40,MATCH(L169,$W$23:$AN$23,0),FALSE)</f>
        <v>#N/A</v>
      </c>
      <c r="I169" s="1" t="e">
        <f>VLOOKUP(L169,$W$23:$AN$40,MATCH(M169,$W$23:$AN$23,0),FALSE)</f>
        <v>#N/A</v>
      </c>
      <c r="J169" s="1" t="e">
        <f>VLOOKUP(K169,$W$23:$AN$40,MATCH(M169,$W$23:$AN$23,0),FALSE)</f>
        <v>#N/A</v>
      </c>
      <c r="K169" s="1" t="str">
        <f>MID(A169,1,1)</f>
        <v/>
      </c>
      <c r="L169" s="1" t="str">
        <f>MID(A169,2,1)</f>
        <v/>
      </c>
      <c r="M169" s="1" t="str">
        <f>MID(A169,4,1)</f>
        <v/>
      </c>
      <c r="N169" s="1" t="e">
        <f>VLOOKUP(K169,$W:$X,2,0)</f>
        <v>#N/A</v>
      </c>
      <c r="O169" s="1" t="e">
        <f>VLOOKUP(L169,$Z:$AA,2,0)</f>
        <v>#N/A</v>
      </c>
      <c r="P169" s="1" t="e">
        <f>VLOOKUP(M169,$AC:$AD,2,0)</f>
        <v>#N/A</v>
      </c>
      <c r="Q169" s="1">
        <f>IF(A169&lt;&gt;"",P169+O169+N169+H169+I169+J169,0)</f>
        <v>0</v>
      </c>
      <c r="X169"/>
    </row>
    <row r="170" spans="1:24" x14ac:dyDescent="0.25">
      <c r="A170" s="41"/>
      <c r="C170" s="41"/>
      <c r="E170" s="1" t="str">
        <f>MID(A170,1,2)</f>
        <v/>
      </c>
      <c r="F170" s="1" t="str">
        <f>MID(C170,3,2)</f>
        <v/>
      </c>
      <c r="G170" s="1" t="str">
        <f>CONCATENATE(K170,M170)</f>
        <v/>
      </c>
      <c r="H170" s="1" t="e">
        <f>VLOOKUP(K170,$W$23:$AN$40,MATCH(L170,$W$23:$AN$23,0),FALSE)</f>
        <v>#N/A</v>
      </c>
      <c r="I170" s="1" t="e">
        <f>VLOOKUP(L170,$W$23:$AN$40,MATCH(M170,$W$23:$AN$23,0),FALSE)</f>
        <v>#N/A</v>
      </c>
      <c r="J170" s="1" t="e">
        <f>VLOOKUP(K170,$W$23:$AN$40,MATCH(M170,$W$23:$AN$23,0),FALSE)</f>
        <v>#N/A</v>
      </c>
      <c r="K170" s="1" t="str">
        <f>MID(A170,1,1)</f>
        <v/>
      </c>
      <c r="L170" s="1" t="str">
        <f>MID(A170,2,1)</f>
        <v/>
      </c>
      <c r="M170" s="1" t="str">
        <f>MID(A170,4,1)</f>
        <v/>
      </c>
      <c r="N170" s="1" t="e">
        <f>VLOOKUP(K170,$W:$X,2,0)</f>
        <v>#N/A</v>
      </c>
      <c r="O170" s="1" t="e">
        <f>VLOOKUP(L170,$Z:$AA,2,0)</f>
        <v>#N/A</v>
      </c>
      <c r="P170" s="1" t="e">
        <f>VLOOKUP(M170,$AC:$AD,2,0)</f>
        <v>#N/A</v>
      </c>
      <c r="Q170" s="1">
        <f>IF(A170&lt;&gt;"",P170+O170+N170+H170+I170+J170,0)</f>
        <v>0</v>
      </c>
      <c r="X170"/>
    </row>
    <row r="171" spans="1:24" x14ac:dyDescent="0.25">
      <c r="A171" s="41"/>
      <c r="C171" s="41"/>
      <c r="E171" s="1" t="str">
        <f>MID(A171,1,2)</f>
        <v/>
      </c>
      <c r="F171" s="1" t="str">
        <f>MID(C171,3,2)</f>
        <v/>
      </c>
      <c r="G171" s="1" t="str">
        <f>CONCATENATE(K171,M171)</f>
        <v/>
      </c>
      <c r="H171" s="1" t="e">
        <f>VLOOKUP(K171,$W$23:$AN$40,MATCH(L171,$W$23:$AN$23,0),FALSE)</f>
        <v>#N/A</v>
      </c>
      <c r="I171" s="1" t="e">
        <f>VLOOKUP(L171,$W$23:$AN$40,MATCH(M171,$W$23:$AN$23,0),FALSE)</f>
        <v>#N/A</v>
      </c>
      <c r="J171" s="1" t="e">
        <f>VLOOKUP(K171,$W$23:$AN$40,MATCH(M171,$W$23:$AN$23,0),FALSE)</f>
        <v>#N/A</v>
      </c>
      <c r="K171" s="1" t="str">
        <f>MID(A171,1,1)</f>
        <v/>
      </c>
      <c r="L171" s="1" t="str">
        <f>MID(A171,2,1)</f>
        <v/>
      </c>
      <c r="M171" s="1" t="str">
        <f>MID(A171,4,1)</f>
        <v/>
      </c>
      <c r="N171" s="1" t="e">
        <f>VLOOKUP(K171,$W:$X,2,0)</f>
        <v>#N/A</v>
      </c>
      <c r="O171" s="1" t="e">
        <f>VLOOKUP(L171,$Z:$AA,2,0)</f>
        <v>#N/A</v>
      </c>
      <c r="P171" s="1" t="e">
        <f>VLOOKUP(M171,$AC:$AD,2,0)</f>
        <v>#N/A</v>
      </c>
      <c r="Q171" s="1">
        <f>IF(A171&lt;&gt;"",P171+O171+N171+H171+I171+J171,0)</f>
        <v>0</v>
      </c>
      <c r="X171"/>
    </row>
    <row r="172" spans="1:24" x14ac:dyDescent="0.25">
      <c r="A172" s="41"/>
      <c r="C172" s="41"/>
      <c r="E172" s="1" t="str">
        <f>MID(A172,1,2)</f>
        <v/>
      </c>
      <c r="F172" s="1" t="str">
        <f>MID(C172,3,2)</f>
        <v/>
      </c>
      <c r="G172" s="1" t="str">
        <f>CONCATENATE(K172,M172)</f>
        <v/>
      </c>
      <c r="H172" s="1" t="e">
        <f>VLOOKUP(K172,$W$23:$AN$40,MATCH(L172,$W$23:$AN$23,0),FALSE)</f>
        <v>#N/A</v>
      </c>
      <c r="I172" s="1" t="e">
        <f>VLOOKUP(L172,$W$23:$AN$40,MATCH(M172,$W$23:$AN$23,0),FALSE)</f>
        <v>#N/A</v>
      </c>
      <c r="J172" s="1" t="e">
        <f>VLOOKUP(K172,$W$23:$AN$40,MATCH(M172,$W$23:$AN$23,0),FALSE)</f>
        <v>#N/A</v>
      </c>
      <c r="K172" s="1" t="str">
        <f>MID(A172,1,1)</f>
        <v/>
      </c>
      <c r="L172" s="1" t="str">
        <f>MID(A172,2,1)</f>
        <v/>
      </c>
      <c r="M172" s="1" t="str">
        <f>MID(A172,4,1)</f>
        <v/>
      </c>
      <c r="N172" s="1" t="e">
        <f>VLOOKUP(K172,$W:$X,2,0)</f>
        <v>#N/A</v>
      </c>
      <c r="O172" s="1" t="e">
        <f>VLOOKUP(L172,$Z:$AA,2,0)</f>
        <v>#N/A</v>
      </c>
      <c r="P172" s="1" t="e">
        <f>VLOOKUP(M172,$AC:$AD,2,0)</f>
        <v>#N/A</v>
      </c>
      <c r="Q172" s="1">
        <f>IF(A172&lt;&gt;"",P172+O172+N172+H172+I172+J172,0)</f>
        <v>0</v>
      </c>
      <c r="X172"/>
    </row>
    <row r="173" spans="1:24" x14ac:dyDescent="0.25">
      <c r="A173" s="41"/>
      <c r="C173" s="41"/>
      <c r="E173" s="1" t="str">
        <f>MID(A173,1,2)</f>
        <v/>
      </c>
      <c r="F173" s="1" t="str">
        <f>MID(C173,3,2)</f>
        <v/>
      </c>
      <c r="G173" s="1" t="str">
        <f>CONCATENATE(K173,M173)</f>
        <v/>
      </c>
      <c r="H173" s="1" t="e">
        <f>VLOOKUP(K173,$W$23:$AN$40,MATCH(L173,$W$23:$AN$23,0),FALSE)</f>
        <v>#N/A</v>
      </c>
      <c r="I173" s="1" t="e">
        <f>VLOOKUP(L173,$W$23:$AN$40,MATCH(M173,$W$23:$AN$23,0),FALSE)</f>
        <v>#N/A</v>
      </c>
      <c r="J173" s="1" t="e">
        <f>VLOOKUP(K173,$W$23:$AN$40,MATCH(M173,$W$23:$AN$23,0),FALSE)</f>
        <v>#N/A</v>
      </c>
      <c r="K173" s="1" t="str">
        <f>MID(A173,1,1)</f>
        <v/>
      </c>
      <c r="L173" s="1" t="str">
        <f>MID(A173,2,1)</f>
        <v/>
      </c>
      <c r="M173" s="1" t="str">
        <f>MID(A173,4,1)</f>
        <v/>
      </c>
      <c r="N173" s="1" t="e">
        <f>VLOOKUP(K173,$W:$X,2,0)</f>
        <v>#N/A</v>
      </c>
      <c r="O173" s="1" t="e">
        <f>VLOOKUP(L173,$Z:$AA,2,0)</f>
        <v>#N/A</v>
      </c>
      <c r="P173" s="1" t="e">
        <f>VLOOKUP(M173,$AC:$AD,2,0)</f>
        <v>#N/A</v>
      </c>
      <c r="Q173" s="1">
        <f>IF(A173&lt;&gt;"",P173+O173+N173+H173+I173+J173,0)</f>
        <v>0</v>
      </c>
      <c r="X173"/>
    </row>
    <row r="174" spans="1:24" x14ac:dyDescent="0.25">
      <c r="A174" s="41"/>
      <c r="C174" s="41"/>
      <c r="E174" s="1" t="str">
        <f>MID(A174,1,2)</f>
        <v/>
      </c>
      <c r="F174" s="1" t="str">
        <f>MID(C174,3,2)</f>
        <v/>
      </c>
      <c r="G174" s="1" t="str">
        <f>CONCATENATE(K174,M174)</f>
        <v/>
      </c>
      <c r="H174" s="1" t="e">
        <f>VLOOKUP(K174,$W$23:$AN$40,MATCH(L174,$W$23:$AN$23,0),FALSE)</f>
        <v>#N/A</v>
      </c>
      <c r="I174" s="1" t="e">
        <f>VLOOKUP(L174,$W$23:$AN$40,MATCH(M174,$W$23:$AN$23,0),FALSE)</f>
        <v>#N/A</v>
      </c>
      <c r="J174" s="1" t="e">
        <f>VLOOKUP(K174,$W$23:$AN$40,MATCH(M174,$W$23:$AN$23,0),FALSE)</f>
        <v>#N/A</v>
      </c>
      <c r="K174" s="1" t="str">
        <f>MID(A174,1,1)</f>
        <v/>
      </c>
      <c r="L174" s="1" t="str">
        <f>MID(A174,2,1)</f>
        <v/>
      </c>
      <c r="M174" s="1" t="str">
        <f>MID(A174,4,1)</f>
        <v/>
      </c>
      <c r="N174" s="1" t="e">
        <f>VLOOKUP(K174,$W:$X,2,0)</f>
        <v>#N/A</v>
      </c>
      <c r="O174" s="1" t="e">
        <f>VLOOKUP(L174,$Z:$AA,2,0)</f>
        <v>#N/A</v>
      </c>
      <c r="P174" s="1" t="e">
        <f>VLOOKUP(M174,$AC:$AD,2,0)</f>
        <v>#N/A</v>
      </c>
      <c r="Q174" s="1">
        <f>IF(A174&lt;&gt;"",P174+O174+N174+H174+I174+J174,0)</f>
        <v>0</v>
      </c>
      <c r="X174"/>
    </row>
    <row r="175" spans="1:24" x14ac:dyDescent="0.25">
      <c r="A175" s="41"/>
      <c r="C175" s="41"/>
      <c r="E175" s="1" t="str">
        <f>MID(A175,1,2)</f>
        <v/>
      </c>
      <c r="F175" s="1" t="str">
        <f>MID(C175,3,2)</f>
        <v/>
      </c>
      <c r="G175" s="1" t="str">
        <f>CONCATENATE(K175,M175)</f>
        <v/>
      </c>
      <c r="H175" s="1" t="e">
        <f>VLOOKUP(K175,$W$23:$AN$40,MATCH(L175,$W$23:$AN$23,0),FALSE)</f>
        <v>#N/A</v>
      </c>
      <c r="I175" s="1" t="e">
        <f>VLOOKUP(L175,$W$23:$AN$40,MATCH(M175,$W$23:$AN$23,0),FALSE)</f>
        <v>#N/A</v>
      </c>
      <c r="J175" s="1" t="e">
        <f>VLOOKUP(K175,$W$23:$AN$40,MATCH(M175,$W$23:$AN$23,0),FALSE)</f>
        <v>#N/A</v>
      </c>
      <c r="K175" s="1" t="str">
        <f>MID(A175,1,1)</f>
        <v/>
      </c>
      <c r="L175" s="1" t="str">
        <f>MID(A175,2,1)</f>
        <v/>
      </c>
      <c r="M175" s="1" t="str">
        <f>MID(A175,4,1)</f>
        <v/>
      </c>
      <c r="N175" s="1" t="e">
        <f>VLOOKUP(K175,$W:$X,2,0)</f>
        <v>#N/A</v>
      </c>
      <c r="O175" s="1" t="e">
        <f>VLOOKUP(L175,$Z:$AA,2,0)</f>
        <v>#N/A</v>
      </c>
      <c r="P175" s="1" t="e">
        <f>VLOOKUP(M175,$AC:$AD,2,0)</f>
        <v>#N/A</v>
      </c>
      <c r="Q175" s="1">
        <f>IF(A175&lt;&gt;"",P175+O175+N175+H175+I175+J175,0)</f>
        <v>0</v>
      </c>
      <c r="X175"/>
    </row>
    <row r="176" spans="1:24" x14ac:dyDescent="0.25">
      <c r="A176" s="41"/>
      <c r="C176" s="41"/>
      <c r="E176" s="1" t="str">
        <f>MID(A176,1,2)</f>
        <v/>
      </c>
      <c r="F176" s="1" t="str">
        <f>MID(C176,3,2)</f>
        <v/>
      </c>
      <c r="G176" s="1" t="str">
        <f>CONCATENATE(K176,M176)</f>
        <v/>
      </c>
      <c r="H176" s="1" t="e">
        <f>VLOOKUP(K176,$W$23:$AN$40,MATCH(L176,$W$23:$AN$23,0),FALSE)</f>
        <v>#N/A</v>
      </c>
      <c r="I176" s="1" t="e">
        <f>VLOOKUP(L176,$W$23:$AN$40,MATCH(M176,$W$23:$AN$23,0),FALSE)</f>
        <v>#N/A</v>
      </c>
      <c r="J176" s="1" t="e">
        <f>VLOOKUP(K176,$W$23:$AN$40,MATCH(M176,$W$23:$AN$23,0),FALSE)</f>
        <v>#N/A</v>
      </c>
      <c r="K176" s="1" t="str">
        <f>MID(A176,1,1)</f>
        <v/>
      </c>
      <c r="L176" s="1" t="str">
        <f>MID(A176,2,1)</f>
        <v/>
      </c>
      <c r="M176" s="1" t="str">
        <f>MID(A176,4,1)</f>
        <v/>
      </c>
      <c r="N176" s="1" t="e">
        <f>VLOOKUP(K176,$W:$X,2,0)</f>
        <v>#N/A</v>
      </c>
      <c r="O176" s="1" t="e">
        <f>VLOOKUP(L176,$Z:$AA,2,0)</f>
        <v>#N/A</v>
      </c>
      <c r="P176" s="1" t="e">
        <f>VLOOKUP(M176,$AC:$AD,2,0)</f>
        <v>#N/A</v>
      </c>
      <c r="Q176" s="1">
        <f>IF(A176&lt;&gt;"",P176+O176+N176+H176+I176+J176,0)</f>
        <v>0</v>
      </c>
      <c r="X176"/>
    </row>
    <row r="177" spans="1:24" x14ac:dyDescent="0.25">
      <c r="A177" s="41"/>
      <c r="C177" s="41"/>
      <c r="E177" s="1" t="str">
        <f>MID(A177,1,2)</f>
        <v/>
      </c>
      <c r="F177" s="1" t="str">
        <f>MID(C177,3,2)</f>
        <v/>
      </c>
      <c r="G177" s="1" t="str">
        <f>CONCATENATE(K177,M177)</f>
        <v/>
      </c>
      <c r="H177" s="1" t="e">
        <f>VLOOKUP(K177,$W$23:$AN$40,MATCH(L177,$W$23:$AN$23,0),FALSE)</f>
        <v>#N/A</v>
      </c>
      <c r="I177" s="1" t="e">
        <f>VLOOKUP(L177,$W$23:$AN$40,MATCH(M177,$W$23:$AN$23,0),FALSE)</f>
        <v>#N/A</v>
      </c>
      <c r="J177" s="1" t="e">
        <f>VLOOKUP(K177,$W$23:$AN$40,MATCH(M177,$W$23:$AN$23,0),FALSE)</f>
        <v>#N/A</v>
      </c>
      <c r="K177" s="1" t="str">
        <f>MID(A177,1,1)</f>
        <v/>
      </c>
      <c r="L177" s="1" t="str">
        <f>MID(A177,2,1)</f>
        <v/>
      </c>
      <c r="M177" s="1" t="str">
        <f>MID(A177,4,1)</f>
        <v/>
      </c>
      <c r="N177" s="1" t="e">
        <f>VLOOKUP(K177,$W:$X,2,0)</f>
        <v>#N/A</v>
      </c>
      <c r="O177" s="1" t="e">
        <f>VLOOKUP(L177,$Z:$AA,2,0)</f>
        <v>#N/A</v>
      </c>
      <c r="P177" s="1" t="e">
        <f>VLOOKUP(M177,$AC:$AD,2,0)</f>
        <v>#N/A</v>
      </c>
      <c r="Q177" s="1">
        <f>IF(A177&lt;&gt;"",P177+O177+N177+H177+I177+J177,0)</f>
        <v>0</v>
      </c>
      <c r="X177"/>
    </row>
    <row r="178" spans="1:24" x14ac:dyDescent="0.25">
      <c r="A178" s="41"/>
      <c r="C178" s="41"/>
      <c r="E178" s="1" t="str">
        <f>MID(A178,1,2)</f>
        <v/>
      </c>
      <c r="F178" s="1" t="str">
        <f>MID(C178,3,2)</f>
        <v/>
      </c>
      <c r="G178" s="1" t="str">
        <f>CONCATENATE(K178,M178)</f>
        <v/>
      </c>
      <c r="H178" s="1" t="e">
        <f>VLOOKUP(K178,$W$23:$AN$40,MATCH(L178,$W$23:$AN$23,0),FALSE)</f>
        <v>#N/A</v>
      </c>
      <c r="I178" s="1" t="e">
        <f>VLOOKUP(L178,$W$23:$AN$40,MATCH(M178,$W$23:$AN$23,0),FALSE)</f>
        <v>#N/A</v>
      </c>
      <c r="J178" s="1" t="e">
        <f>VLOOKUP(K178,$W$23:$AN$40,MATCH(M178,$W$23:$AN$23,0),FALSE)</f>
        <v>#N/A</v>
      </c>
      <c r="K178" s="1" t="str">
        <f>MID(A178,1,1)</f>
        <v/>
      </c>
      <c r="L178" s="1" t="str">
        <f>MID(A178,2,1)</f>
        <v/>
      </c>
      <c r="M178" s="1" t="str">
        <f>MID(A178,4,1)</f>
        <v/>
      </c>
      <c r="N178" s="1" t="e">
        <f>VLOOKUP(K178,$W:$X,2,0)</f>
        <v>#N/A</v>
      </c>
      <c r="O178" s="1" t="e">
        <f>VLOOKUP(L178,$Z:$AA,2,0)</f>
        <v>#N/A</v>
      </c>
      <c r="P178" s="1" t="e">
        <f>VLOOKUP(M178,$AC:$AD,2,0)</f>
        <v>#N/A</v>
      </c>
      <c r="Q178" s="1">
        <f>IF(A178&lt;&gt;"",P178+O178+N178+H178+I178+J178,0)</f>
        <v>0</v>
      </c>
      <c r="X178"/>
    </row>
    <row r="179" spans="1:24" x14ac:dyDescent="0.25">
      <c r="A179" s="41"/>
      <c r="C179" s="41"/>
      <c r="E179" s="1" t="str">
        <f>MID(A179,1,2)</f>
        <v/>
      </c>
      <c r="F179" s="1" t="str">
        <f>MID(C179,3,2)</f>
        <v/>
      </c>
      <c r="G179" s="1" t="str">
        <f>CONCATENATE(K179,M179)</f>
        <v/>
      </c>
      <c r="H179" s="1" t="e">
        <f>VLOOKUP(K179,$W$23:$AN$40,MATCH(L179,$W$23:$AN$23,0),FALSE)</f>
        <v>#N/A</v>
      </c>
      <c r="I179" s="1" t="e">
        <f>VLOOKUP(L179,$W$23:$AN$40,MATCH(M179,$W$23:$AN$23,0),FALSE)</f>
        <v>#N/A</v>
      </c>
      <c r="J179" s="1" t="e">
        <f>VLOOKUP(K179,$W$23:$AN$40,MATCH(M179,$W$23:$AN$23,0),FALSE)</f>
        <v>#N/A</v>
      </c>
      <c r="K179" s="1" t="str">
        <f>MID(A179,1,1)</f>
        <v/>
      </c>
      <c r="L179" s="1" t="str">
        <f>MID(A179,2,1)</f>
        <v/>
      </c>
      <c r="M179" s="1" t="str">
        <f>MID(A179,4,1)</f>
        <v/>
      </c>
      <c r="N179" s="1" t="e">
        <f>VLOOKUP(K179,$W:$X,2,0)</f>
        <v>#N/A</v>
      </c>
      <c r="O179" s="1" t="e">
        <f>VLOOKUP(L179,$Z:$AA,2,0)</f>
        <v>#N/A</v>
      </c>
      <c r="P179" s="1" t="e">
        <f>VLOOKUP(M179,$AC:$AD,2,0)</f>
        <v>#N/A</v>
      </c>
      <c r="Q179" s="1">
        <f>IF(A179&lt;&gt;"",P179+O179+N179+H179+I179+J179,0)</f>
        <v>0</v>
      </c>
      <c r="X179"/>
    </row>
    <row r="180" spans="1:24" x14ac:dyDescent="0.25">
      <c r="A180" s="41"/>
      <c r="C180" s="41"/>
      <c r="E180" s="1" t="str">
        <f>MID(A180,1,2)</f>
        <v/>
      </c>
      <c r="F180" s="1" t="str">
        <f>MID(C180,3,2)</f>
        <v/>
      </c>
      <c r="G180" s="1" t="str">
        <f>CONCATENATE(K180,M180)</f>
        <v/>
      </c>
      <c r="H180" s="1" t="e">
        <f>VLOOKUP(K180,$W$23:$AN$40,MATCH(L180,$W$23:$AN$23,0),FALSE)</f>
        <v>#N/A</v>
      </c>
      <c r="I180" s="1" t="e">
        <f>VLOOKUP(L180,$W$23:$AN$40,MATCH(M180,$W$23:$AN$23,0),FALSE)</f>
        <v>#N/A</v>
      </c>
      <c r="J180" s="1" t="e">
        <f>VLOOKUP(K180,$W$23:$AN$40,MATCH(M180,$W$23:$AN$23,0),FALSE)</f>
        <v>#N/A</v>
      </c>
      <c r="K180" s="1" t="str">
        <f>MID(A180,1,1)</f>
        <v/>
      </c>
      <c r="L180" s="1" t="str">
        <f>MID(A180,2,1)</f>
        <v/>
      </c>
      <c r="M180" s="1" t="str">
        <f>MID(A180,4,1)</f>
        <v/>
      </c>
      <c r="N180" s="1" t="e">
        <f>VLOOKUP(K180,$W:$X,2,0)</f>
        <v>#N/A</v>
      </c>
      <c r="O180" s="1" t="e">
        <f>VLOOKUP(L180,$Z:$AA,2,0)</f>
        <v>#N/A</v>
      </c>
      <c r="P180" s="1" t="e">
        <f>VLOOKUP(M180,$AC:$AD,2,0)</f>
        <v>#N/A</v>
      </c>
      <c r="Q180" s="1">
        <f>IF(A180&lt;&gt;"",P180+O180+N180+H180+I180+J180,0)</f>
        <v>0</v>
      </c>
    </row>
    <row r="181" spans="1:24" x14ac:dyDescent="0.25">
      <c r="A181" s="41"/>
      <c r="C181" s="41"/>
      <c r="E181" s="1" t="str">
        <f>MID(A181,1,2)</f>
        <v/>
      </c>
      <c r="F181" s="1" t="str">
        <f>MID(C181,3,2)</f>
        <v/>
      </c>
      <c r="G181" s="1" t="str">
        <f>CONCATENATE(K181,M181)</f>
        <v/>
      </c>
      <c r="H181" s="1" t="e">
        <f>VLOOKUP(K181,$W$23:$AN$40,MATCH(L181,$W$23:$AN$23,0),FALSE)</f>
        <v>#N/A</v>
      </c>
      <c r="I181" s="1" t="e">
        <f>VLOOKUP(L181,$W$23:$AN$40,MATCH(M181,$W$23:$AN$23,0),FALSE)</f>
        <v>#N/A</v>
      </c>
      <c r="J181" s="1" t="e">
        <f>VLOOKUP(K181,$W$23:$AN$40,MATCH(M181,$W$23:$AN$23,0),FALSE)</f>
        <v>#N/A</v>
      </c>
      <c r="K181" s="1" t="str">
        <f>MID(A181,1,1)</f>
        <v/>
      </c>
      <c r="L181" s="1" t="str">
        <f>MID(A181,2,1)</f>
        <v/>
      </c>
      <c r="M181" s="1" t="str">
        <f>MID(A181,4,1)</f>
        <v/>
      </c>
      <c r="N181" s="1" t="e">
        <f>VLOOKUP(K181,$W:$X,2,0)</f>
        <v>#N/A</v>
      </c>
      <c r="O181" s="1" t="e">
        <f>VLOOKUP(L181,$Z:$AA,2,0)</f>
        <v>#N/A</v>
      </c>
      <c r="P181" s="1" t="e">
        <f>VLOOKUP(M181,$AC:$AD,2,0)</f>
        <v>#N/A</v>
      </c>
      <c r="Q181" s="1">
        <f>IF(A181&lt;&gt;"",P181+O181+N181+H181+I181+J181,0)</f>
        <v>0</v>
      </c>
    </row>
    <row r="182" spans="1:24" x14ac:dyDescent="0.25">
      <c r="A182" s="41"/>
      <c r="C182" s="41"/>
      <c r="E182" s="1" t="str">
        <f>MID(A182,1,2)</f>
        <v/>
      </c>
      <c r="F182" s="1" t="str">
        <f>MID(C182,3,2)</f>
        <v/>
      </c>
      <c r="G182" s="1" t="str">
        <f>CONCATENATE(K182,M182)</f>
        <v/>
      </c>
      <c r="H182" s="1" t="e">
        <f>VLOOKUP(K182,$W$23:$AN$40,MATCH(L182,$W$23:$AN$23,0),FALSE)</f>
        <v>#N/A</v>
      </c>
      <c r="I182" s="1" t="e">
        <f>VLOOKUP(L182,$W$23:$AN$40,MATCH(M182,$W$23:$AN$23,0),FALSE)</f>
        <v>#N/A</v>
      </c>
      <c r="J182" s="1" t="e">
        <f>VLOOKUP(K182,$W$23:$AN$40,MATCH(M182,$W$23:$AN$23,0),FALSE)</f>
        <v>#N/A</v>
      </c>
      <c r="K182" s="1" t="str">
        <f>MID(A182,1,1)</f>
        <v/>
      </c>
      <c r="L182" s="1" t="str">
        <f>MID(A182,2,1)</f>
        <v/>
      </c>
      <c r="M182" s="1" t="str">
        <f>MID(A182,4,1)</f>
        <v/>
      </c>
      <c r="N182" s="1" t="e">
        <f>VLOOKUP(K182,$W:$X,2,0)</f>
        <v>#N/A</v>
      </c>
      <c r="O182" s="1" t="e">
        <f>VLOOKUP(L182,$Z:$AA,2,0)</f>
        <v>#N/A</v>
      </c>
      <c r="P182" s="1" t="e">
        <f>VLOOKUP(M182,$AC:$AD,2,0)</f>
        <v>#N/A</v>
      </c>
      <c r="Q182" s="1">
        <f>IF(A182&lt;&gt;"",P182+O182+N182+H182+I182+J182,0)</f>
        <v>0</v>
      </c>
    </row>
    <row r="183" spans="1:24" x14ac:dyDescent="0.25">
      <c r="A183" s="41"/>
      <c r="C183" s="41"/>
      <c r="E183" s="1" t="str">
        <f>MID(A183,1,2)</f>
        <v/>
      </c>
      <c r="F183" s="1" t="str">
        <f>MID(C183,3,2)</f>
        <v/>
      </c>
      <c r="G183" s="1" t="str">
        <f>CONCATENATE(K183,M183)</f>
        <v/>
      </c>
      <c r="H183" s="1" t="e">
        <f>VLOOKUP(K183,$W$23:$AN$40,MATCH(L183,$W$23:$AN$23,0),FALSE)</f>
        <v>#N/A</v>
      </c>
      <c r="I183" s="1" t="e">
        <f>VLOOKUP(L183,$W$23:$AN$40,MATCH(M183,$W$23:$AN$23,0),FALSE)</f>
        <v>#N/A</v>
      </c>
      <c r="J183" s="1" t="e">
        <f>VLOOKUP(K183,$W$23:$AN$40,MATCH(M183,$W$23:$AN$23,0),FALSE)</f>
        <v>#N/A</v>
      </c>
      <c r="K183" s="1" t="str">
        <f>MID(A183,1,1)</f>
        <v/>
      </c>
      <c r="L183" s="1" t="str">
        <f>MID(A183,2,1)</f>
        <v/>
      </c>
      <c r="M183" s="1" t="str">
        <f>MID(A183,4,1)</f>
        <v/>
      </c>
      <c r="N183" s="1" t="e">
        <f>VLOOKUP(K183,$W:$X,2,0)</f>
        <v>#N/A</v>
      </c>
      <c r="O183" s="1" t="e">
        <f>VLOOKUP(L183,$Z:$AA,2,0)</f>
        <v>#N/A</v>
      </c>
      <c r="P183" s="1" t="e">
        <f>VLOOKUP(M183,$AC:$AD,2,0)</f>
        <v>#N/A</v>
      </c>
      <c r="Q183" s="1">
        <f>IF(A183&lt;&gt;"",P183+O183+N183+H183+I183+J183,0)</f>
        <v>0</v>
      </c>
    </row>
    <row r="184" spans="1:24" x14ac:dyDescent="0.25">
      <c r="A184" s="41"/>
      <c r="C184" s="41"/>
      <c r="E184" s="1" t="str">
        <f>MID(A184,1,2)</f>
        <v/>
      </c>
      <c r="F184" s="1" t="str">
        <f>MID(C184,3,2)</f>
        <v/>
      </c>
      <c r="G184" s="1" t="str">
        <f>CONCATENATE(K184,M184)</f>
        <v/>
      </c>
      <c r="H184" s="1" t="e">
        <f>VLOOKUP(K184,$W$23:$AN$40,MATCH(L184,$W$23:$AN$23,0),FALSE)</f>
        <v>#N/A</v>
      </c>
      <c r="I184" s="1" t="e">
        <f>VLOOKUP(L184,$W$23:$AN$40,MATCH(M184,$W$23:$AN$23,0),FALSE)</f>
        <v>#N/A</v>
      </c>
      <c r="J184" s="1" t="e">
        <f>VLOOKUP(K184,$W$23:$AN$40,MATCH(M184,$W$23:$AN$23,0),FALSE)</f>
        <v>#N/A</v>
      </c>
      <c r="K184" s="1" t="str">
        <f>MID(A184,1,1)</f>
        <v/>
      </c>
      <c r="L184" s="1" t="str">
        <f>MID(A184,2,1)</f>
        <v/>
      </c>
      <c r="M184" s="1" t="str">
        <f>MID(A184,4,1)</f>
        <v/>
      </c>
      <c r="N184" s="1" t="e">
        <f>VLOOKUP(K184,$W:$X,2,0)</f>
        <v>#N/A</v>
      </c>
      <c r="O184" s="1" t="e">
        <f>VLOOKUP(L184,$Z:$AA,2,0)</f>
        <v>#N/A</v>
      </c>
      <c r="P184" s="1" t="e">
        <f>VLOOKUP(M184,$AC:$AD,2,0)</f>
        <v>#N/A</v>
      </c>
      <c r="Q184" s="1">
        <f>IF(A184&lt;&gt;"",P184+O184+N184+H184+I184+J184,0)</f>
        <v>0</v>
      </c>
    </row>
    <row r="185" spans="1:24" x14ac:dyDescent="0.25">
      <c r="A185" s="41"/>
      <c r="C185" s="41"/>
      <c r="E185" s="1" t="str">
        <f>MID(A185,1,2)</f>
        <v/>
      </c>
      <c r="F185" s="1" t="str">
        <f>MID(C185,3,2)</f>
        <v/>
      </c>
      <c r="G185" s="1" t="str">
        <f>CONCATENATE(K185,M185)</f>
        <v/>
      </c>
      <c r="H185" s="1" t="e">
        <f>VLOOKUP(K185,$W$23:$AN$40,MATCH(L185,$W$23:$AN$23,0),FALSE)</f>
        <v>#N/A</v>
      </c>
      <c r="I185" s="1" t="e">
        <f>VLOOKUP(L185,$W$23:$AN$40,MATCH(M185,$W$23:$AN$23,0),FALSE)</f>
        <v>#N/A</v>
      </c>
      <c r="J185" s="1" t="e">
        <f>VLOOKUP(K185,$W$23:$AN$40,MATCH(M185,$W$23:$AN$23,0),FALSE)</f>
        <v>#N/A</v>
      </c>
      <c r="K185" s="1" t="str">
        <f>MID(A185,1,1)</f>
        <v/>
      </c>
      <c r="L185" s="1" t="str">
        <f>MID(A185,2,1)</f>
        <v/>
      </c>
      <c r="M185" s="1" t="str">
        <f>MID(A185,4,1)</f>
        <v/>
      </c>
      <c r="N185" s="1" t="e">
        <f>VLOOKUP(K185,$W:$X,2,0)</f>
        <v>#N/A</v>
      </c>
      <c r="O185" s="1" t="e">
        <f>VLOOKUP(L185,$Z:$AA,2,0)</f>
        <v>#N/A</v>
      </c>
      <c r="P185" s="1" t="e">
        <f>VLOOKUP(M185,$AC:$AD,2,0)</f>
        <v>#N/A</v>
      </c>
      <c r="Q185" s="1">
        <f>IF(A185&lt;&gt;"",P185+O185+N185+H185+I185+J185,0)</f>
        <v>0</v>
      </c>
    </row>
    <row r="186" spans="1:24" x14ac:dyDescent="0.25">
      <c r="A186" s="41"/>
      <c r="C186" s="41"/>
      <c r="E186" s="1" t="str">
        <f>MID(A186,1,2)</f>
        <v/>
      </c>
      <c r="F186" s="1" t="str">
        <f>MID(C186,3,2)</f>
        <v/>
      </c>
      <c r="G186" s="1" t="str">
        <f>CONCATENATE(K186,M186)</f>
        <v/>
      </c>
      <c r="H186" s="1" t="e">
        <f>VLOOKUP(K186,$W$23:$AN$40,MATCH(L186,$W$23:$AN$23,0),FALSE)</f>
        <v>#N/A</v>
      </c>
      <c r="I186" s="1" t="e">
        <f>VLOOKUP(L186,$W$23:$AN$40,MATCH(M186,$W$23:$AN$23,0),FALSE)</f>
        <v>#N/A</v>
      </c>
      <c r="J186" s="1" t="e">
        <f>VLOOKUP(K186,$W$23:$AN$40,MATCH(M186,$W$23:$AN$23,0),FALSE)</f>
        <v>#N/A</v>
      </c>
      <c r="K186" s="1" t="str">
        <f>MID(A186,1,1)</f>
        <v/>
      </c>
      <c r="L186" s="1" t="str">
        <f>MID(A186,2,1)</f>
        <v/>
      </c>
      <c r="M186" s="1" t="str">
        <f>MID(A186,4,1)</f>
        <v/>
      </c>
      <c r="N186" s="1" t="e">
        <f>VLOOKUP(K186,$W:$X,2,0)</f>
        <v>#N/A</v>
      </c>
      <c r="O186" s="1" t="e">
        <f>VLOOKUP(L186,$Z:$AA,2,0)</f>
        <v>#N/A</v>
      </c>
      <c r="P186" s="1" t="e">
        <f>VLOOKUP(M186,$AC:$AD,2,0)</f>
        <v>#N/A</v>
      </c>
      <c r="Q186" s="1">
        <f>IF(A186&lt;&gt;"",P186+O186+N186+H186+I186+J186,0)</f>
        <v>0</v>
      </c>
      <c r="U186" s="40"/>
      <c r="W186"/>
    </row>
    <row r="187" spans="1:24" x14ac:dyDescent="0.25">
      <c r="A187" s="41"/>
      <c r="C187" s="41"/>
      <c r="E187" s="1" t="str">
        <f>MID(A187,1,2)</f>
        <v/>
      </c>
      <c r="F187" s="1" t="str">
        <f>MID(C187,3,2)</f>
        <v/>
      </c>
      <c r="G187" s="1" t="str">
        <f>CONCATENATE(K187,M187)</f>
        <v/>
      </c>
      <c r="H187" s="1" t="e">
        <f>VLOOKUP(K187,$W$23:$AN$40,MATCH(L187,$W$23:$AN$23,0),FALSE)</f>
        <v>#N/A</v>
      </c>
      <c r="I187" s="1" t="e">
        <f>VLOOKUP(L187,$W$23:$AN$40,MATCH(M187,$W$23:$AN$23,0),FALSE)</f>
        <v>#N/A</v>
      </c>
      <c r="J187" s="1" t="e">
        <f>VLOOKUP(K187,$W$23:$AN$40,MATCH(M187,$W$23:$AN$23,0),FALSE)</f>
        <v>#N/A</v>
      </c>
      <c r="K187" s="1" t="str">
        <f>MID(A187,1,1)</f>
        <v/>
      </c>
      <c r="L187" s="1" t="str">
        <f>MID(A187,2,1)</f>
        <v/>
      </c>
      <c r="M187" s="1" t="str">
        <f>MID(A187,4,1)</f>
        <v/>
      </c>
      <c r="N187" s="1" t="e">
        <f>VLOOKUP(K187,$W:$X,2,0)</f>
        <v>#N/A</v>
      </c>
      <c r="O187" s="1" t="e">
        <f>VLOOKUP(L187,$Z:$AA,2,0)</f>
        <v>#N/A</v>
      </c>
      <c r="P187" s="1" t="e">
        <f>VLOOKUP(M187,$AC:$AD,2,0)</f>
        <v>#N/A</v>
      </c>
      <c r="Q187" s="1">
        <f>IF(A187&lt;&gt;"",P187+O187+N187+H187+I187+J187,0)</f>
        <v>0</v>
      </c>
      <c r="W187"/>
    </row>
    <row r="188" spans="1:24" x14ac:dyDescent="0.25">
      <c r="A188" s="41"/>
      <c r="C188" s="41"/>
      <c r="E188" s="1" t="str">
        <f>MID(A188,1,2)</f>
        <v/>
      </c>
      <c r="F188" s="1" t="str">
        <f>MID(C188,3,2)</f>
        <v/>
      </c>
      <c r="G188" s="1" t="str">
        <f>CONCATENATE(K188,M188)</f>
        <v/>
      </c>
      <c r="H188" s="1" t="e">
        <f>VLOOKUP(K188,$W$23:$AN$40,MATCH(L188,$W$23:$AN$23,0),FALSE)</f>
        <v>#N/A</v>
      </c>
      <c r="I188" s="1" t="e">
        <f>VLOOKUP(L188,$W$23:$AN$40,MATCH(M188,$W$23:$AN$23,0),FALSE)</f>
        <v>#N/A</v>
      </c>
      <c r="J188" s="1" t="e">
        <f>VLOOKUP(K188,$W$23:$AN$40,MATCH(M188,$W$23:$AN$23,0),FALSE)</f>
        <v>#N/A</v>
      </c>
      <c r="K188" s="1" t="str">
        <f>MID(A188,1,1)</f>
        <v/>
      </c>
      <c r="L188" s="1" t="str">
        <f>MID(A188,2,1)</f>
        <v/>
      </c>
      <c r="M188" s="1" t="str">
        <f>MID(A188,4,1)</f>
        <v/>
      </c>
      <c r="N188" s="1" t="e">
        <f>VLOOKUP(K188,$W:$X,2,0)</f>
        <v>#N/A</v>
      </c>
      <c r="O188" s="1" t="e">
        <f>VLOOKUP(L188,$Z:$AA,2,0)</f>
        <v>#N/A</v>
      </c>
      <c r="P188" s="1" t="e">
        <f>VLOOKUP(M188,$AC:$AD,2,0)</f>
        <v>#N/A</v>
      </c>
      <c r="Q188" s="1">
        <f>IF(A188&lt;&gt;"",P188+O188+N188+H188+I188+J188,0)</f>
        <v>0</v>
      </c>
      <c r="W188"/>
    </row>
    <row r="189" spans="1:24" x14ac:dyDescent="0.25">
      <c r="A189" s="41"/>
      <c r="C189" s="41"/>
      <c r="E189" s="1" t="str">
        <f>MID(A189,1,2)</f>
        <v/>
      </c>
      <c r="F189" s="1" t="str">
        <f>MID(C189,3,2)</f>
        <v/>
      </c>
      <c r="G189" s="1" t="str">
        <f>CONCATENATE(K189,M189)</f>
        <v/>
      </c>
      <c r="H189" s="1" t="e">
        <f>VLOOKUP(K189,$W$23:$AN$40,MATCH(L189,$W$23:$AN$23,0),FALSE)</f>
        <v>#N/A</v>
      </c>
      <c r="I189" s="1" t="e">
        <f>VLOOKUP(L189,$W$23:$AN$40,MATCH(M189,$W$23:$AN$23,0),FALSE)</f>
        <v>#N/A</v>
      </c>
      <c r="J189" s="1" t="e">
        <f>VLOOKUP(K189,$W$23:$AN$40,MATCH(M189,$W$23:$AN$23,0),FALSE)</f>
        <v>#N/A</v>
      </c>
      <c r="K189" s="1" t="str">
        <f>MID(A189,1,1)</f>
        <v/>
      </c>
      <c r="L189" s="1" t="str">
        <f>MID(A189,2,1)</f>
        <v/>
      </c>
      <c r="M189" s="1" t="str">
        <f>MID(A189,4,1)</f>
        <v/>
      </c>
      <c r="N189" s="1" t="e">
        <f>VLOOKUP(K189,$W:$X,2,0)</f>
        <v>#N/A</v>
      </c>
      <c r="O189" s="1" t="e">
        <f>VLOOKUP(L189,$Z:$AA,2,0)</f>
        <v>#N/A</v>
      </c>
      <c r="P189" s="1" t="e">
        <f>VLOOKUP(M189,$AC:$AD,2,0)</f>
        <v>#N/A</v>
      </c>
      <c r="Q189" s="1">
        <f>IF(A189&lt;&gt;"",P189+O189+N189+H189+I189+J189,0)</f>
        <v>0</v>
      </c>
      <c r="W189"/>
    </row>
    <row r="190" spans="1:24" x14ac:dyDescent="0.25">
      <c r="A190" s="41"/>
      <c r="C190" s="41"/>
      <c r="E190" s="1" t="str">
        <f>MID(A190,1,2)</f>
        <v/>
      </c>
      <c r="F190" s="1" t="str">
        <f>MID(C190,3,2)</f>
        <v/>
      </c>
      <c r="G190" s="1" t="str">
        <f>CONCATENATE(K190,M190)</f>
        <v/>
      </c>
      <c r="H190" s="1" t="e">
        <f>VLOOKUP(K190,$W$23:$AN$40,MATCH(L190,$W$23:$AN$23,0),FALSE)</f>
        <v>#N/A</v>
      </c>
      <c r="I190" s="1" t="e">
        <f>VLOOKUP(L190,$W$23:$AN$40,MATCH(M190,$W$23:$AN$23,0),FALSE)</f>
        <v>#N/A</v>
      </c>
      <c r="J190" s="1" t="e">
        <f>VLOOKUP(K190,$W$23:$AN$40,MATCH(M190,$W$23:$AN$23,0),FALSE)</f>
        <v>#N/A</v>
      </c>
      <c r="K190" s="1" t="str">
        <f>MID(A190,1,1)</f>
        <v/>
      </c>
      <c r="L190" s="1" t="str">
        <f>MID(A190,2,1)</f>
        <v/>
      </c>
      <c r="M190" s="1" t="str">
        <f>MID(A190,4,1)</f>
        <v/>
      </c>
      <c r="N190" s="1" t="e">
        <f>VLOOKUP(K190,$W:$X,2,0)</f>
        <v>#N/A</v>
      </c>
      <c r="O190" s="1" t="e">
        <f>VLOOKUP(L190,$Z:$AA,2,0)</f>
        <v>#N/A</v>
      </c>
      <c r="P190" s="1" t="e">
        <f>VLOOKUP(M190,$AC:$AD,2,0)</f>
        <v>#N/A</v>
      </c>
      <c r="Q190" s="1">
        <f>IF(A190&lt;&gt;"",P190+O190+N190+H190+I190+J190,0)</f>
        <v>0</v>
      </c>
      <c r="W190"/>
    </row>
    <row r="191" spans="1:24" x14ac:dyDescent="0.25">
      <c r="A191" s="41"/>
      <c r="C191" s="41"/>
      <c r="E191" s="1" t="str">
        <f>MID(A191,1,2)</f>
        <v/>
      </c>
      <c r="F191" s="1" t="str">
        <f>MID(C191,3,2)</f>
        <v/>
      </c>
      <c r="G191" s="1" t="str">
        <f>CONCATENATE(K191,M191)</f>
        <v/>
      </c>
      <c r="H191" s="1" t="e">
        <f>VLOOKUP(K191,$W$23:$AN$40,MATCH(L191,$W$23:$AN$23,0),FALSE)</f>
        <v>#N/A</v>
      </c>
      <c r="I191" s="1" t="e">
        <f>VLOOKUP(L191,$W$23:$AN$40,MATCH(M191,$W$23:$AN$23,0),FALSE)</f>
        <v>#N/A</v>
      </c>
      <c r="J191" s="1" t="e">
        <f>VLOOKUP(K191,$W$23:$AN$40,MATCH(M191,$W$23:$AN$23,0),FALSE)</f>
        <v>#N/A</v>
      </c>
      <c r="K191" s="1" t="str">
        <f>MID(A191,1,1)</f>
        <v/>
      </c>
      <c r="L191" s="1" t="str">
        <f>MID(A191,2,1)</f>
        <v/>
      </c>
      <c r="M191" s="1" t="str">
        <f>MID(A191,4,1)</f>
        <v/>
      </c>
      <c r="N191" s="1" t="e">
        <f>VLOOKUP(K191,$W:$X,2,0)</f>
        <v>#N/A</v>
      </c>
      <c r="O191" s="1" t="e">
        <f>VLOOKUP(L191,$Z:$AA,2,0)</f>
        <v>#N/A</v>
      </c>
      <c r="P191" s="1" t="e">
        <f>VLOOKUP(M191,$AC:$AD,2,0)</f>
        <v>#N/A</v>
      </c>
      <c r="Q191" s="1">
        <f>IF(A191&lt;&gt;"",P191+O191+N191+H191+I191+J191,0)</f>
        <v>0</v>
      </c>
      <c r="W191"/>
    </row>
    <row r="192" spans="1:24" x14ac:dyDescent="0.25">
      <c r="A192" s="41"/>
      <c r="C192" s="41"/>
      <c r="E192" s="1" t="str">
        <f>MID(A192,1,2)</f>
        <v/>
      </c>
      <c r="F192" s="1" t="str">
        <f>MID(C192,3,2)</f>
        <v/>
      </c>
      <c r="G192" s="1" t="str">
        <f>CONCATENATE(K192,M192)</f>
        <v/>
      </c>
      <c r="H192" s="1" t="e">
        <f>VLOOKUP(K192,$W$23:$AN$40,MATCH(L192,$W$23:$AN$23,0),FALSE)</f>
        <v>#N/A</v>
      </c>
      <c r="I192" s="1" t="e">
        <f>VLOOKUP(L192,$W$23:$AN$40,MATCH(M192,$W$23:$AN$23,0),FALSE)</f>
        <v>#N/A</v>
      </c>
      <c r="J192" s="1" t="e">
        <f>VLOOKUP(K192,$W$23:$AN$40,MATCH(M192,$W$23:$AN$23,0),FALSE)</f>
        <v>#N/A</v>
      </c>
      <c r="K192" s="1" t="str">
        <f>MID(A192,1,1)</f>
        <v/>
      </c>
      <c r="L192" s="1" t="str">
        <f>MID(A192,2,1)</f>
        <v/>
      </c>
      <c r="M192" s="1" t="str">
        <f>MID(A192,4,1)</f>
        <v/>
      </c>
      <c r="N192" s="1" t="e">
        <f>VLOOKUP(K192,$W:$X,2,0)</f>
        <v>#N/A</v>
      </c>
      <c r="O192" s="1" t="e">
        <f>VLOOKUP(L192,$Z:$AA,2,0)</f>
        <v>#N/A</v>
      </c>
      <c r="P192" s="1" t="e">
        <f>VLOOKUP(M192,$AC:$AD,2,0)</f>
        <v>#N/A</v>
      </c>
      <c r="Q192" s="1">
        <f>IF(A192&lt;&gt;"",P192+O192+N192+H192+I192+J192,0)</f>
        <v>0</v>
      </c>
      <c r="W192"/>
    </row>
    <row r="193" spans="1:23" x14ac:dyDescent="0.25">
      <c r="A193" s="41"/>
      <c r="C193" s="41"/>
      <c r="E193" s="1" t="str">
        <f>MID(A193,1,2)</f>
        <v/>
      </c>
      <c r="F193" s="1" t="str">
        <f>MID(C193,3,2)</f>
        <v/>
      </c>
      <c r="G193" s="1" t="str">
        <f>CONCATENATE(K193,M193)</f>
        <v/>
      </c>
      <c r="H193" s="1" t="e">
        <f>VLOOKUP(K193,$W$23:$AN$40,MATCH(L193,$W$23:$AN$23,0),FALSE)</f>
        <v>#N/A</v>
      </c>
      <c r="I193" s="1" t="e">
        <f>VLOOKUP(L193,$W$23:$AN$40,MATCH(M193,$W$23:$AN$23,0),FALSE)</f>
        <v>#N/A</v>
      </c>
      <c r="J193" s="1" t="e">
        <f>VLOOKUP(K193,$W$23:$AN$40,MATCH(M193,$W$23:$AN$23,0),FALSE)</f>
        <v>#N/A</v>
      </c>
      <c r="K193" s="1" t="str">
        <f>MID(A193,1,1)</f>
        <v/>
      </c>
      <c r="L193" s="1" t="str">
        <f>MID(A193,2,1)</f>
        <v/>
      </c>
      <c r="M193" s="1" t="str">
        <f>MID(A193,4,1)</f>
        <v/>
      </c>
      <c r="N193" s="1" t="e">
        <f>VLOOKUP(K193,$W:$X,2,0)</f>
        <v>#N/A</v>
      </c>
      <c r="O193" s="1" t="e">
        <f>VLOOKUP(L193,$Z:$AA,2,0)</f>
        <v>#N/A</v>
      </c>
      <c r="P193" s="1" t="e">
        <f>VLOOKUP(M193,$AC:$AD,2,0)</f>
        <v>#N/A</v>
      </c>
      <c r="Q193" s="1">
        <f>IF(A193&lt;&gt;"",P193+O193+N193+H193+I193+J193,0)</f>
        <v>0</v>
      </c>
      <c r="W193"/>
    </row>
    <row r="194" spans="1:23" x14ac:dyDescent="0.25">
      <c r="A194" s="41"/>
      <c r="C194" s="41"/>
      <c r="E194" s="1" t="str">
        <f>MID(A194,1,2)</f>
        <v/>
      </c>
      <c r="F194" s="1" t="str">
        <f>MID(C194,3,2)</f>
        <v/>
      </c>
      <c r="G194" s="1" t="str">
        <f>CONCATENATE(K194,M194)</f>
        <v/>
      </c>
      <c r="H194" s="1" t="e">
        <f>VLOOKUP(K194,$W$23:$AN$40,MATCH(L194,$W$23:$AN$23,0),FALSE)</f>
        <v>#N/A</v>
      </c>
      <c r="I194" s="1" t="e">
        <f>VLOOKUP(L194,$W$23:$AN$40,MATCH(M194,$W$23:$AN$23,0),FALSE)</f>
        <v>#N/A</v>
      </c>
      <c r="J194" s="1" t="e">
        <f>VLOOKUP(K194,$W$23:$AN$40,MATCH(M194,$W$23:$AN$23,0),FALSE)</f>
        <v>#N/A</v>
      </c>
      <c r="K194" s="1" t="str">
        <f>MID(A194,1,1)</f>
        <v/>
      </c>
      <c r="L194" s="1" t="str">
        <f>MID(A194,2,1)</f>
        <v/>
      </c>
      <c r="M194" s="1" t="str">
        <f>MID(A194,4,1)</f>
        <v/>
      </c>
      <c r="N194" s="1" t="e">
        <f>VLOOKUP(K194,$W:$X,2,0)</f>
        <v>#N/A</v>
      </c>
      <c r="O194" s="1" t="e">
        <f>VLOOKUP(L194,$Z:$AA,2,0)</f>
        <v>#N/A</v>
      </c>
      <c r="P194" s="1" t="e">
        <f>VLOOKUP(M194,$AC:$AD,2,0)</f>
        <v>#N/A</v>
      </c>
      <c r="Q194" s="1">
        <f>IF(A194&lt;&gt;"",P194+O194+N194+H194+I194+J194,0)</f>
        <v>0</v>
      </c>
      <c r="W194"/>
    </row>
    <row r="195" spans="1:23" x14ac:dyDescent="0.25">
      <c r="A195" s="41"/>
      <c r="C195" s="41"/>
      <c r="E195" s="1" t="str">
        <f>MID(A195,1,2)</f>
        <v/>
      </c>
      <c r="F195" s="1" t="str">
        <f>MID(C195,3,2)</f>
        <v/>
      </c>
      <c r="G195" s="1" t="str">
        <f>CONCATENATE(K195,M195)</f>
        <v/>
      </c>
      <c r="H195" s="1" t="e">
        <f>VLOOKUP(K195,$W$23:$AN$40,MATCH(L195,$W$23:$AN$23,0),FALSE)</f>
        <v>#N/A</v>
      </c>
      <c r="I195" s="1" t="e">
        <f>VLOOKUP(L195,$W$23:$AN$40,MATCH(M195,$W$23:$AN$23,0),FALSE)</f>
        <v>#N/A</v>
      </c>
      <c r="J195" s="1" t="e">
        <f>VLOOKUP(K195,$W$23:$AN$40,MATCH(M195,$W$23:$AN$23,0),FALSE)</f>
        <v>#N/A</v>
      </c>
      <c r="K195" s="1" t="str">
        <f>MID(A195,1,1)</f>
        <v/>
      </c>
      <c r="L195" s="1" t="str">
        <f>MID(A195,2,1)</f>
        <v/>
      </c>
      <c r="M195" s="1" t="str">
        <f>MID(A195,4,1)</f>
        <v/>
      </c>
      <c r="N195" s="1" t="e">
        <f>VLOOKUP(K195,$W:$X,2,0)</f>
        <v>#N/A</v>
      </c>
      <c r="O195" s="1" t="e">
        <f>VLOOKUP(L195,$Z:$AA,2,0)</f>
        <v>#N/A</v>
      </c>
      <c r="P195" s="1" t="e">
        <f>VLOOKUP(M195,$AC:$AD,2,0)</f>
        <v>#N/A</v>
      </c>
      <c r="Q195" s="1">
        <f>IF(A195&lt;&gt;"",P195+O195+N195+H195+I195+J195,0)</f>
        <v>0</v>
      </c>
      <c r="W195"/>
    </row>
    <row r="196" spans="1:23" x14ac:dyDescent="0.25">
      <c r="A196" s="41"/>
      <c r="C196" s="41"/>
      <c r="E196" s="1" t="str">
        <f>MID(A196,1,2)</f>
        <v/>
      </c>
      <c r="F196" s="1" t="str">
        <f>MID(C196,3,2)</f>
        <v/>
      </c>
      <c r="G196" s="1" t="str">
        <f>CONCATENATE(K196,M196)</f>
        <v/>
      </c>
      <c r="H196" s="1" t="e">
        <f>VLOOKUP(K196,$W$23:$AN$40,MATCH(L196,$W$23:$AN$23,0),FALSE)</f>
        <v>#N/A</v>
      </c>
      <c r="I196" s="1" t="e">
        <f>VLOOKUP(L196,$W$23:$AN$40,MATCH(M196,$W$23:$AN$23,0),FALSE)</f>
        <v>#N/A</v>
      </c>
      <c r="J196" s="1" t="e">
        <f>VLOOKUP(K196,$W$23:$AN$40,MATCH(M196,$W$23:$AN$23,0),FALSE)</f>
        <v>#N/A</v>
      </c>
      <c r="K196" s="1" t="str">
        <f>MID(A196,1,1)</f>
        <v/>
      </c>
      <c r="L196" s="1" t="str">
        <f>MID(A196,2,1)</f>
        <v/>
      </c>
      <c r="M196" s="1" t="str">
        <f>MID(A196,4,1)</f>
        <v/>
      </c>
      <c r="N196" s="1" t="e">
        <f>VLOOKUP(K196,$W:$X,2,0)</f>
        <v>#N/A</v>
      </c>
      <c r="O196" s="1" t="e">
        <f>VLOOKUP(L196,$Z:$AA,2,0)</f>
        <v>#N/A</v>
      </c>
      <c r="P196" s="1" t="e">
        <f>VLOOKUP(M196,$AC:$AD,2,0)</f>
        <v>#N/A</v>
      </c>
      <c r="Q196" s="1">
        <f>IF(A196&lt;&gt;"",P196+O196+N196+H196+I196+J196,0)</f>
        <v>0</v>
      </c>
      <c r="W196"/>
    </row>
    <row r="197" spans="1:23" x14ac:dyDescent="0.25">
      <c r="A197" s="41"/>
      <c r="C197" s="41"/>
      <c r="E197" s="1" t="str">
        <f>MID(A197,1,2)</f>
        <v/>
      </c>
      <c r="F197" s="1" t="str">
        <f>MID(C197,3,2)</f>
        <v/>
      </c>
      <c r="G197" s="1" t="str">
        <f>CONCATENATE(K197,M197)</f>
        <v/>
      </c>
      <c r="H197" s="1" t="e">
        <f>VLOOKUP(K197,$W$23:$AN$40,MATCH(L197,$W$23:$AN$23,0),FALSE)</f>
        <v>#N/A</v>
      </c>
      <c r="I197" s="1" t="e">
        <f>VLOOKUP(L197,$W$23:$AN$40,MATCH(M197,$W$23:$AN$23,0),FALSE)</f>
        <v>#N/A</v>
      </c>
      <c r="J197" s="1" t="e">
        <f>VLOOKUP(K197,$W$23:$AN$40,MATCH(M197,$W$23:$AN$23,0),FALSE)</f>
        <v>#N/A</v>
      </c>
      <c r="K197" s="1" t="str">
        <f>MID(A197,1,1)</f>
        <v/>
      </c>
      <c r="L197" s="1" t="str">
        <f>MID(A197,2,1)</f>
        <v/>
      </c>
      <c r="M197" s="1" t="str">
        <f>MID(A197,4,1)</f>
        <v/>
      </c>
      <c r="N197" s="1" t="e">
        <f>VLOOKUP(K197,$W:$X,2,0)</f>
        <v>#N/A</v>
      </c>
      <c r="O197" s="1" t="e">
        <f>VLOOKUP(L197,$Z:$AA,2,0)</f>
        <v>#N/A</v>
      </c>
      <c r="P197" s="1" t="e">
        <f>VLOOKUP(M197,$AC:$AD,2,0)</f>
        <v>#N/A</v>
      </c>
      <c r="Q197" s="1">
        <f>IF(A197&lt;&gt;"",P197+O197+N197+H197+I197+J197,0)</f>
        <v>0</v>
      </c>
      <c r="W197"/>
    </row>
    <row r="198" spans="1:23" x14ac:dyDescent="0.25">
      <c r="A198" s="41"/>
      <c r="C198" s="41"/>
      <c r="E198" s="1" t="str">
        <f>MID(A198,1,2)</f>
        <v/>
      </c>
      <c r="F198" s="1" t="str">
        <f>MID(C198,3,2)</f>
        <v/>
      </c>
      <c r="G198" s="1" t="str">
        <f>CONCATENATE(K198,M198)</f>
        <v/>
      </c>
      <c r="H198" s="1" t="e">
        <f>VLOOKUP(K198,$W$23:$AN$40,MATCH(L198,$W$23:$AN$23,0),FALSE)</f>
        <v>#N/A</v>
      </c>
      <c r="I198" s="1" t="e">
        <f>VLOOKUP(L198,$W$23:$AN$40,MATCH(M198,$W$23:$AN$23,0),FALSE)</f>
        <v>#N/A</v>
      </c>
      <c r="J198" s="1" t="e">
        <f>VLOOKUP(K198,$W$23:$AN$40,MATCH(M198,$W$23:$AN$23,0),FALSE)</f>
        <v>#N/A</v>
      </c>
      <c r="K198" s="1" t="str">
        <f>MID(A198,1,1)</f>
        <v/>
      </c>
      <c r="L198" s="1" t="str">
        <f>MID(A198,2,1)</f>
        <v/>
      </c>
      <c r="M198" s="1" t="str">
        <f>MID(A198,4,1)</f>
        <v/>
      </c>
      <c r="N198" s="1" t="e">
        <f>VLOOKUP(K198,$W:$X,2,0)</f>
        <v>#N/A</v>
      </c>
      <c r="O198" s="1" t="e">
        <f>VLOOKUP(L198,$Z:$AA,2,0)</f>
        <v>#N/A</v>
      </c>
      <c r="P198" s="1" t="e">
        <f>VLOOKUP(M198,$AC:$AD,2,0)</f>
        <v>#N/A</v>
      </c>
      <c r="Q198" s="1">
        <f>IF(A198&lt;&gt;"",P198+O198+N198+H198+I198+J198,0)</f>
        <v>0</v>
      </c>
      <c r="W198"/>
    </row>
    <row r="199" spans="1:23" x14ac:dyDescent="0.25">
      <c r="A199" s="41"/>
      <c r="C199" s="41"/>
      <c r="E199" s="1" t="str">
        <f>MID(A199,1,2)</f>
        <v/>
      </c>
      <c r="F199" s="1" t="str">
        <f>MID(C199,3,2)</f>
        <v/>
      </c>
      <c r="G199" s="1" t="str">
        <f>CONCATENATE(K199,M199)</f>
        <v/>
      </c>
      <c r="H199" s="1" t="e">
        <f>VLOOKUP(K199,$W$23:$AN$40,MATCH(L199,$W$23:$AN$23,0),FALSE)</f>
        <v>#N/A</v>
      </c>
      <c r="I199" s="1" t="e">
        <f>VLOOKUP(L199,$W$23:$AN$40,MATCH(M199,$W$23:$AN$23,0),FALSE)</f>
        <v>#N/A</v>
      </c>
      <c r="J199" s="1" t="e">
        <f>VLOOKUP(K199,$W$23:$AN$40,MATCH(M199,$W$23:$AN$23,0),FALSE)</f>
        <v>#N/A</v>
      </c>
      <c r="K199" s="1" t="str">
        <f>MID(A199,1,1)</f>
        <v/>
      </c>
      <c r="L199" s="1" t="str">
        <f>MID(A199,2,1)</f>
        <v/>
      </c>
      <c r="M199" s="1" t="str">
        <f>MID(A199,4,1)</f>
        <v/>
      </c>
      <c r="N199" s="1" t="e">
        <f>VLOOKUP(K199,$W:$X,2,0)</f>
        <v>#N/A</v>
      </c>
      <c r="O199" s="1" t="e">
        <f>VLOOKUP(L199,$Z:$AA,2,0)</f>
        <v>#N/A</v>
      </c>
      <c r="P199" s="1" t="e">
        <f>VLOOKUP(M199,$AC:$AD,2,0)</f>
        <v>#N/A</v>
      </c>
      <c r="Q199" s="1">
        <f>IF(A199&lt;&gt;"",P199+O199+N199+H199+I199+J199,0)</f>
        <v>0</v>
      </c>
      <c r="W199"/>
    </row>
    <row r="200" spans="1:23" x14ac:dyDescent="0.25">
      <c r="A200" s="41"/>
      <c r="C200" s="41"/>
      <c r="E200" s="1" t="str">
        <f>MID(A200,1,2)</f>
        <v/>
      </c>
      <c r="F200" s="1" t="str">
        <f>MID(C200,3,2)</f>
        <v/>
      </c>
      <c r="G200" s="1" t="str">
        <f>CONCATENATE(K200,M200)</f>
        <v/>
      </c>
      <c r="H200" s="1" t="e">
        <f>VLOOKUP(K200,$W$23:$AN$40,MATCH(L200,$W$23:$AN$23,0),FALSE)</f>
        <v>#N/A</v>
      </c>
      <c r="I200" s="1" t="e">
        <f>VLOOKUP(L200,$W$23:$AN$40,MATCH(M200,$W$23:$AN$23,0),FALSE)</f>
        <v>#N/A</v>
      </c>
      <c r="J200" s="1" t="e">
        <f>VLOOKUP(K200,$W$23:$AN$40,MATCH(M200,$W$23:$AN$23,0),FALSE)</f>
        <v>#N/A</v>
      </c>
      <c r="K200" s="1" t="str">
        <f>MID(A200,1,1)</f>
        <v/>
      </c>
      <c r="L200" s="1" t="str">
        <f>MID(A200,2,1)</f>
        <v/>
      </c>
      <c r="M200" s="1" t="str">
        <f>MID(A200,4,1)</f>
        <v/>
      </c>
      <c r="N200" s="1" t="e">
        <f>VLOOKUP(K200,$W:$X,2,0)</f>
        <v>#N/A</v>
      </c>
      <c r="O200" s="1" t="e">
        <f>VLOOKUP(L200,$Z:$AA,2,0)</f>
        <v>#N/A</v>
      </c>
      <c r="P200" s="1" t="e">
        <f>VLOOKUP(M200,$AC:$AD,2,0)</f>
        <v>#N/A</v>
      </c>
      <c r="Q200" s="1">
        <f>IF(A200&lt;&gt;"",P200+O200+N200+H200+I200+J200,0)</f>
        <v>0</v>
      </c>
      <c r="W200"/>
    </row>
    <row r="201" spans="1:23" x14ac:dyDescent="0.25">
      <c r="A201" s="41"/>
      <c r="C201" s="41"/>
      <c r="E201" s="1" t="str">
        <f>MID(A201,1,2)</f>
        <v/>
      </c>
      <c r="F201" s="1" t="str">
        <f>MID(C201,3,2)</f>
        <v/>
      </c>
      <c r="G201" s="1" t="str">
        <f>CONCATENATE(K201,M201)</f>
        <v/>
      </c>
      <c r="H201" s="1" t="e">
        <f>VLOOKUP(K201,$W$23:$AN$40,MATCH(L201,$W$23:$AN$23,0),FALSE)</f>
        <v>#N/A</v>
      </c>
      <c r="I201" s="1" t="e">
        <f>VLOOKUP(L201,$W$23:$AN$40,MATCH(M201,$W$23:$AN$23,0),FALSE)</f>
        <v>#N/A</v>
      </c>
      <c r="J201" s="1" t="e">
        <f>VLOOKUP(K201,$W$23:$AN$40,MATCH(M201,$W$23:$AN$23,0),FALSE)</f>
        <v>#N/A</v>
      </c>
      <c r="K201" s="1" t="str">
        <f>MID(A201,1,1)</f>
        <v/>
      </c>
      <c r="L201" s="1" t="str">
        <f>MID(A201,2,1)</f>
        <v/>
      </c>
      <c r="M201" s="1" t="str">
        <f>MID(A201,4,1)</f>
        <v/>
      </c>
      <c r="N201" s="1" t="e">
        <f>VLOOKUP(K201,$W:$X,2,0)</f>
        <v>#N/A</v>
      </c>
      <c r="O201" s="1" t="e">
        <f>VLOOKUP(L201,$Z:$AA,2,0)</f>
        <v>#N/A</v>
      </c>
      <c r="P201" s="1" t="e">
        <f>VLOOKUP(M201,$AC:$AD,2,0)</f>
        <v>#N/A</v>
      </c>
      <c r="Q201" s="1">
        <f>IF(A201&lt;&gt;"",P201+O201+N201+H201+I201+J201,0)</f>
        <v>0</v>
      </c>
      <c r="W201"/>
    </row>
    <row r="202" spans="1:23" x14ac:dyDescent="0.25">
      <c r="A202" s="41"/>
      <c r="C202" s="41"/>
      <c r="E202" s="1" t="str">
        <f>MID(A202,1,2)</f>
        <v/>
      </c>
      <c r="F202" s="1" t="str">
        <f>MID(C202,3,2)</f>
        <v/>
      </c>
      <c r="G202" s="1" t="str">
        <f>CONCATENATE(K202,M202)</f>
        <v/>
      </c>
      <c r="H202" s="1" t="e">
        <f>VLOOKUP(K202,$W$23:$AN$40,MATCH(L202,$W$23:$AN$23,0),FALSE)</f>
        <v>#N/A</v>
      </c>
      <c r="I202" s="1" t="e">
        <f>VLOOKUP(L202,$W$23:$AN$40,MATCH(M202,$W$23:$AN$23,0),FALSE)</f>
        <v>#N/A</v>
      </c>
      <c r="J202" s="1" t="e">
        <f>VLOOKUP(K202,$W$23:$AN$40,MATCH(M202,$W$23:$AN$23,0),FALSE)</f>
        <v>#N/A</v>
      </c>
      <c r="K202" s="1" t="str">
        <f>MID(A202,1,1)</f>
        <v/>
      </c>
      <c r="L202" s="1" t="str">
        <f>MID(A202,2,1)</f>
        <v/>
      </c>
      <c r="M202" s="1" t="str">
        <f>MID(A202,4,1)</f>
        <v/>
      </c>
      <c r="N202" s="1" t="e">
        <f>VLOOKUP(K202,$W:$X,2,0)</f>
        <v>#N/A</v>
      </c>
      <c r="O202" s="1" t="e">
        <f>VLOOKUP(L202,$Z:$AA,2,0)</f>
        <v>#N/A</v>
      </c>
      <c r="P202" s="1" t="e">
        <f>VLOOKUP(M202,$AC:$AD,2,0)</f>
        <v>#N/A</v>
      </c>
      <c r="Q202" s="1">
        <f>IF(A202&lt;&gt;"",P202+O202+N202+H202+I202+J202,0)</f>
        <v>0</v>
      </c>
      <c r="W202"/>
    </row>
    <row r="203" spans="1:23" x14ac:dyDescent="0.25">
      <c r="A203" s="41"/>
      <c r="C203" s="41"/>
      <c r="E203" s="1" t="str">
        <f>MID(A203,1,2)</f>
        <v/>
      </c>
      <c r="F203" s="1" t="str">
        <f>MID(C203,3,2)</f>
        <v/>
      </c>
      <c r="G203" s="1" t="str">
        <f>CONCATENATE(K203,M203)</f>
        <v/>
      </c>
      <c r="H203" s="1" t="e">
        <f>VLOOKUP(K203,$W$23:$AN$40,MATCH(L203,$W$23:$AN$23,0),FALSE)</f>
        <v>#N/A</v>
      </c>
      <c r="I203" s="1" t="e">
        <f>VLOOKUP(L203,$W$23:$AN$40,MATCH(M203,$W$23:$AN$23,0),FALSE)</f>
        <v>#N/A</v>
      </c>
      <c r="J203" s="1" t="e">
        <f>VLOOKUP(K203,$W$23:$AN$40,MATCH(M203,$W$23:$AN$23,0),FALSE)</f>
        <v>#N/A</v>
      </c>
      <c r="K203" s="1" t="str">
        <f>MID(A203,1,1)</f>
        <v/>
      </c>
      <c r="L203" s="1" t="str">
        <f>MID(A203,2,1)</f>
        <v/>
      </c>
      <c r="M203" s="1" t="str">
        <f>MID(A203,4,1)</f>
        <v/>
      </c>
      <c r="N203" s="1" t="e">
        <f>VLOOKUP(K203,$W:$X,2,0)</f>
        <v>#N/A</v>
      </c>
      <c r="O203" s="1" t="e">
        <f>VLOOKUP(L203,$Z:$AA,2,0)</f>
        <v>#N/A</v>
      </c>
      <c r="P203" s="1" t="e">
        <f>VLOOKUP(M203,$AC:$AD,2,0)</f>
        <v>#N/A</v>
      </c>
      <c r="Q203" s="1">
        <f>IF(A203&lt;&gt;"",P203+O203+N203+H203+I203+J203,0)</f>
        <v>0</v>
      </c>
      <c r="W203"/>
    </row>
    <row r="204" spans="1:23" x14ac:dyDescent="0.25">
      <c r="A204" s="41"/>
      <c r="C204" s="41"/>
      <c r="E204" s="1" t="str">
        <f>MID(A204,1,2)</f>
        <v/>
      </c>
      <c r="F204" s="1" t="str">
        <f>MID(C204,3,2)</f>
        <v/>
      </c>
      <c r="G204" s="1" t="str">
        <f>CONCATENATE(K204,M204)</f>
        <v/>
      </c>
      <c r="H204" s="1" t="e">
        <f>VLOOKUP(K204,$W$23:$AN$40,MATCH(L204,$W$23:$AN$23,0),FALSE)</f>
        <v>#N/A</v>
      </c>
      <c r="I204" s="1" t="e">
        <f>VLOOKUP(L204,$W$23:$AN$40,MATCH(M204,$W$23:$AN$23,0),FALSE)</f>
        <v>#N/A</v>
      </c>
      <c r="J204" s="1" t="e">
        <f>VLOOKUP(K204,$W$23:$AN$40,MATCH(M204,$W$23:$AN$23,0),FALSE)</f>
        <v>#N/A</v>
      </c>
      <c r="K204" s="1" t="str">
        <f>MID(A204,1,1)</f>
        <v/>
      </c>
      <c r="L204" s="1" t="str">
        <f>MID(A204,2,1)</f>
        <v/>
      </c>
      <c r="M204" s="1" t="str">
        <f>MID(A204,4,1)</f>
        <v/>
      </c>
      <c r="N204" s="1" t="e">
        <f>VLOOKUP(K204,$W:$X,2,0)</f>
        <v>#N/A</v>
      </c>
      <c r="O204" s="1" t="e">
        <f>VLOOKUP(L204,$Z:$AA,2,0)</f>
        <v>#N/A</v>
      </c>
      <c r="P204" s="1" t="e">
        <f>VLOOKUP(M204,$AC:$AD,2,0)</f>
        <v>#N/A</v>
      </c>
      <c r="Q204" s="1">
        <f>IF(A204&lt;&gt;"",P204+O204+N204+H204+I204+J204,0)</f>
        <v>0</v>
      </c>
      <c r="W204"/>
    </row>
    <row r="205" spans="1:23" x14ac:dyDescent="0.25">
      <c r="A205" s="41"/>
      <c r="C205" s="41"/>
      <c r="E205" s="1" t="str">
        <f>MID(A205,1,2)</f>
        <v/>
      </c>
      <c r="F205" s="1" t="str">
        <f>MID(C205,3,2)</f>
        <v/>
      </c>
      <c r="G205" s="1" t="str">
        <f>CONCATENATE(K205,M205)</f>
        <v/>
      </c>
      <c r="H205" s="1" t="e">
        <f>VLOOKUP(K205,$W$23:$AN$40,MATCH(L205,$W$23:$AN$23,0),FALSE)</f>
        <v>#N/A</v>
      </c>
      <c r="I205" s="1" t="e">
        <f>VLOOKUP(L205,$W$23:$AN$40,MATCH(M205,$W$23:$AN$23,0),FALSE)</f>
        <v>#N/A</v>
      </c>
      <c r="J205" s="1" t="e">
        <f>VLOOKUP(K205,$W$23:$AN$40,MATCH(M205,$W$23:$AN$23,0),FALSE)</f>
        <v>#N/A</v>
      </c>
      <c r="K205" s="1" t="str">
        <f>MID(A205,1,1)</f>
        <v/>
      </c>
      <c r="L205" s="1" t="str">
        <f>MID(A205,2,1)</f>
        <v/>
      </c>
      <c r="M205" s="1" t="str">
        <f>MID(A205,4,1)</f>
        <v/>
      </c>
      <c r="N205" s="1" t="e">
        <f>VLOOKUP(K205,$W:$X,2,0)</f>
        <v>#N/A</v>
      </c>
      <c r="O205" s="1" t="e">
        <f>VLOOKUP(L205,$Z:$AA,2,0)</f>
        <v>#N/A</v>
      </c>
      <c r="P205" s="1" t="e">
        <f>VLOOKUP(M205,$AC:$AD,2,0)</f>
        <v>#N/A</v>
      </c>
      <c r="Q205" s="1">
        <f>IF(A205&lt;&gt;"",P205+O205+N205+H205+I205+J205,0)</f>
        <v>0</v>
      </c>
      <c r="W205"/>
    </row>
    <row r="206" spans="1:23" x14ac:dyDescent="0.25">
      <c r="A206" s="41"/>
      <c r="C206" s="41"/>
      <c r="E206" s="1" t="str">
        <f>MID(A206,1,2)</f>
        <v/>
      </c>
      <c r="F206" s="1" t="str">
        <f>MID(C206,3,2)</f>
        <v/>
      </c>
      <c r="G206" s="1" t="str">
        <f>CONCATENATE(K206,M206)</f>
        <v/>
      </c>
      <c r="H206" s="1" t="e">
        <f>VLOOKUP(K206,$W$23:$AN$40,MATCH(L206,$W$23:$AN$23,0),FALSE)</f>
        <v>#N/A</v>
      </c>
      <c r="I206" s="1" t="e">
        <f>VLOOKUP(L206,$W$23:$AN$40,MATCH(M206,$W$23:$AN$23,0),FALSE)</f>
        <v>#N/A</v>
      </c>
      <c r="J206" s="1" t="e">
        <f>VLOOKUP(K206,$W$23:$AN$40,MATCH(M206,$W$23:$AN$23,0),FALSE)</f>
        <v>#N/A</v>
      </c>
      <c r="K206" s="1" t="str">
        <f>MID(A206,1,1)</f>
        <v/>
      </c>
      <c r="L206" s="1" t="str">
        <f>MID(A206,2,1)</f>
        <v/>
      </c>
      <c r="M206" s="1" t="str">
        <f>MID(A206,4,1)</f>
        <v/>
      </c>
      <c r="N206" s="1" t="e">
        <f>VLOOKUP(K206,$W:$X,2,0)</f>
        <v>#N/A</v>
      </c>
      <c r="O206" s="1" t="e">
        <f>VLOOKUP(L206,$Z:$AA,2,0)</f>
        <v>#N/A</v>
      </c>
      <c r="P206" s="1" t="e">
        <f>VLOOKUP(M206,$AC:$AD,2,0)</f>
        <v>#N/A</v>
      </c>
      <c r="Q206" s="1">
        <f>IF(A206&lt;&gt;"",P206+O206+N206+H206+I206+J206,0)</f>
        <v>0</v>
      </c>
      <c r="W206"/>
    </row>
    <row r="207" spans="1:23" x14ac:dyDescent="0.25">
      <c r="A207" s="41"/>
      <c r="C207" s="41"/>
      <c r="E207" s="1" t="str">
        <f>MID(A207,1,2)</f>
        <v/>
      </c>
      <c r="F207" s="1" t="str">
        <f>MID(C207,3,2)</f>
        <v/>
      </c>
      <c r="G207" s="1" t="str">
        <f>CONCATENATE(K207,M207)</f>
        <v/>
      </c>
      <c r="H207" s="1" t="e">
        <f>VLOOKUP(K207,$W$23:$AN$40,MATCH(L207,$W$23:$AN$23,0),FALSE)</f>
        <v>#N/A</v>
      </c>
      <c r="I207" s="1" t="e">
        <f>VLOOKUP(L207,$W$23:$AN$40,MATCH(M207,$W$23:$AN$23,0),FALSE)</f>
        <v>#N/A</v>
      </c>
      <c r="J207" s="1" t="e">
        <f>VLOOKUP(K207,$W$23:$AN$40,MATCH(M207,$W$23:$AN$23,0),FALSE)</f>
        <v>#N/A</v>
      </c>
      <c r="K207" s="1" t="str">
        <f>MID(A207,1,1)</f>
        <v/>
      </c>
      <c r="L207" s="1" t="str">
        <f>MID(A207,2,1)</f>
        <v/>
      </c>
      <c r="M207" s="1" t="str">
        <f>MID(A207,4,1)</f>
        <v/>
      </c>
      <c r="N207" s="1" t="e">
        <f>VLOOKUP(K207,$W:$X,2,0)</f>
        <v>#N/A</v>
      </c>
      <c r="O207" s="1" t="e">
        <f>VLOOKUP(L207,$Z:$AA,2,0)</f>
        <v>#N/A</v>
      </c>
      <c r="P207" s="1" t="e">
        <f>VLOOKUP(M207,$AC:$AD,2,0)</f>
        <v>#N/A</v>
      </c>
      <c r="Q207" s="1">
        <f>IF(A207&lt;&gt;"",P207+O207+N207+H207+I207+J207,0)</f>
        <v>0</v>
      </c>
      <c r="W207"/>
    </row>
    <row r="208" spans="1:23" x14ac:dyDescent="0.25">
      <c r="A208" s="41"/>
      <c r="C208" s="41"/>
      <c r="E208" s="1" t="str">
        <f>MID(A208,1,2)</f>
        <v/>
      </c>
      <c r="F208" s="1" t="str">
        <f>MID(C208,3,2)</f>
        <v/>
      </c>
      <c r="G208" s="1" t="str">
        <f>CONCATENATE(K208,M208)</f>
        <v/>
      </c>
      <c r="H208" s="1" t="e">
        <f>VLOOKUP(K208,$W$23:$AN$40,MATCH(L208,$W$23:$AN$23,0),FALSE)</f>
        <v>#N/A</v>
      </c>
      <c r="I208" s="1" t="e">
        <f>VLOOKUP(L208,$W$23:$AN$40,MATCH(M208,$W$23:$AN$23,0),FALSE)</f>
        <v>#N/A</v>
      </c>
      <c r="J208" s="1" t="e">
        <f>VLOOKUP(K208,$W$23:$AN$40,MATCH(M208,$W$23:$AN$23,0),FALSE)</f>
        <v>#N/A</v>
      </c>
      <c r="K208" s="1" t="str">
        <f>MID(A208,1,1)</f>
        <v/>
      </c>
      <c r="L208" s="1" t="str">
        <f>MID(A208,2,1)</f>
        <v/>
      </c>
      <c r="M208" s="1" t="str">
        <f>MID(A208,4,1)</f>
        <v/>
      </c>
      <c r="N208" s="1" t="e">
        <f>VLOOKUP(K208,$W:$X,2,0)</f>
        <v>#N/A</v>
      </c>
      <c r="O208" s="1" t="e">
        <f>VLOOKUP(L208,$Z:$AA,2,0)</f>
        <v>#N/A</v>
      </c>
      <c r="P208" s="1" t="e">
        <f>VLOOKUP(M208,$AC:$AD,2,0)</f>
        <v>#N/A</v>
      </c>
      <c r="Q208" s="1">
        <f>IF(A208&lt;&gt;"",P208+O208+N208+H208+I208+J208,0)</f>
        <v>0</v>
      </c>
      <c r="W208"/>
    </row>
    <row r="209" spans="1:23" x14ac:dyDescent="0.25">
      <c r="A209" s="41"/>
      <c r="C209" s="41"/>
      <c r="E209" s="1" t="str">
        <f>MID(A209,1,2)</f>
        <v/>
      </c>
      <c r="F209" s="1" t="str">
        <f>MID(C209,3,2)</f>
        <v/>
      </c>
      <c r="G209" s="1" t="str">
        <f>CONCATENATE(K209,M209)</f>
        <v/>
      </c>
      <c r="H209" s="1" t="e">
        <f>VLOOKUP(K209,$W$23:$AN$40,MATCH(L209,$W$23:$AN$23,0),FALSE)</f>
        <v>#N/A</v>
      </c>
      <c r="I209" s="1" t="e">
        <f>VLOOKUP(L209,$W$23:$AN$40,MATCH(M209,$W$23:$AN$23,0),FALSE)</f>
        <v>#N/A</v>
      </c>
      <c r="J209" s="1" t="e">
        <f>VLOOKUP(K209,$W$23:$AN$40,MATCH(M209,$W$23:$AN$23,0),FALSE)</f>
        <v>#N/A</v>
      </c>
      <c r="K209" s="1" t="str">
        <f>MID(A209,1,1)</f>
        <v/>
      </c>
      <c r="L209" s="1" t="str">
        <f>MID(A209,2,1)</f>
        <v/>
      </c>
      <c r="M209" s="1" t="str">
        <f>MID(A209,4,1)</f>
        <v/>
      </c>
      <c r="N209" s="1" t="e">
        <f>VLOOKUP(K209,$W:$X,2,0)</f>
        <v>#N/A</v>
      </c>
      <c r="O209" s="1" t="e">
        <f>VLOOKUP(L209,$Z:$AA,2,0)</f>
        <v>#N/A</v>
      </c>
      <c r="P209" s="1" t="e">
        <f>VLOOKUP(M209,$AC:$AD,2,0)</f>
        <v>#N/A</v>
      </c>
      <c r="Q209" s="1">
        <f>IF(A209&lt;&gt;"",P209+O209+N209+H209+I209+J209,0)</f>
        <v>0</v>
      </c>
      <c r="W209"/>
    </row>
    <row r="210" spans="1:23" x14ac:dyDescent="0.25">
      <c r="A210" s="41"/>
      <c r="C210" s="41"/>
      <c r="E210" s="1" t="str">
        <f>MID(A210,1,2)</f>
        <v/>
      </c>
      <c r="F210" s="1" t="str">
        <f>MID(C210,3,2)</f>
        <v/>
      </c>
      <c r="G210" s="1" t="str">
        <f>CONCATENATE(K210,M210)</f>
        <v/>
      </c>
      <c r="H210" s="1" t="e">
        <f>VLOOKUP(K210,$W$23:$AN$40,MATCH(L210,$W$23:$AN$23,0),FALSE)</f>
        <v>#N/A</v>
      </c>
      <c r="I210" s="1" t="e">
        <f>VLOOKUP(L210,$W$23:$AN$40,MATCH(M210,$W$23:$AN$23,0),FALSE)</f>
        <v>#N/A</v>
      </c>
      <c r="J210" s="1" t="e">
        <f>VLOOKUP(K210,$W$23:$AN$40,MATCH(M210,$W$23:$AN$23,0),FALSE)</f>
        <v>#N/A</v>
      </c>
      <c r="K210" s="1" t="str">
        <f>MID(A210,1,1)</f>
        <v/>
      </c>
      <c r="L210" s="1" t="str">
        <f>MID(A210,2,1)</f>
        <v/>
      </c>
      <c r="M210" s="1" t="str">
        <f>MID(A210,4,1)</f>
        <v/>
      </c>
      <c r="N210" s="1" t="e">
        <f>VLOOKUP(K210,$W:$X,2,0)</f>
        <v>#N/A</v>
      </c>
      <c r="O210" s="1" t="e">
        <f>VLOOKUP(L210,$Z:$AA,2,0)</f>
        <v>#N/A</v>
      </c>
      <c r="P210" s="1" t="e">
        <f>VLOOKUP(M210,$AC:$AD,2,0)</f>
        <v>#N/A</v>
      </c>
      <c r="Q210" s="1">
        <f>IF(A210&lt;&gt;"",P210+O210+N210+H210+I210+J210,0)</f>
        <v>0</v>
      </c>
      <c r="W210"/>
    </row>
    <row r="211" spans="1:23" x14ac:dyDescent="0.25">
      <c r="A211" s="41"/>
      <c r="C211" s="41"/>
      <c r="E211" s="1" t="str">
        <f>MID(A211,1,2)</f>
        <v/>
      </c>
      <c r="F211" s="1" t="str">
        <f>MID(C211,3,2)</f>
        <v/>
      </c>
      <c r="G211" s="1" t="str">
        <f>CONCATENATE(K211,M211)</f>
        <v/>
      </c>
      <c r="H211" s="1" t="e">
        <f>VLOOKUP(K211,$W$23:$AN$40,MATCH(L211,$W$23:$AN$23,0),FALSE)</f>
        <v>#N/A</v>
      </c>
      <c r="I211" s="1" t="e">
        <f>VLOOKUP(L211,$W$23:$AN$40,MATCH(M211,$W$23:$AN$23,0),FALSE)</f>
        <v>#N/A</v>
      </c>
      <c r="J211" s="1" t="e">
        <f>VLOOKUP(K211,$W$23:$AN$40,MATCH(M211,$W$23:$AN$23,0),FALSE)</f>
        <v>#N/A</v>
      </c>
      <c r="K211" s="1" t="str">
        <f>MID(A211,1,1)</f>
        <v/>
      </c>
      <c r="L211" s="1" t="str">
        <f>MID(A211,2,1)</f>
        <v/>
      </c>
      <c r="M211" s="1" t="str">
        <f>MID(A211,4,1)</f>
        <v/>
      </c>
      <c r="N211" s="1" t="e">
        <f>VLOOKUP(K211,$W:$X,2,0)</f>
        <v>#N/A</v>
      </c>
      <c r="O211" s="1" t="e">
        <f>VLOOKUP(L211,$Z:$AA,2,0)</f>
        <v>#N/A</v>
      </c>
      <c r="P211" s="1" t="e">
        <f>VLOOKUP(M211,$AC:$AD,2,0)</f>
        <v>#N/A</v>
      </c>
      <c r="Q211" s="1">
        <f>IF(A211&lt;&gt;"",P211+O211+N211+H211+I211+J211,0)</f>
        <v>0</v>
      </c>
      <c r="W211"/>
    </row>
    <row r="212" spans="1:23" x14ac:dyDescent="0.25">
      <c r="A212" s="41"/>
      <c r="C212" s="41"/>
      <c r="E212" s="1" t="str">
        <f>MID(A212,1,2)</f>
        <v/>
      </c>
      <c r="F212" s="1" t="str">
        <f>MID(C212,3,2)</f>
        <v/>
      </c>
      <c r="G212" s="1" t="str">
        <f>CONCATENATE(K212,M212)</f>
        <v/>
      </c>
      <c r="H212" s="1" t="e">
        <f>VLOOKUP(K212,$W$23:$AN$40,MATCH(L212,$W$23:$AN$23,0),FALSE)</f>
        <v>#N/A</v>
      </c>
      <c r="I212" s="1" t="e">
        <f>VLOOKUP(L212,$W$23:$AN$40,MATCH(M212,$W$23:$AN$23,0),FALSE)</f>
        <v>#N/A</v>
      </c>
      <c r="J212" s="1" t="e">
        <f>VLOOKUP(K212,$W$23:$AN$40,MATCH(M212,$W$23:$AN$23,0),FALSE)</f>
        <v>#N/A</v>
      </c>
      <c r="K212" s="1" t="str">
        <f>MID(A212,1,1)</f>
        <v/>
      </c>
      <c r="L212" s="1" t="str">
        <f>MID(A212,2,1)</f>
        <v/>
      </c>
      <c r="M212" s="1" t="str">
        <f>MID(A212,4,1)</f>
        <v/>
      </c>
      <c r="N212" s="1" t="e">
        <f>VLOOKUP(K212,$W:$X,2,0)</f>
        <v>#N/A</v>
      </c>
      <c r="O212" s="1" t="e">
        <f>VLOOKUP(L212,$Z:$AA,2,0)</f>
        <v>#N/A</v>
      </c>
      <c r="P212" s="1" t="e">
        <f>VLOOKUP(M212,$AC:$AD,2,0)</f>
        <v>#N/A</v>
      </c>
      <c r="Q212" s="1">
        <f>IF(A212&lt;&gt;"",P212+O212+N212+H212+I212+J212,0)</f>
        <v>0</v>
      </c>
      <c r="W212"/>
    </row>
    <row r="213" spans="1:23" x14ac:dyDescent="0.25">
      <c r="A213" s="41"/>
      <c r="C213" s="41"/>
      <c r="E213" s="1" t="str">
        <f>MID(A213,1,2)</f>
        <v/>
      </c>
      <c r="F213" s="1" t="str">
        <f>MID(C213,3,2)</f>
        <v/>
      </c>
      <c r="G213" s="1" t="str">
        <f>CONCATENATE(K213,M213)</f>
        <v/>
      </c>
      <c r="H213" s="1" t="e">
        <f>VLOOKUP(K213,$W$23:$AN$40,MATCH(L213,$W$23:$AN$23,0),FALSE)</f>
        <v>#N/A</v>
      </c>
      <c r="I213" s="1" t="e">
        <f>VLOOKUP(L213,$W$23:$AN$40,MATCH(M213,$W$23:$AN$23,0),FALSE)</f>
        <v>#N/A</v>
      </c>
      <c r="J213" s="1" t="e">
        <f>VLOOKUP(K213,$W$23:$AN$40,MATCH(M213,$W$23:$AN$23,0),FALSE)</f>
        <v>#N/A</v>
      </c>
      <c r="K213" s="1" t="str">
        <f>MID(A213,1,1)</f>
        <v/>
      </c>
      <c r="L213" s="1" t="str">
        <f>MID(A213,2,1)</f>
        <v/>
      </c>
      <c r="M213" s="1" t="str">
        <f>MID(A213,4,1)</f>
        <v/>
      </c>
      <c r="N213" s="1" t="e">
        <f>VLOOKUP(K213,$W:$X,2,0)</f>
        <v>#N/A</v>
      </c>
      <c r="O213" s="1" t="e">
        <f>VLOOKUP(L213,$Z:$AA,2,0)</f>
        <v>#N/A</v>
      </c>
      <c r="P213" s="1" t="e">
        <f>VLOOKUP(M213,$AC:$AD,2,0)</f>
        <v>#N/A</v>
      </c>
      <c r="Q213" s="1">
        <f>IF(A213&lt;&gt;"",P213+O213+N213+H213+I213+J213,0)</f>
        <v>0</v>
      </c>
      <c r="W213"/>
    </row>
    <row r="214" spans="1:23" x14ac:dyDescent="0.25">
      <c r="A214" s="41"/>
      <c r="C214" s="41"/>
      <c r="E214" s="1" t="str">
        <f>MID(A214,1,2)</f>
        <v/>
      </c>
      <c r="F214" s="1" t="str">
        <f>MID(C214,3,2)</f>
        <v/>
      </c>
      <c r="G214" s="1" t="str">
        <f>CONCATENATE(K214,M214)</f>
        <v/>
      </c>
      <c r="H214" s="1" t="e">
        <f>VLOOKUP(K214,$W$23:$AN$40,MATCH(L214,$W$23:$AN$23,0),FALSE)</f>
        <v>#N/A</v>
      </c>
      <c r="I214" s="1" t="e">
        <f>VLOOKUP(L214,$W$23:$AN$40,MATCH(M214,$W$23:$AN$23,0),FALSE)</f>
        <v>#N/A</v>
      </c>
      <c r="J214" s="1" t="e">
        <f>VLOOKUP(K214,$W$23:$AN$40,MATCH(M214,$W$23:$AN$23,0),FALSE)</f>
        <v>#N/A</v>
      </c>
      <c r="K214" s="1" t="str">
        <f>MID(A214,1,1)</f>
        <v/>
      </c>
      <c r="L214" s="1" t="str">
        <f>MID(A214,2,1)</f>
        <v/>
      </c>
      <c r="M214" s="1" t="str">
        <f>MID(A214,4,1)</f>
        <v/>
      </c>
      <c r="N214" s="1" t="e">
        <f>VLOOKUP(K214,$W:$X,2,0)</f>
        <v>#N/A</v>
      </c>
      <c r="O214" s="1" t="e">
        <f>VLOOKUP(L214,$Z:$AA,2,0)</f>
        <v>#N/A</v>
      </c>
      <c r="P214" s="1" t="e">
        <f>VLOOKUP(M214,$AC:$AD,2,0)</f>
        <v>#N/A</v>
      </c>
      <c r="Q214" s="1">
        <f>IF(A214&lt;&gt;"",P214+O214+N214+H214+I214+J214,0)</f>
        <v>0</v>
      </c>
      <c r="W214"/>
    </row>
    <row r="215" spans="1:23" x14ac:dyDescent="0.25">
      <c r="A215" s="41"/>
      <c r="C215" s="41"/>
      <c r="E215" s="1" t="str">
        <f>MID(A215,1,2)</f>
        <v/>
      </c>
      <c r="F215" s="1" t="str">
        <f>MID(C215,3,2)</f>
        <v/>
      </c>
      <c r="G215" s="1" t="str">
        <f>CONCATENATE(K215,M215)</f>
        <v/>
      </c>
      <c r="H215" s="1" t="e">
        <f>VLOOKUP(K215,$W$23:$AN$40,MATCH(L215,$W$23:$AN$23,0),FALSE)</f>
        <v>#N/A</v>
      </c>
      <c r="I215" s="1" t="e">
        <f>VLOOKUP(L215,$W$23:$AN$40,MATCH(M215,$W$23:$AN$23,0),FALSE)</f>
        <v>#N/A</v>
      </c>
      <c r="J215" s="1" t="e">
        <f>VLOOKUP(K215,$W$23:$AN$40,MATCH(M215,$W$23:$AN$23,0),FALSE)</f>
        <v>#N/A</v>
      </c>
      <c r="K215" s="1" t="str">
        <f>MID(A215,1,1)</f>
        <v/>
      </c>
      <c r="L215" s="1" t="str">
        <f>MID(A215,2,1)</f>
        <v/>
      </c>
      <c r="M215" s="1" t="str">
        <f>MID(A215,4,1)</f>
        <v/>
      </c>
      <c r="N215" s="1" t="e">
        <f>VLOOKUP(K215,$W:$X,2,0)</f>
        <v>#N/A</v>
      </c>
      <c r="O215" s="1" t="e">
        <f>VLOOKUP(L215,$Z:$AA,2,0)</f>
        <v>#N/A</v>
      </c>
      <c r="P215" s="1" t="e">
        <f>VLOOKUP(M215,$AC:$AD,2,0)</f>
        <v>#N/A</v>
      </c>
      <c r="Q215" s="1">
        <f>IF(A215&lt;&gt;"",P215+O215+N215+H215+I215+J215,0)</f>
        <v>0</v>
      </c>
      <c r="W215"/>
    </row>
    <row r="216" spans="1:23" x14ac:dyDescent="0.25">
      <c r="A216" s="41"/>
      <c r="C216" s="41"/>
      <c r="E216" s="1" t="str">
        <f>MID(A216,1,2)</f>
        <v/>
      </c>
      <c r="F216" s="1" t="str">
        <f>MID(C216,3,2)</f>
        <v/>
      </c>
      <c r="G216" s="1" t="str">
        <f>CONCATENATE(K216,M216)</f>
        <v/>
      </c>
      <c r="H216" s="1" t="e">
        <f>VLOOKUP(K216,$W$23:$AN$40,MATCH(L216,$W$23:$AN$23,0),FALSE)</f>
        <v>#N/A</v>
      </c>
      <c r="I216" s="1" t="e">
        <f>VLOOKUP(L216,$W$23:$AN$40,MATCH(M216,$W$23:$AN$23,0),FALSE)</f>
        <v>#N/A</v>
      </c>
      <c r="J216" s="1" t="e">
        <f>VLOOKUP(K216,$W$23:$AN$40,MATCH(M216,$W$23:$AN$23,0),FALSE)</f>
        <v>#N/A</v>
      </c>
      <c r="K216" s="1" t="str">
        <f>MID(A216,1,1)</f>
        <v/>
      </c>
      <c r="L216" s="1" t="str">
        <f>MID(A216,2,1)</f>
        <v/>
      </c>
      <c r="M216" s="1" t="str">
        <f>MID(A216,4,1)</f>
        <v/>
      </c>
      <c r="N216" s="1" t="e">
        <f>VLOOKUP(K216,$W:$X,2,0)</f>
        <v>#N/A</v>
      </c>
      <c r="O216" s="1" t="e">
        <f>VLOOKUP(L216,$Z:$AA,2,0)</f>
        <v>#N/A</v>
      </c>
      <c r="P216" s="1" t="e">
        <f>VLOOKUP(M216,$AC:$AD,2,0)</f>
        <v>#N/A</v>
      </c>
      <c r="Q216" s="1">
        <f>IF(A216&lt;&gt;"",P216+O216+N216+H216+I216+J216,0)</f>
        <v>0</v>
      </c>
      <c r="W216"/>
    </row>
    <row r="217" spans="1:23" x14ac:dyDescent="0.25">
      <c r="A217" s="41"/>
      <c r="C217" s="41"/>
      <c r="E217" s="1" t="str">
        <f>MID(A217,1,2)</f>
        <v/>
      </c>
      <c r="F217" s="1" t="str">
        <f>MID(C217,3,2)</f>
        <v/>
      </c>
      <c r="G217" s="1" t="str">
        <f>CONCATENATE(K217,M217)</f>
        <v/>
      </c>
      <c r="H217" s="1" t="e">
        <f>VLOOKUP(K217,$W$23:$AN$40,MATCH(L217,$W$23:$AN$23,0),FALSE)</f>
        <v>#N/A</v>
      </c>
      <c r="I217" s="1" t="e">
        <f>VLOOKUP(L217,$W$23:$AN$40,MATCH(M217,$W$23:$AN$23,0),FALSE)</f>
        <v>#N/A</v>
      </c>
      <c r="J217" s="1" t="e">
        <f>VLOOKUP(K217,$W$23:$AN$40,MATCH(M217,$W$23:$AN$23,0),FALSE)</f>
        <v>#N/A</v>
      </c>
      <c r="K217" s="1" t="str">
        <f>MID(A217,1,1)</f>
        <v/>
      </c>
      <c r="L217" s="1" t="str">
        <f>MID(A217,2,1)</f>
        <v/>
      </c>
      <c r="M217" s="1" t="str">
        <f>MID(A217,4,1)</f>
        <v/>
      </c>
      <c r="N217" s="1" t="e">
        <f>VLOOKUP(K217,$W:$X,2,0)</f>
        <v>#N/A</v>
      </c>
      <c r="O217" s="1" t="e">
        <f>VLOOKUP(L217,$Z:$AA,2,0)</f>
        <v>#N/A</v>
      </c>
      <c r="P217" s="1" t="e">
        <f>VLOOKUP(M217,$AC:$AD,2,0)</f>
        <v>#N/A</v>
      </c>
      <c r="Q217" s="1">
        <f>IF(A217&lt;&gt;"",P217+O217+N217+H217+I217+J217,0)</f>
        <v>0</v>
      </c>
      <c r="W217"/>
    </row>
    <row r="218" spans="1:23" x14ac:dyDescent="0.25">
      <c r="A218" s="41"/>
      <c r="C218" s="41"/>
      <c r="E218" s="1" t="str">
        <f>MID(A218,1,2)</f>
        <v/>
      </c>
      <c r="F218" s="1" t="str">
        <f>MID(C218,3,2)</f>
        <v/>
      </c>
      <c r="G218" s="1" t="str">
        <f>CONCATENATE(K218,M218)</f>
        <v/>
      </c>
      <c r="H218" s="1" t="e">
        <f>VLOOKUP(K218,$W$23:$AN$40,MATCH(L218,$W$23:$AN$23,0),FALSE)</f>
        <v>#N/A</v>
      </c>
      <c r="I218" s="1" t="e">
        <f>VLOOKUP(L218,$W$23:$AN$40,MATCH(M218,$W$23:$AN$23,0),FALSE)</f>
        <v>#N/A</v>
      </c>
      <c r="J218" s="1" t="e">
        <f>VLOOKUP(K218,$W$23:$AN$40,MATCH(M218,$W$23:$AN$23,0),FALSE)</f>
        <v>#N/A</v>
      </c>
      <c r="K218" s="1" t="str">
        <f>MID(A218,1,1)</f>
        <v/>
      </c>
      <c r="L218" s="1" t="str">
        <f>MID(A218,2,1)</f>
        <v/>
      </c>
      <c r="M218" s="1" t="str">
        <f>MID(A218,4,1)</f>
        <v/>
      </c>
      <c r="N218" s="1" t="e">
        <f>VLOOKUP(K218,$W:$X,2,0)</f>
        <v>#N/A</v>
      </c>
      <c r="O218" s="1" t="e">
        <f>VLOOKUP(L218,$Z:$AA,2,0)</f>
        <v>#N/A</v>
      </c>
      <c r="P218" s="1" t="e">
        <f>VLOOKUP(M218,$AC:$AD,2,0)</f>
        <v>#N/A</v>
      </c>
      <c r="Q218" s="1">
        <f>IF(A218&lt;&gt;"",P218+O218+N218+H218+I218+J218,0)</f>
        <v>0</v>
      </c>
      <c r="W218"/>
    </row>
    <row r="219" spans="1:23" x14ac:dyDescent="0.25">
      <c r="A219" s="41"/>
      <c r="C219" s="41"/>
      <c r="E219" s="1" t="str">
        <f>MID(A219,1,2)</f>
        <v/>
      </c>
      <c r="F219" s="1" t="str">
        <f>MID(C219,3,2)</f>
        <v/>
      </c>
      <c r="G219" s="1" t="str">
        <f>CONCATENATE(K219,M219)</f>
        <v/>
      </c>
      <c r="H219" s="1" t="e">
        <f>VLOOKUP(K219,$W$23:$AN$40,MATCH(L219,$W$23:$AN$23,0),FALSE)</f>
        <v>#N/A</v>
      </c>
      <c r="I219" s="1" t="e">
        <f>VLOOKUP(L219,$W$23:$AN$40,MATCH(M219,$W$23:$AN$23,0),FALSE)</f>
        <v>#N/A</v>
      </c>
      <c r="J219" s="1" t="e">
        <f>VLOOKUP(K219,$W$23:$AN$40,MATCH(M219,$W$23:$AN$23,0),FALSE)</f>
        <v>#N/A</v>
      </c>
      <c r="K219" s="1" t="str">
        <f>MID(A219,1,1)</f>
        <v/>
      </c>
      <c r="L219" s="1" t="str">
        <f>MID(A219,2,1)</f>
        <v/>
      </c>
      <c r="M219" s="1" t="str">
        <f>MID(A219,4,1)</f>
        <v/>
      </c>
      <c r="N219" s="1" t="e">
        <f>VLOOKUP(K219,$W:$X,2,0)</f>
        <v>#N/A</v>
      </c>
      <c r="O219" s="1" t="e">
        <f>VLOOKUP(L219,$Z:$AA,2,0)</f>
        <v>#N/A</v>
      </c>
      <c r="P219" s="1" t="e">
        <f>VLOOKUP(M219,$AC:$AD,2,0)</f>
        <v>#N/A</v>
      </c>
      <c r="Q219" s="1">
        <f>IF(A219&lt;&gt;"",P219+O219+N219+H219+I219+J219,0)</f>
        <v>0</v>
      </c>
      <c r="W219"/>
    </row>
    <row r="220" spans="1:23" x14ac:dyDescent="0.25">
      <c r="A220" s="41"/>
      <c r="C220" s="41"/>
      <c r="E220" s="1" t="str">
        <f>MID(A220,1,2)</f>
        <v/>
      </c>
      <c r="F220" s="1" t="str">
        <f>MID(C220,3,2)</f>
        <v/>
      </c>
      <c r="G220" s="1" t="str">
        <f>CONCATENATE(K220,M220)</f>
        <v/>
      </c>
      <c r="H220" s="1" t="e">
        <f>VLOOKUP(K220,$W$23:$AN$40,MATCH(L220,$W$23:$AN$23,0),FALSE)</f>
        <v>#N/A</v>
      </c>
      <c r="I220" s="1" t="e">
        <f>VLOOKUP(L220,$W$23:$AN$40,MATCH(M220,$W$23:$AN$23,0),FALSE)</f>
        <v>#N/A</v>
      </c>
      <c r="J220" s="1" t="e">
        <f>VLOOKUP(K220,$W$23:$AN$40,MATCH(M220,$W$23:$AN$23,0),FALSE)</f>
        <v>#N/A</v>
      </c>
      <c r="K220" s="1" t="str">
        <f>MID(A220,1,1)</f>
        <v/>
      </c>
      <c r="L220" s="1" t="str">
        <f>MID(A220,2,1)</f>
        <v/>
      </c>
      <c r="M220" s="1" t="str">
        <f>MID(A220,4,1)</f>
        <v/>
      </c>
      <c r="N220" s="1" t="e">
        <f>VLOOKUP(K220,$W:$X,2,0)</f>
        <v>#N/A</v>
      </c>
      <c r="O220" s="1" t="e">
        <f>VLOOKUP(L220,$Z:$AA,2,0)</f>
        <v>#N/A</v>
      </c>
      <c r="P220" s="1" t="e">
        <f>VLOOKUP(M220,$AC:$AD,2,0)</f>
        <v>#N/A</v>
      </c>
      <c r="Q220" s="1">
        <f>IF(A220&lt;&gt;"",P220+O220+N220+H220+I220+J220,0)</f>
        <v>0</v>
      </c>
      <c r="W220"/>
    </row>
    <row r="221" spans="1:23" x14ac:dyDescent="0.25">
      <c r="A221" s="41"/>
      <c r="C221" s="41"/>
      <c r="E221" s="1" t="str">
        <f>MID(A221,1,2)</f>
        <v/>
      </c>
      <c r="F221" s="1" t="str">
        <f>MID(C221,3,2)</f>
        <v/>
      </c>
      <c r="G221" s="1" t="str">
        <f>CONCATENATE(K221,M221)</f>
        <v/>
      </c>
      <c r="H221" s="1" t="e">
        <f>VLOOKUP(K221,$W$23:$AN$40,MATCH(L221,$W$23:$AN$23,0),FALSE)</f>
        <v>#N/A</v>
      </c>
      <c r="I221" s="1" t="e">
        <f>VLOOKUP(L221,$W$23:$AN$40,MATCH(M221,$W$23:$AN$23,0),FALSE)</f>
        <v>#N/A</v>
      </c>
      <c r="J221" s="1" t="e">
        <f>VLOOKUP(K221,$W$23:$AN$40,MATCH(M221,$W$23:$AN$23,0),FALSE)</f>
        <v>#N/A</v>
      </c>
      <c r="K221" s="1" t="str">
        <f>MID(A221,1,1)</f>
        <v/>
      </c>
      <c r="L221" s="1" t="str">
        <f>MID(A221,2,1)</f>
        <v/>
      </c>
      <c r="M221" s="1" t="str">
        <f>MID(A221,4,1)</f>
        <v/>
      </c>
      <c r="N221" s="1" t="e">
        <f>VLOOKUP(K221,$W:$X,2,0)</f>
        <v>#N/A</v>
      </c>
      <c r="O221" s="1" t="e">
        <f>VLOOKUP(L221,$Z:$AA,2,0)</f>
        <v>#N/A</v>
      </c>
      <c r="P221" s="1" t="e">
        <f>VLOOKUP(M221,$AC:$AD,2,0)</f>
        <v>#N/A</v>
      </c>
      <c r="Q221" s="1">
        <f>IF(A221&lt;&gt;"",P221+O221+N221+H221+I221+J221,0)</f>
        <v>0</v>
      </c>
      <c r="W221"/>
    </row>
    <row r="222" spans="1:23" x14ac:dyDescent="0.25">
      <c r="A222" s="41"/>
      <c r="C222" s="41"/>
      <c r="E222" s="1" t="str">
        <f>MID(A222,1,2)</f>
        <v/>
      </c>
      <c r="F222" s="1" t="str">
        <f>MID(C222,3,2)</f>
        <v/>
      </c>
      <c r="G222" s="1" t="str">
        <f>CONCATENATE(K222,M222)</f>
        <v/>
      </c>
      <c r="H222" s="1" t="e">
        <f>VLOOKUP(K222,$W$23:$AN$40,MATCH(L222,$W$23:$AN$23,0),FALSE)</f>
        <v>#N/A</v>
      </c>
      <c r="I222" s="1" t="e">
        <f>VLOOKUP(L222,$W$23:$AN$40,MATCH(M222,$W$23:$AN$23,0),FALSE)</f>
        <v>#N/A</v>
      </c>
      <c r="J222" s="1" t="e">
        <f>VLOOKUP(K222,$W$23:$AN$40,MATCH(M222,$W$23:$AN$23,0),FALSE)</f>
        <v>#N/A</v>
      </c>
      <c r="K222" s="1" t="str">
        <f>MID(A222,1,1)</f>
        <v/>
      </c>
      <c r="L222" s="1" t="str">
        <f>MID(A222,2,1)</f>
        <v/>
      </c>
      <c r="M222" s="1" t="str">
        <f>MID(A222,4,1)</f>
        <v/>
      </c>
      <c r="N222" s="1" t="e">
        <f>VLOOKUP(K222,$W:$X,2,0)</f>
        <v>#N/A</v>
      </c>
      <c r="O222" s="1" t="e">
        <f>VLOOKUP(L222,$Z:$AA,2,0)</f>
        <v>#N/A</v>
      </c>
      <c r="P222" s="1" t="e">
        <f>VLOOKUP(M222,$AC:$AD,2,0)</f>
        <v>#N/A</v>
      </c>
      <c r="Q222" s="1">
        <f>IF(A222&lt;&gt;"",P222+O222+N222+H222+I222+J222,0)</f>
        <v>0</v>
      </c>
      <c r="W222"/>
    </row>
    <row r="223" spans="1:23" x14ac:dyDescent="0.25">
      <c r="A223" s="41"/>
      <c r="C223" s="41"/>
      <c r="E223" s="1" t="str">
        <f>MID(A223,1,2)</f>
        <v/>
      </c>
      <c r="F223" s="1" t="str">
        <f>MID(C223,3,2)</f>
        <v/>
      </c>
      <c r="G223" s="1" t="str">
        <f>CONCATENATE(K223,M223)</f>
        <v/>
      </c>
      <c r="H223" s="1" t="e">
        <f>VLOOKUP(K223,$W$23:$AN$40,MATCH(L223,$W$23:$AN$23,0),FALSE)</f>
        <v>#N/A</v>
      </c>
      <c r="I223" s="1" t="e">
        <f>VLOOKUP(L223,$W$23:$AN$40,MATCH(M223,$W$23:$AN$23,0),FALSE)</f>
        <v>#N/A</v>
      </c>
      <c r="J223" s="1" t="e">
        <f>VLOOKUP(K223,$W$23:$AN$40,MATCH(M223,$W$23:$AN$23,0),FALSE)</f>
        <v>#N/A</v>
      </c>
      <c r="K223" s="1" t="str">
        <f>MID(A223,1,1)</f>
        <v/>
      </c>
      <c r="L223" s="1" t="str">
        <f>MID(A223,2,1)</f>
        <v/>
      </c>
      <c r="M223" s="1" t="str">
        <f>MID(A223,4,1)</f>
        <v/>
      </c>
      <c r="N223" s="1" t="e">
        <f>VLOOKUP(K223,$W:$X,2,0)</f>
        <v>#N/A</v>
      </c>
      <c r="O223" s="1" t="e">
        <f>VLOOKUP(L223,$Z:$AA,2,0)</f>
        <v>#N/A</v>
      </c>
      <c r="P223" s="1" t="e">
        <f>VLOOKUP(M223,$AC:$AD,2,0)</f>
        <v>#N/A</v>
      </c>
      <c r="Q223" s="1">
        <f>IF(A223&lt;&gt;"",P223+O223+N223+H223+I223+J223,0)</f>
        <v>0</v>
      </c>
      <c r="W223"/>
    </row>
    <row r="224" spans="1:23" x14ac:dyDescent="0.25">
      <c r="A224" s="41"/>
      <c r="C224" s="41"/>
      <c r="E224" s="1" t="str">
        <f>MID(A224,1,2)</f>
        <v/>
      </c>
      <c r="F224" s="1" t="str">
        <f>MID(C224,3,2)</f>
        <v/>
      </c>
      <c r="G224" s="1" t="str">
        <f>CONCATENATE(K224,M224)</f>
        <v/>
      </c>
      <c r="H224" s="1" t="e">
        <f>VLOOKUP(K224,$W$23:$AN$40,MATCH(L224,$W$23:$AN$23,0),FALSE)</f>
        <v>#N/A</v>
      </c>
      <c r="I224" s="1" t="e">
        <f>VLOOKUP(L224,$W$23:$AN$40,MATCH(M224,$W$23:$AN$23,0),FALSE)</f>
        <v>#N/A</v>
      </c>
      <c r="J224" s="1" t="e">
        <f>VLOOKUP(K224,$W$23:$AN$40,MATCH(M224,$W$23:$AN$23,0),FALSE)</f>
        <v>#N/A</v>
      </c>
      <c r="K224" s="1" t="str">
        <f>MID(A224,1,1)</f>
        <v/>
      </c>
      <c r="L224" s="1" t="str">
        <f>MID(A224,2,1)</f>
        <v/>
      </c>
      <c r="M224" s="1" t="str">
        <f>MID(A224,4,1)</f>
        <v/>
      </c>
      <c r="N224" s="1" t="e">
        <f>VLOOKUP(K224,$W:$X,2,0)</f>
        <v>#N/A</v>
      </c>
      <c r="O224" s="1" t="e">
        <f>VLOOKUP(L224,$Z:$AA,2,0)</f>
        <v>#N/A</v>
      </c>
      <c r="P224" s="1" t="e">
        <f>VLOOKUP(M224,$AC:$AD,2,0)</f>
        <v>#N/A</v>
      </c>
      <c r="Q224" s="1">
        <f>IF(A224&lt;&gt;"",P224+O224+N224+H224+I224+J224,0)</f>
        <v>0</v>
      </c>
    </row>
    <row r="225" spans="1:17" x14ac:dyDescent="0.25">
      <c r="A225" s="41"/>
      <c r="C225" s="41"/>
      <c r="E225" s="1" t="str">
        <f>MID(A225,1,2)</f>
        <v/>
      </c>
      <c r="F225" s="1" t="str">
        <f>MID(C225,3,2)</f>
        <v/>
      </c>
      <c r="G225" s="1" t="str">
        <f>CONCATENATE(K225,M225)</f>
        <v/>
      </c>
      <c r="H225" s="1" t="e">
        <f>VLOOKUP(K225,$W$23:$AN$40,MATCH(L225,$W$23:$AN$23,0),FALSE)</f>
        <v>#N/A</v>
      </c>
      <c r="I225" s="1" t="e">
        <f>VLOOKUP(L225,$W$23:$AN$40,MATCH(M225,$W$23:$AN$23,0),FALSE)</f>
        <v>#N/A</v>
      </c>
      <c r="J225" s="1" t="e">
        <f>VLOOKUP(K225,$W$23:$AN$40,MATCH(M225,$W$23:$AN$23,0),FALSE)</f>
        <v>#N/A</v>
      </c>
      <c r="K225" s="1" t="str">
        <f>MID(A225,1,1)</f>
        <v/>
      </c>
      <c r="L225" s="1" t="str">
        <f>MID(A225,2,1)</f>
        <v/>
      </c>
      <c r="M225" s="1" t="str">
        <f>MID(A225,4,1)</f>
        <v/>
      </c>
      <c r="N225" s="1" t="e">
        <f>VLOOKUP(K225,$W:$X,2,0)</f>
        <v>#N/A</v>
      </c>
      <c r="O225" s="1" t="e">
        <f>VLOOKUP(L225,$Z:$AA,2,0)</f>
        <v>#N/A</v>
      </c>
      <c r="P225" s="1" t="e">
        <f>VLOOKUP(M225,$AC:$AD,2,0)</f>
        <v>#N/A</v>
      </c>
      <c r="Q225" s="1">
        <f>IF(A225&lt;&gt;"",P225+O225+N225+H225+I225+J225,0)</f>
        <v>0</v>
      </c>
    </row>
    <row r="226" spans="1:17" x14ac:dyDescent="0.25">
      <c r="A226" s="41"/>
      <c r="C226" s="41"/>
      <c r="E226" s="1" t="str">
        <f>MID(A226,1,2)</f>
        <v/>
      </c>
      <c r="F226" s="1" t="str">
        <f>MID(C226,3,2)</f>
        <v/>
      </c>
      <c r="G226" s="1" t="str">
        <f>CONCATENATE(K226,M226)</f>
        <v/>
      </c>
      <c r="H226" s="1" t="e">
        <f>VLOOKUP(K226,$W$23:$AN$40,MATCH(L226,$W$23:$AN$23,0),FALSE)</f>
        <v>#N/A</v>
      </c>
      <c r="I226" s="1" t="e">
        <f>VLOOKUP(L226,$W$23:$AN$40,MATCH(M226,$W$23:$AN$23,0),FALSE)</f>
        <v>#N/A</v>
      </c>
      <c r="J226" s="1" t="e">
        <f>VLOOKUP(K226,$W$23:$AN$40,MATCH(M226,$W$23:$AN$23,0),FALSE)</f>
        <v>#N/A</v>
      </c>
      <c r="K226" s="1" t="str">
        <f>MID(A226,1,1)</f>
        <v/>
      </c>
      <c r="L226" s="1" t="str">
        <f>MID(A226,2,1)</f>
        <v/>
      </c>
      <c r="M226" s="1" t="str">
        <f>MID(A226,4,1)</f>
        <v/>
      </c>
      <c r="N226" s="1" t="e">
        <f>VLOOKUP(K226,$W:$X,2,0)</f>
        <v>#N/A</v>
      </c>
      <c r="O226" s="1" t="e">
        <f>VLOOKUP(L226,$Z:$AA,2,0)</f>
        <v>#N/A</v>
      </c>
      <c r="P226" s="1" t="e">
        <f>VLOOKUP(M226,$AC:$AD,2,0)</f>
        <v>#N/A</v>
      </c>
      <c r="Q226" s="1">
        <f>IF(A226&lt;&gt;"",P226+O226+N226+H226+I226+J226,0)</f>
        <v>0</v>
      </c>
    </row>
    <row r="227" spans="1:17" x14ac:dyDescent="0.25">
      <c r="A227" s="41"/>
      <c r="C227" s="41"/>
      <c r="E227" s="1" t="str">
        <f>MID(A227,1,2)</f>
        <v/>
      </c>
      <c r="F227" s="1" t="str">
        <f>MID(C227,3,2)</f>
        <v/>
      </c>
      <c r="G227" s="1" t="str">
        <f>CONCATENATE(K227,M227)</f>
        <v/>
      </c>
      <c r="H227" s="1" t="e">
        <f>VLOOKUP(K227,$W$23:$AN$40,MATCH(L227,$W$23:$AN$23,0),FALSE)</f>
        <v>#N/A</v>
      </c>
      <c r="I227" s="1" t="e">
        <f>VLOOKUP(L227,$W$23:$AN$40,MATCH(M227,$W$23:$AN$23,0),FALSE)</f>
        <v>#N/A</v>
      </c>
      <c r="J227" s="1" t="e">
        <f>VLOOKUP(K227,$W$23:$AN$40,MATCH(M227,$W$23:$AN$23,0),FALSE)</f>
        <v>#N/A</v>
      </c>
      <c r="K227" s="1" t="str">
        <f>MID(A227,1,1)</f>
        <v/>
      </c>
      <c r="L227" s="1" t="str">
        <f>MID(A227,2,1)</f>
        <v/>
      </c>
      <c r="M227" s="1" t="str">
        <f>MID(A227,4,1)</f>
        <v/>
      </c>
      <c r="N227" s="1" t="e">
        <f>VLOOKUP(K227,$W:$X,2,0)</f>
        <v>#N/A</v>
      </c>
      <c r="O227" s="1" t="e">
        <f>VLOOKUP(L227,$Z:$AA,2,0)</f>
        <v>#N/A</v>
      </c>
      <c r="P227" s="1" t="e">
        <f>VLOOKUP(M227,$AC:$AD,2,0)</f>
        <v>#N/A</v>
      </c>
      <c r="Q227" s="1">
        <f>IF(A227&lt;&gt;"",P227+O227+N227+H227+I227+J227,0)</f>
        <v>0</v>
      </c>
    </row>
    <row r="228" spans="1:17" x14ac:dyDescent="0.25">
      <c r="A228" s="41"/>
      <c r="C228" s="41"/>
      <c r="E228" s="1" t="str">
        <f>MID(A228,1,2)</f>
        <v/>
      </c>
      <c r="F228" s="1" t="str">
        <f>MID(C228,3,2)</f>
        <v/>
      </c>
      <c r="G228" s="1" t="str">
        <f>CONCATENATE(K228,M228)</f>
        <v/>
      </c>
      <c r="H228" s="1" t="e">
        <f>VLOOKUP(K228,$W$23:$AN$40,MATCH(L228,$W$23:$AN$23,0),FALSE)</f>
        <v>#N/A</v>
      </c>
      <c r="I228" s="1" t="e">
        <f>VLOOKUP(L228,$W$23:$AN$40,MATCH(M228,$W$23:$AN$23,0),FALSE)</f>
        <v>#N/A</v>
      </c>
      <c r="J228" s="1" t="e">
        <f>VLOOKUP(K228,$W$23:$AN$40,MATCH(M228,$W$23:$AN$23,0),FALSE)</f>
        <v>#N/A</v>
      </c>
      <c r="K228" s="1" t="str">
        <f>MID(A228,1,1)</f>
        <v/>
      </c>
      <c r="L228" s="1" t="str">
        <f>MID(A228,2,1)</f>
        <v/>
      </c>
      <c r="M228" s="1" t="str">
        <f>MID(A228,4,1)</f>
        <v/>
      </c>
      <c r="N228" s="1" t="e">
        <f>VLOOKUP(K228,$W:$X,2,0)</f>
        <v>#N/A</v>
      </c>
      <c r="O228" s="1" t="e">
        <f>VLOOKUP(L228,$Z:$AA,2,0)</f>
        <v>#N/A</v>
      </c>
      <c r="P228" s="1" t="e">
        <f>VLOOKUP(M228,$AC:$AD,2,0)</f>
        <v>#N/A</v>
      </c>
      <c r="Q228" s="1">
        <f>IF(A228&lt;&gt;"",P228+O228+N228+H228+I228+J228,0)</f>
        <v>0</v>
      </c>
    </row>
    <row r="229" spans="1:17" x14ac:dyDescent="0.25">
      <c r="A229" s="41"/>
      <c r="C229" s="41"/>
      <c r="E229" s="1" t="str">
        <f>MID(A229,1,2)</f>
        <v/>
      </c>
      <c r="F229" s="1" t="str">
        <f>MID(C229,3,2)</f>
        <v/>
      </c>
      <c r="G229" s="1" t="str">
        <f>CONCATENATE(K229,M229)</f>
        <v/>
      </c>
      <c r="H229" s="1" t="e">
        <f>VLOOKUP(K229,$W$23:$AN$40,MATCH(L229,$W$23:$AN$23,0),FALSE)</f>
        <v>#N/A</v>
      </c>
      <c r="I229" s="1" t="e">
        <f>VLOOKUP(L229,$W$23:$AN$40,MATCH(M229,$W$23:$AN$23,0),FALSE)</f>
        <v>#N/A</v>
      </c>
      <c r="J229" s="1" t="e">
        <f>VLOOKUP(K229,$W$23:$AN$40,MATCH(M229,$W$23:$AN$23,0),FALSE)</f>
        <v>#N/A</v>
      </c>
      <c r="K229" s="1" t="str">
        <f>MID(A229,1,1)</f>
        <v/>
      </c>
      <c r="L229" s="1" t="str">
        <f>MID(A229,2,1)</f>
        <v/>
      </c>
      <c r="M229" s="1" t="str">
        <f>MID(A229,4,1)</f>
        <v/>
      </c>
      <c r="N229" s="1" t="e">
        <f>VLOOKUP(K229,$W:$X,2,0)</f>
        <v>#N/A</v>
      </c>
      <c r="O229" s="1" t="e">
        <f>VLOOKUP(L229,$Z:$AA,2,0)</f>
        <v>#N/A</v>
      </c>
      <c r="P229" s="1" t="e">
        <f>VLOOKUP(M229,$AC:$AD,2,0)</f>
        <v>#N/A</v>
      </c>
      <c r="Q229" s="1">
        <f>IF(A229&lt;&gt;"",P229+O229+N229+H229+I229+J229,0)</f>
        <v>0</v>
      </c>
    </row>
    <row r="230" spans="1:17" x14ac:dyDescent="0.25">
      <c r="A230" s="41"/>
      <c r="C230" s="41"/>
      <c r="E230" s="1" t="str">
        <f>MID(A230,1,2)</f>
        <v/>
      </c>
      <c r="F230" s="1" t="str">
        <f>MID(C230,3,2)</f>
        <v/>
      </c>
      <c r="G230" s="1" t="str">
        <f>CONCATENATE(K230,M230)</f>
        <v/>
      </c>
      <c r="H230" s="1" t="e">
        <f>VLOOKUP(K230,$W$23:$AN$40,MATCH(L230,$W$23:$AN$23,0),FALSE)</f>
        <v>#N/A</v>
      </c>
      <c r="I230" s="1" t="e">
        <f>VLOOKUP(L230,$W$23:$AN$40,MATCH(M230,$W$23:$AN$23,0),FALSE)</f>
        <v>#N/A</v>
      </c>
      <c r="J230" s="1" t="e">
        <f>VLOOKUP(K230,$W$23:$AN$40,MATCH(M230,$W$23:$AN$23,0),FALSE)</f>
        <v>#N/A</v>
      </c>
      <c r="K230" s="1" t="str">
        <f>MID(A230,1,1)</f>
        <v/>
      </c>
      <c r="L230" s="1" t="str">
        <f>MID(A230,2,1)</f>
        <v/>
      </c>
      <c r="M230" s="1" t="str">
        <f>MID(A230,4,1)</f>
        <v/>
      </c>
      <c r="N230" s="1" t="e">
        <f>VLOOKUP(K230,$W:$X,2,0)</f>
        <v>#N/A</v>
      </c>
      <c r="O230" s="1" t="e">
        <f>VLOOKUP(L230,$Z:$AA,2,0)</f>
        <v>#N/A</v>
      </c>
      <c r="P230" s="1" t="e">
        <f>VLOOKUP(M230,$AC:$AD,2,0)</f>
        <v>#N/A</v>
      </c>
      <c r="Q230" s="1">
        <f>IF(A230&lt;&gt;"",P230+O230+N230+H230+I230+J230,0)</f>
        <v>0</v>
      </c>
    </row>
    <row r="231" spans="1:17" x14ac:dyDescent="0.25">
      <c r="A231" s="41"/>
      <c r="C231" s="41"/>
      <c r="E231" s="1" t="str">
        <f>MID(A231,1,2)</f>
        <v/>
      </c>
      <c r="F231" s="1" t="str">
        <f>MID(C231,3,2)</f>
        <v/>
      </c>
      <c r="G231" s="1" t="str">
        <f>CONCATENATE(K231,M231)</f>
        <v/>
      </c>
      <c r="H231" s="1" t="e">
        <f>VLOOKUP(K231,$W$23:$AN$40,MATCH(L231,$W$23:$AN$23,0),FALSE)</f>
        <v>#N/A</v>
      </c>
      <c r="I231" s="1" t="e">
        <f>VLOOKUP(L231,$W$23:$AN$40,MATCH(M231,$W$23:$AN$23,0),FALSE)</f>
        <v>#N/A</v>
      </c>
      <c r="J231" s="1" t="e">
        <f>VLOOKUP(K231,$W$23:$AN$40,MATCH(M231,$W$23:$AN$23,0),FALSE)</f>
        <v>#N/A</v>
      </c>
      <c r="K231" s="1" t="str">
        <f>MID(A231,1,1)</f>
        <v/>
      </c>
      <c r="L231" s="1" t="str">
        <f>MID(A231,2,1)</f>
        <v/>
      </c>
      <c r="M231" s="1" t="str">
        <f>MID(A231,4,1)</f>
        <v/>
      </c>
      <c r="N231" s="1" t="e">
        <f>VLOOKUP(K231,$W:$X,2,0)</f>
        <v>#N/A</v>
      </c>
      <c r="O231" s="1" t="e">
        <f>VLOOKUP(L231,$Z:$AA,2,0)</f>
        <v>#N/A</v>
      </c>
      <c r="P231" s="1" t="e">
        <f>VLOOKUP(M231,$AC:$AD,2,0)</f>
        <v>#N/A</v>
      </c>
      <c r="Q231" s="1">
        <f>IF(A231&lt;&gt;"",P231+O231+N231+H231+I231+J231,0)</f>
        <v>0</v>
      </c>
    </row>
    <row r="232" spans="1:17" x14ac:dyDescent="0.25">
      <c r="A232" s="41"/>
      <c r="C232" s="41"/>
      <c r="E232" s="1" t="str">
        <f>MID(A232,1,2)</f>
        <v/>
      </c>
      <c r="F232" s="1" t="str">
        <f>MID(C232,3,2)</f>
        <v/>
      </c>
      <c r="G232" s="1" t="str">
        <f>CONCATENATE(K232,M232)</f>
        <v/>
      </c>
      <c r="H232" s="1" t="e">
        <f>VLOOKUP(K232,$W$23:$AN$40,MATCH(L232,$W$23:$AN$23,0),FALSE)</f>
        <v>#N/A</v>
      </c>
      <c r="I232" s="1" t="e">
        <f>VLOOKUP(L232,$W$23:$AN$40,MATCH(M232,$W$23:$AN$23,0),FALSE)</f>
        <v>#N/A</v>
      </c>
      <c r="J232" s="1" t="e">
        <f>VLOOKUP(K232,$W$23:$AN$40,MATCH(M232,$W$23:$AN$23,0),FALSE)</f>
        <v>#N/A</v>
      </c>
      <c r="K232" s="1" t="str">
        <f>MID(A232,1,1)</f>
        <v/>
      </c>
      <c r="L232" s="1" t="str">
        <f>MID(A232,2,1)</f>
        <v/>
      </c>
      <c r="M232" s="1" t="str">
        <f>MID(A232,4,1)</f>
        <v/>
      </c>
      <c r="N232" s="1" t="e">
        <f>VLOOKUP(K232,$W:$X,2,0)</f>
        <v>#N/A</v>
      </c>
      <c r="O232" s="1" t="e">
        <f>VLOOKUP(L232,$Z:$AA,2,0)</f>
        <v>#N/A</v>
      </c>
      <c r="P232" s="1" t="e">
        <f>VLOOKUP(M232,$AC:$AD,2,0)</f>
        <v>#N/A</v>
      </c>
      <c r="Q232" s="1">
        <f>IF(A232&lt;&gt;"",P232+O232+N232+H232+I232+J232,0)</f>
        <v>0</v>
      </c>
    </row>
    <row r="233" spans="1:17" x14ac:dyDescent="0.25">
      <c r="A233" s="41"/>
      <c r="C233" s="41"/>
      <c r="E233" s="1" t="str">
        <f>MID(A233,1,2)</f>
        <v/>
      </c>
      <c r="F233" s="1" t="str">
        <f>MID(C233,3,2)</f>
        <v/>
      </c>
      <c r="G233" s="1" t="str">
        <f>CONCATENATE(K233,M233)</f>
        <v/>
      </c>
      <c r="H233" s="1" t="e">
        <f>VLOOKUP(K233,$W$23:$AN$40,MATCH(L233,$W$23:$AN$23,0),FALSE)</f>
        <v>#N/A</v>
      </c>
      <c r="I233" s="1" t="e">
        <f>VLOOKUP(L233,$W$23:$AN$40,MATCH(M233,$W$23:$AN$23,0),FALSE)</f>
        <v>#N/A</v>
      </c>
      <c r="J233" s="1" t="e">
        <f>VLOOKUP(K233,$W$23:$AN$40,MATCH(M233,$W$23:$AN$23,0),FALSE)</f>
        <v>#N/A</v>
      </c>
      <c r="K233" s="1" t="str">
        <f>MID(A233,1,1)</f>
        <v/>
      </c>
      <c r="L233" s="1" t="str">
        <f>MID(A233,2,1)</f>
        <v/>
      </c>
      <c r="M233" s="1" t="str">
        <f>MID(A233,4,1)</f>
        <v/>
      </c>
      <c r="N233" s="1" t="e">
        <f>VLOOKUP(K233,$W:$X,2,0)</f>
        <v>#N/A</v>
      </c>
      <c r="O233" s="1" t="e">
        <f>VLOOKUP(L233,$Z:$AA,2,0)</f>
        <v>#N/A</v>
      </c>
      <c r="P233" s="1" t="e">
        <f>VLOOKUP(M233,$AC:$AD,2,0)</f>
        <v>#N/A</v>
      </c>
      <c r="Q233" s="1">
        <f>IF(A233&lt;&gt;"",P233+O233+N233+H233+I233+J233,0)</f>
        <v>0</v>
      </c>
    </row>
    <row r="234" spans="1:17" x14ac:dyDescent="0.25">
      <c r="A234" s="41"/>
      <c r="C234" s="41"/>
      <c r="E234" s="1" t="str">
        <f>MID(A234,1,2)</f>
        <v/>
      </c>
      <c r="F234" s="1" t="str">
        <f>MID(C234,3,2)</f>
        <v/>
      </c>
      <c r="G234" s="1" t="str">
        <f>CONCATENATE(K234,M234)</f>
        <v/>
      </c>
      <c r="H234" s="1" t="e">
        <f>VLOOKUP(K234,$W$23:$AN$40,MATCH(L234,$W$23:$AN$23,0),FALSE)</f>
        <v>#N/A</v>
      </c>
      <c r="I234" s="1" t="e">
        <f>VLOOKUP(L234,$W$23:$AN$40,MATCH(M234,$W$23:$AN$23,0),FALSE)</f>
        <v>#N/A</v>
      </c>
      <c r="J234" s="1" t="e">
        <f>VLOOKUP(K234,$W$23:$AN$40,MATCH(M234,$W$23:$AN$23,0),FALSE)</f>
        <v>#N/A</v>
      </c>
      <c r="K234" s="1" t="str">
        <f>MID(A234,1,1)</f>
        <v/>
      </c>
      <c r="L234" s="1" t="str">
        <f>MID(A234,2,1)</f>
        <v/>
      </c>
      <c r="M234" s="1" t="str">
        <f>MID(A234,4,1)</f>
        <v/>
      </c>
      <c r="N234" s="1" t="e">
        <f>VLOOKUP(K234,$W:$X,2,0)</f>
        <v>#N/A</v>
      </c>
      <c r="O234" s="1" t="e">
        <f>VLOOKUP(L234,$Z:$AA,2,0)</f>
        <v>#N/A</v>
      </c>
      <c r="P234" s="1" t="e">
        <f>VLOOKUP(M234,$AC:$AD,2,0)</f>
        <v>#N/A</v>
      </c>
      <c r="Q234" s="1">
        <f>IF(A234&lt;&gt;"",P234+O234+N234+H234+I234+J234,0)</f>
        <v>0</v>
      </c>
    </row>
    <row r="235" spans="1:17" x14ac:dyDescent="0.25">
      <c r="A235" s="41"/>
      <c r="C235" s="41"/>
      <c r="E235" s="1" t="str">
        <f>MID(A235,1,2)</f>
        <v/>
      </c>
      <c r="F235" s="1" t="str">
        <f>MID(C235,3,2)</f>
        <v/>
      </c>
      <c r="G235" s="1" t="str">
        <f>CONCATENATE(K235,M235)</f>
        <v/>
      </c>
      <c r="H235" s="1" t="e">
        <f>VLOOKUP(K235,$W$23:$AN$40,MATCH(L235,$W$23:$AN$23,0),FALSE)</f>
        <v>#N/A</v>
      </c>
      <c r="I235" s="1" t="e">
        <f>VLOOKUP(L235,$W$23:$AN$40,MATCH(M235,$W$23:$AN$23,0),FALSE)</f>
        <v>#N/A</v>
      </c>
      <c r="J235" s="1" t="e">
        <f>VLOOKUP(K235,$W$23:$AN$40,MATCH(M235,$W$23:$AN$23,0),FALSE)</f>
        <v>#N/A</v>
      </c>
      <c r="K235" s="1" t="str">
        <f>MID(A235,1,1)</f>
        <v/>
      </c>
      <c r="L235" s="1" t="str">
        <f>MID(A235,2,1)</f>
        <v/>
      </c>
      <c r="M235" s="1" t="str">
        <f>MID(A235,4,1)</f>
        <v/>
      </c>
      <c r="N235" s="1" t="e">
        <f>VLOOKUP(K235,$W:$X,2,0)</f>
        <v>#N/A</v>
      </c>
      <c r="O235" s="1" t="e">
        <f>VLOOKUP(L235,$Z:$AA,2,0)</f>
        <v>#N/A</v>
      </c>
      <c r="P235" s="1" t="e">
        <f>VLOOKUP(M235,$AC:$AD,2,0)</f>
        <v>#N/A</v>
      </c>
      <c r="Q235" s="1">
        <f>IF(A235&lt;&gt;"",P235+O235+N235+H235+I235+J235,0)</f>
        <v>0</v>
      </c>
    </row>
    <row r="236" spans="1:17" x14ac:dyDescent="0.25">
      <c r="A236" s="41"/>
      <c r="C236" s="41"/>
      <c r="E236" s="1" t="str">
        <f>MID(A236,1,2)</f>
        <v/>
      </c>
      <c r="F236" s="1" t="str">
        <f>MID(C236,3,2)</f>
        <v/>
      </c>
      <c r="G236" s="1" t="str">
        <f>CONCATENATE(K236,M236)</f>
        <v/>
      </c>
      <c r="H236" s="1" t="e">
        <f>VLOOKUP(K236,$W$23:$AN$40,MATCH(L236,$W$23:$AN$23,0),FALSE)</f>
        <v>#N/A</v>
      </c>
      <c r="I236" s="1" t="e">
        <f>VLOOKUP(L236,$W$23:$AN$40,MATCH(M236,$W$23:$AN$23,0),FALSE)</f>
        <v>#N/A</v>
      </c>
      <c r="J236" s="1" t="e">
        <f>VLOOKUP(K236,$W$23:$AN$40,MATCH(M236,$W$23:$AN$23,0),FALSE)</f>
        <v>#N/A</v>
      </c>
      <c r="K236" s="1" t="str">
        <f>MID(A236,1,1)</f>
        <v/>
      </c>
      <c r="L236" s="1" t="str">
        <f>MID(A236,2,1)</f>
        <v/>
      </c>
      <c r="M236" s="1" t="str">
        <f>MID(A236,4,1)</f>
        <v/>
      </c>
      <c r="N236" s="1" t="e">
        <f>VLOOKUP(K236,$W:$X,2,0)</f>
        <v>#N/A</v>
      </c>
      <c r="O236" s="1" t="e">
        <f>VLOOKUP(L236,$Z:$AA,2,0)</f>
        <v>#N/A</v>
      </c>
      <c r="P236" s="1" t="e">
        <f>VLOOKUP(M236,$AC:$AD,2,0)</f>
        <v>#N/A</v>
      </c>
      <c r="Q236" s="1">
        <f>IF(A236&lt;&gt;"",P236+O236+N236+H236+I236+J236,0)</f>
        <v>0</v>
      </c>
    </row>
    <row r="237" spans="1:17" x14ac:dyDescent="0.25">
      <c r="A237" s="41"/>
      <c r="C237" s="41"/>
      <c r="E237" s="1" t="str">
        <f>MID(A237,1,2)</f>
        <v/>
      </c>
      <c r="F237" s="1" t="str">
        <f>MID(C237,3,2)</f>
        <v/>
      </c>
      <c r="G237" s="1" t="str">
        <f>CONCATENATE(K237,M237)</f>
        <v/>
      </c>
      <c r="H237" s="1" t="e">
        <f>VLOOKUP(K237,$W$23:$AN$40,MATCH(L237,$W$23:$AN$23,0),FALSE)</f>
        <v>#N/A</v>
      </c>
      <c r="I237" s="1" t="e">
        <f>VLOOKUP(L237,$W$23:$AN$40,MATCH(M237,$W$23:$AN$23,0),FALSE)</f>
        <v>#N/A</v>
      </c>
      <c r="J237" s="1" t="e">
        <f>VLOOKUP(K237,$W$23:$AN$40,MATCH(M237,$W$23:$AN$23,0),FALSE)</f>
        <v>#N/A</v>
      </c>
      <c r="K237" s="1" t="str">
        <f>MID(A237,1,1)</f>
        <v/>
      </c>
      <c r="L237" s="1" t="str">
        <f>MID(A237,2,1)</f>
        <v/>
      </c>
      <c r="M237" s="1" t="str">
        <f>MID(A237,4,1)</f>
        <v/>
      </c>
      <c r="N237" s="1" t="e">
        <f>VLOOKUP(K237,$W:$X,2,0)</f>
        <v>#N/A</v>
      </c>
      <c r="O237" s="1" t="e">
        <f>VLOOKUP(L237,$Z:$AA,2,0)</f>
        <v>#N/A</v>
      </c>
      <c r="P237" s="1" t="e">
        <f>VLOOKUP(M237,$AC:$AD,2,0)</f>
        <v>#N/A</v>
      </c>
      <c r="Q237" s="1">
        <f>IF(A237&lt;&gt;"",P237+O237+N237+H237+I237+J237,0)</f>
        <v>0</v>
      </c>
    </row>
    <row r="238" spans="1:17" x14ac:dyDescent="0.25">
      <c r="A238" s="41"/>
      <c r="C238" s="41"/>
      <c r="E238" s="1" t="str">
        <f>MID(A238,1,2)</f>
        <v/>
      </c>
      <c r="F238" s="1" t="str">
        <f>MID(C238,3,2)</f>
        <v/>
      </c>
      <c r="G238" s="1" t="str">
        <f>CONCATENATE(K238,M238)</f>
        <v/>
      </c>
      <c r="H238" s="1" t="e">
        <f>VLOOKUP(K238,$W$23:$AN$40,MATCH(L238,$W$23:$AN$23,0),FALSE)</f>
        <v>#N/A</v>
      </c>
      <c r="I238" s="1" t="e">
        <f>VLOOKUP(L238,$W$23:$AN$40,MATCH(M238,$W$23:$AN$23,0),FALSE)</f>
        <v>#N/A</v>
      </c>
      <c r="J238" s="1" t="e">
        <f>VLOOKUP(K238,$W$23:$AN$40,MATCH(M238,$W$23:$AN$23,0),FALSE)</f>
        <v>#N/A</v>
      </c>
      <c r="K238" s="1" t="str">
        <f>MID(A238,1,1)</f>
        <v/>
      </c>
      <c r="L238" s="1" t="str">
        <f>MID(A238,2,1)</f>
        <v/>
      </c>
      <c r="M238" s="1" t="str">
        <f>MID(A238,4,1)</f>
        <v/>
      </c>
      <c r="N238" s="1" t="e">
        <f>VLOOKUP(K238,$W:$X,2,0)</f>
        <v>#N/A</v>
      </c>
      <c r="O238" s="1" t="e">
        <f>VLOOKUP(L238,$Z:$AA,2,0)</f>
        <v>#N/A</v>
      </c>
      <c r="P238" s="1" t="e">
        <f>VLOOKUP(M238,$AC:$AD,2,0)</f>
        <v>#N/A</v>
      </c>
      <c r="Q238" s="1">
        <f>IF(A238&lt;&gt;"",P238+O238+N238+H238+I238+J238,0)</f>
        <v>0</v>
      </c>
    </row>
    <row r="239" spans="1:17" x14ac:dyDescent="0.25">
      <c r="A239" s="41"/>
      <c r="C239" s="41"/>
      <c r="E239" s="1" t="str">
        <f>MID(A239,1,2)</f>
        <v/>
      </c>
      <c r="F239" s="1" t="str">
        <f>MID(C239,3,2)</f>
        <v/>
      </c>
      <c r="G239" s="1" t="str">
        <f>CONCATENATE(K239,M239)</f>
        <v/>
      </c>
      <c r="H239" s="1" t="e">
        <f>VLOOKUP(K239,$W$23:$AN$40,MATCH(L239,$W$23:$AN$23,0),FALSE)</f>
        <v>#N/A</v>
      </c>
      <c r="I239" s="1" t="e">
        <f>VLOOKUP(L239,$W$23:$AN$40,MATCH(M239,$W$23:$AN$23,0),FALSE)</f>
        <v>#N/A</v>
      </c>
      <c r="J239" s="1" t="e">
        <f>VLOOKUP(K239,$W$23:$AN$40,MATCH(M239,$W$23:$AN$23,0),FALSE)</f>
        <v>#N/A</v>
      </c>
      <c r="K239" s="1" t="str">
        <f>MID(A239,1,1)</f>
        <v/>
      </c>
      <c r="L239" s="1" t="str">
        <f>MID(A239,2,1)</f>
        <v/>
      </c>
      <c r="M239" s="1" t="str">
        <f>MID(A239,4,1)</f>
        <v/>
      </c>
      <c r="N239" s="1" t="e">
        <f>VLOOKUP(K239,$W:$X,2,0)</f>
        <v>#N/A</v>
      </c>
      <c r="O239" s="1" t="e">
        <f>VLOOKUP(L239,$Z:$AA,2,0)</f>
        <v>#N/A</v>
      </c>
      <c r="P239" s="1" t="e">
        <f>VLOOKUP(M239,$AC:$AD,2,0)</f>
        <v>#N/A</v>
      </c>
      <c r="Q239" s="1">
        <f>IF(A239&lt;&gt;"",P239+O239+N239+H239+I239+J239,0)</f>
        <v>0</v>
      </c>
    </row>
    <row r="240" spans="1:17" x14ac:dyDescent="0.25">
      <c r="A240" s="41"/>
      <c r="C240" s="41"/>
      <c r="E240" s="1" t="str">
        <f>MID(A240,1,2)</f>
        <v/>
      </c>
      <c r="F240" s="1" t="str">
        <f>MID(C240,3,2)</f>
        <v/>
      </c>
      <c r="G240" s="1" t="str">
        <f>CONCATENATE(K240,M240)</f>
        <v/>
      </c>
      <c r="H240" s="1" t="e">
        <f>VLOOKUP(K240,$W$23:$AN$40,MATCH(L240,$W$23:$AN$23,0),FALSE)</f>
        <v>#N/A</v>
      </c>
      <c r="I240" s="1" t="e">
        <f>VLOOKUP(L240,$W$23:$AN$40,MATCH(M240,$W$23:$AN$23,0),FALSE)</f>
        <v>#N/A</v>
      </c>
      <c r="J240" s="1" t="e">
        <f>VLOOKUP(K240,$W$23:$AN$40,MATCH(M240,$W$23:$AN$23,0),FALSE)</f>
        <v>#N/A</v>
      </c>
      <c r="K240" s="1" t="str">
        <f>MID(A240,1,1)</f>
        <v/>
      </c>
      <c r="L240" s="1" t="str">
        <f>MID(A240,2,1)</f>
        <v/>
      </c>
      <c r="M240" s="1" t="str">
        <f>MID(A240,4,1)</f>
        <v/>
      </c>
      <c r="N240" s="1" t="e">
        <f>VLOOKUP(K240,$W:$X,2,0)</f>
        <v>#N/A</v>
      </c>
      <c r="O240" s="1" t="e">
        <f>VLOOKUP(L240,$Z:$AA,2,0)</f>
        <v>#N/A</v>
      </c>
      <c r="P240" s="1" t="e">
        <f>VLOOKUP(M240,$AC:$AD,2,0)</f>
        <v>#N/A</v>
      </c>
      <c r="Q240" s="1">
        <f>IF(A240&lt;&gt;"",P240+O240+N240+H240+I240+J240,0)</f>
        <v>0</v>
      </c>
    </row>
    <row r="241" spans="1:17" x14ac:dyDescent="0.25">
      <c r="A241" s="41"/>
      <c r="C241" s="41"/>
      <c r="E241" s="1" t="str">
        <f>MID(A241,1,2)</f>
        <v/>
      </c>
      <c r="F241" s="1" t="str">
        <f>MID(C241,3,2)</f>
        <v/>
      </c>
      <c r="G241" s="1" t="str">
        <f>CONCATENATE(K241,M241)</f>
        <v/>
      </c>
      <c r="H241" s="1" t="e">
        <f>VLOOKUP(K241,$W$23:$AN$40,MATCH(L241,$W$23:$AN$23,0),FALSE)</f>
        <v>#N/A</v>
      </c>
      <c r="I241" s="1" t="e">
        <f>VLOOKUP(L241,$W$23:$AN$40,MATCH(M241,$W$23:$AN$23,0),FALSE)</f>
        <v>#N/A</v>
      </c>
      <c r="J241" s="1" t="e">
        <f>VLOOKUP(K241,$W$23:$AN$40,MATCH(M241,$W$23:$AN$23,0),FALSE)</f>
        <v>#N/A</v>
      </c>
      <c r="K241" s="1" t="str">
        <f>MID(A241,1,1)</f>
        <v/>
      </c>
      <c r="L241" s="1" t="str">
        <f>MID(A241,2,1)</f>
        <v/>
      </c>
      <c r="M241" s="1" t="str">
        <f>MID(A241,4,1)</f>
        <v/>
      </c>
      <c r="N241" s="1" t="e">
        <f>VLOOKUP(K241,$W:$X,2,0)</f>
        <v>#N/A</v>
      </c>
      <c r="O241" s="1" t="e">
        <f>VLOOKUP(L241,$Z:$AA,2,0)</f>
        <v>#N/A</v>
      </c>
      <c r="P241" s="1" t="e">
        <f>VLOOKUP(M241,$AC:$AD,2,0)</f>
        <v>#N/A</v>
      </c>
      <c r="Q241" s="1">
        <f>IF(A241&lt;&gt;"",P241+O241+N241+H241+I241+J241,0)</f>
        <v>0</v>
      </c>
    </row>
    <row r="242" spans="1:17" x14ac:dyDescent="0.25">
      <c r="A242" s="41"/>
      <c r="C242" s="41"/>
      <c r="E242" s="1" t="str">
        <f>MID(A242,1,2)</f>
        <v/>
      </c>
      <c r="F242" s="1" t="str">
        <f>MID(C242,3,2)</f>
        <v/>
      </c>
      <c r="G242" s="1" t="str">
        <f>CONCATENATE(K242,M242)</f>
        <v/>
      </c>
      <c r="H242" s="1" t="e">
        <f>VLOOKUP(K242,$W$23:$AN$40,MATCH(L242,$W$23:$AN$23,0),FALSE)</f>
        <v>#N/A</v>
      </c>
      <c r="I242" s="1" t="e">
        <f>VLOOKUP(L242,$W$23:$AN$40,MATCH(M242,$W$23:$AN$23,0),FALSE)</f>
        <v>#N/A</v>
      </c>
      <c r="J242" s="1" t="e">
        <f>VLOOKUP(K242,$W$23:$AN$40,MATCH(M242,$W$23:$AN$23,0),FALSE)</f>
        <v>#N/A</v>
      </c>
      <c r="K242" s="1" t="str">
        <f>MID(A242,1,1)</f>
        <v/>
      </c>
      <c r="L242" s="1" t="str">
        <f>MID(A242,2,1)</f>
        <v/>
      </c>
      <c r="M242" s="1" t="str">
        <f>MID(A242,4,1)</f>
        <v/>
      </c>
      <c r="N242" s="1" t="e">
        <f>VLOOKUP(K242,$W:$X,2,0)</f>
        <v>#N/A</v>
      </c>
      <c r="O242" s="1" t="e">
        <f>VLOOKUP(L242,$Z:$AA,2,0)</f>
        <v>#N/A</v>
      </c>
      <c r="P242" s="1" t="e">
        <f>VLOOKUP(M242,$AC:$AD,2,0)</f>
        <v>#N/A</v>
      </c>
      <c r="Q242" s="1">
        <f>IF(A242&lt;&gt;"",P242+O242+N242+H242+I242+J242,0)</f>
        <v>0</v>
      </c>
    </row>
    <row r="243" spans="1:17" x14ac:dyDescent="0.25">
      <c r="A243" s="41"/>
      <c r="C243" s="41"/>
      <c r="E243" s="1" t="str">
        <f>MID(A243,1,2)</f>
        <v/>
      </c>
      <c r="F243" s="1" t="str">
        <f>MID(C243,3,2)</f>
        <v/>
      </c>
      <c r="G243" s="1" t="str">
        <f>CONCATENATE(K243,M243)</f>
        <v/>
      </c>
      <c r="H243" s="1" t="e">
        <f>VLOOKUP(K243,$W$23:$AN$40,MATCH(L243,$W$23:$AN$23,0),FALSE)</f>
        <v>#N/A</v>
      </c>
      <c r="I243" s="1" t="e">
        <f>VLOOKUP(L243,$W$23:$AN$40,MATCH(M243,$W$23:$AN$23,0),FALSE)</f>
        <v>#N/A</v>
      </c>
      <c r="J243" s="1" t="e">
        <f>VLOOKUP(K243,$W$23:$AN$40,MATCH(M243,$W$23:$AN$23,0),FALSE)</f>
        <v>#N/A</v>
      </c>
      <c r="K243" s="1" t="str">
        <f>MID(A243,1,1)</f>
        <v/>
      </c>
      <c r="L243" s="1" t="str">
        <f>MID(A243,2,1)</f>
        <v/>
      </c>
      <c r="M243" s="1" t="str">
        <f>MID(A243,4,1)</f>
        <v/>
      </c>
      <c r="N243" s="1" t="e">
        <f>VLOOKUP(K243,$W:$X,2,0)</f>
        <v>#N/A</v>
      </c>
      <c r="O243" s="1" t="e">
        <f>VLOOKUP(L243,$Z:$AA,2,0)</f>
        <v>#N/A</v>
      </c>
      <c r="P243" s="1" t="e">
        <f>VLOOKUP(M243,$AC:$AD,2,0)</f>
        <v>#N/A</v>
      </c>
      <c r="Q243" s="1">
        <f>IF(A243&lt;&gt;"",P243+O243+N243+H243+I243+J243,0)</f>
        <v>0</v>
      </c>
    </row>
    <row r="244" spans="1:17" x14ac:dyDescent="0.25">
      <c r="A244" s="41"/>
      <c r="C244" s="41"/>
      <c r="E244" s="1" t="str">
        <f>MID(A244,1,2)</f>
        <v/>
      </c>
      <c r="F244" s="1" t="str">
        <f>MID(C244,3,2)</f>
        <v/>
      </c>
      <c r="G244" s="1" t="str">
        <f>CONCATENATE(K244,M244)</f>
        <v/>
      </c>
      <c r="H244" s="1" t="e">
        <f>VLOOKUP(K244,$W$23:$AN$40,MATCH(L244,$W$23:$AN$23,0),FALSE)</f>
        <v>#N/A</v>
      </c>
      <c r="I244" s="1" t="e">
        <f>VLOOKUP(L244,$W$23:$AN$40,MATCH(M244,$W$23:$AN$23,0),FALSE)</f>
        <v>#N/A</v>
      </c>
      <c r="J244" s="1" t="e">
        <f>VLOOKUP(K244,$W$23:$AN$40,MATCH(M244,$W$23:$AN$23,0),FALSE)</f>
        <v>#N/A</v>
      </c>
      <c r="K244" s="1" t="str">
        <f>MID(A244,1,1)</f>
        <v/>
      </c>
      <c r="L244" s="1" t="str">
        <f>MID(A244,2,1)</f>
        <v/>
      </c>
      <c r="M244" s="1" t="str">
        <f>MID(A244,4,1)</f>
        <v/>
      </c>
      <c r="N244" s="1" t="e">
        <f>VLOOKUP(K244,$W:$X,2,0)</f>
        <v>#N/A</v>
      </c>
      <c r="O244" s="1" t="e">
        <f>VLOOKUP(L244,$Z:$AA,2,0)</f>
        <v>#N/A</v>
      </c>
      <c r="P244" s="1" t="e">
        <f>VLOOKUP(M244,$AC:$AD,2,0)</f>
        <v>#N/A</v>
      </c>
      <c r="Q244" s="1">
        <f>IF(A244&lt;&gt;"",P244+O244+N244+H244+I244+J244,0)</f>
        <v>0</v>
      </c>
    </row>
    <row r="245" spans="1:17" x14ac:dyDescent="0.25">
      <c r="A245" s="41"/>
      <c r="C245" s="41"/>
      <c r="E245" s="1" t="str">
        <f>MID(A245,1,2)</f>
        <v/>
      </c>
      <c r="F245" s="1" t="str">
        <f>MID(C245,3,2)</f>
        <v/>
      </c>
      <c r="G245" s="1" t="str">
        <f>CONCATENATE(K245,M245)</f>
        <v/>
      </c>
      <c r="H245" s="1" t="e">
        <f>VLOOKUP(K245,$W$23:$AN$40,MATCH(L245,$W$23:$AN$23,0),FALSE)</f>
        <v>#N/A</v>
      </c>
      <c r="I245" s="1" t="e">
        <f>VLOOKUP(L245,$W$23:$AN$40,MATCH(M245,$W$23:$AN$23,0),FALSE)</f>
        <v>#N/A</v>
      </c>
      <c r="J245" s="1" t="e">
        <f>VLOOKUP(K245,$W$23:$AN$40,MATCH(M245,$W$23:$AN$23,0),FALSE)</f>
        <v>#N/A</v>
      </c>
      <c r="K245" s="1" t="str">
        <f>MID(A245,1,1)</f>
        <v/>
      </c>
      <c r="L245" s="1" t="str">
        <f>MID(A245,2,1)</f>
        <v/>
      </c>
      <c r="M245" s="1" t="str">
        <f>MID(A245,4,1)</f>
        <v/>
      </c>
      <c r="N245" s="1" t="e">
        <f>VLOOKUP(K245,$W:$X,2,0)</f>
        <v>#N/A</v>
      </c>
      <c r="O245" s="1" t="e">
        <f>VLOOKUP(L245,$Z:$AA,2,0)</f>
        <v>#N/A</v>
      </c>
      <c r="P245" s="1" t="e">
        <f>VLOOKUP(M245,$AC:$AD,2,0)</f>
        <v>#N/A</v>
      </c>
      <c r="Q245" s="1">
        <f>IF(A245&lt;&gt;"",P245+O245+N245+H245+I245+J245,0)</f>
        <v>0</v>
      </c>
    </row>
    <row r="246" spans="1:17" x14ac:dyDescent="0.25">
      <c r="A246" s="41"/>
      <c r="C246" s="41"/>
      <c r="E246" s="1" t="str">
        <f>MID(A246,1,2)</f>
        <v/>
      </c>
      <c r="F246" s="1" t="str">
        <f>MID(C246,3,2)</f>
        <v/>
      </c>
      <c r="G246" s="1" t="str">
        <f>CONCATENATE(K246,M246)</f>
        <v/>
      </c>
      <c r="H246" s="1" t="e">
        <f>VLOOKUP(K246,$W$23:$AN$40,MATCH(L246,$W$23:$AN$23,0),FALSE)</f>
        <v>#N/A</v>
      </c>
      <c r="I246" s="1" t="e">
        <f>VLOOKUP(L246,$W$23:$AN$40,MATCH(M246,$W$23:$AN$23,0),FALSE)</f>
        <v>#N/A</v>
      </c>
      <c r="J246" s="1" t="e">
        <f>VLOOKUP(K246,$W$23:$AN$40,MATCH(M246,$W$23:$AN$23,0),FALSE)</f>
        <v>#N/A</v>
      </c>
      <c r="K246" s="1" t="str">
        <f>MID(A246,1,1)</f>
        <v/>
      </c>
      <c r="L246" s="1" t="str">
        <f>MID(A246,2,1)</f>
        <v/>
      </c>
      <c r="M246" s="1" t="str">
        <f>MID(A246,4,1)</f>
        <v/>
      </c>
      <c r="N246" s="1" t="e">
        <f>VLOOKUP(K246,$W:$X,2,0)</f>
        <v>#N/A</v>
      </c>
      <c r="O246" s="1" t="e">
        <f>VLOOKUP(L246,$Z:$AA,2,0)</f>
        <v>#N/A</v>
      </c>
      <c r="P246" s="1" t="e">
        <f>VLOOKUP(M246,$AC:$AD,2,0)</f>
        <v>#N/A</v>
      </c>
      <c r="Q246" s="1">
        <f>IF(A246&lt;&gt;"",P246+O246+N246+H246+I246+J246,0)</f>
        <v>0</v>
      </c>
    </row>
    <row r="247" spans="1:17" x14ac:dyDescent="0.25">
      <c r="A247" s="41"/>
      <c r="C247" s="41"/>
      <c r="E247" s="1" t="str">
        <f>MID(A247,1,2)</f>
        <v/>
      </c>
      <c r="F247" s="1" t="str">
        <f>MID(C247,3,2)</f>
        <v/>
      </c>
      <c r="G247" s="1" t="str">
        <f>CONCATENATE(K247,M247)</f>
        <v/>
      </c>
      <c r="H247" s="1" t="e">
        <f>VLOOKUP(K247,$W$23:$AN$40,MATCH(L247,$W$23:$AN$23,0),FALSE)</f>
        <v>#N/A</v>
      </c>
      <c r="I247" s="1" t="e">
        <f>VLOOKUP(L247,$W$23:$AN$40,MATCH(M247,$W$23:$AN$23,0),FALSE)</f>
        <v>#N/A</v>
      </c>
      <c r="J247" s="1" t="e">
        <f>VLOOKUP(K247,$W$23:$AN$40,MATCH(M247,$W$23:$AN$23,0),FALSE)</f>
        <v>#N/A</v>
      </c>
      <c r="K247" s="1" t="str">
        <f>MID(A247,1,1)</f>
        <v/>
      </c>
      <c r="L247" s="1" t="str">
        <f>MID(A247,2,1)</f>
        <v/>
      </c>
      <c r="M247" s="1" t="str">
        <f>MID(A247,4,1)</f>
        <v/>
      </c>
      <c r="N247" s="1" t="e">
        <f>VLOOKUP(K247,$W:$X,2,0)</f>
        <v>#N/A</v>
      </c>
      <c r="O247" s="1" t="e">
        <f>VLOOKUP(L247,$Z:$AA,2,0)</f>
        <v>#N/A</v>
      </c>
      <c r="P247" s="1" t="e">
        <f>VLOOKUP(M247,$AC:$AD,2,0)</f>
        <v>#N/A</v>
      </c>
      <c r="Q247" s="1">
        <f>IF(A247&lt;&gt;"",P247+O247+N247+H247+I247+J247,0)</f>
        <v>0</v>
      </c>
    </row>
    <row r="248" spans="1:17" x14ac:dyDescent="0.25">
      <c r="A248" s="41"/>
      <c r="C248" s="41"/>
      <c r="E248" s="1" t="str">
        <f>MID(A248,1,2)</f>
        <v/>
      </c>
      <c r="F248" s="1" t="str">
        <f>MID(C248,3,2)</f>
        <v/>
      </c>
      <c r="G248" s="1" t="str">
        <f>CONCATENATE(K248,M248)</f>
        <v/>
      </c>
      <c r="H248" s="1" t="e">
        <f>VLOOKUP(K248,$W$23:$AN$40,MATCH(L248,$W$23:$AN$23,0),FALSE)</f>
        <v>#N/A</v>
      </c>
      <c r="I248" s="1" t="e">
        <f>VLOOKUP(L248,$W$23:$AN$40,MATCH(M248,$W$23:$AN$23,0),FALSE)</f>
        <v>#N/A</v>
      </c>
      <c r="J248" s="1" t="e">
        <f>VLOOKUP(K248,$W$23:$AN$40,MATCH(M248,$W$23:$AN$23,0),FALSE)</f>
        <v>#N/A</v>
      </c>
      <c r="K248" s="1" t="str">
        <f>MID(A248,1,1)</f>
        <v/>
      </c>
      <c r="L248" s="1" t="str">
        <f>MID(A248,2,1)</f>
        <v/>
      </c>
      <c r="M248" s="1" t="str">
        <f>MID(A248,4,1)</f>
        <v/>
      </c>
      <c r="N248" s="1" t="e">
        <f>VLOOKUP(K248,$W:$X,2,0)</f>
        <v>#N/A</v>
      </c>
      <c r="O248" s="1" t="e">
        <f>VLOOKUP(L248,$Z:$AA,2,0)</f>
        <v>#N/A</v>
      </c>
      <c r="P248" s="1" t="e">
        <f>VLOOKUP(M248,$AC:$AD,2,0)</f>
        <v>#N/A</v>
      </c>
      <c r="Q248" s="1">
        <f>IF(A248&lt;&gt;"",P248+O248+N248+H248+I248+J248,0)</f>
        <v>0</v>
      </c>
    </row>
    <row r="249" spans="1:17" x14ac:dyDescent="0.25">
      <c r="A249" s="41"/>
      <c r="C249" s="41"/>
      <c r="E249" s="1" t="str">
        <f>MID(A249,1,2)</f>
        <v/>
      </c>
      <c r="F249" s="1" t="str">
        <f>MID(C249,3,2)</f>
        <v/>
      </c>
      <c r="G249" s="1" t="str">
        <f>CONCATENATE(K249,M249)</f>
        <v/>
      </c>
      <c r="H249" s="1" t="e">
        <f>VLOOKUP(K249,$W$23:$AN$40,MATCH(L249,$W$23:$AN$23,0),FALSE)</f>
        <v>#N/A</v>
      </c>
      <c r="I249" s="1" t="e">
        <f>VLOOKUP(L249,$W$23:$AN$40,MATCH(M249,$W$23:$AN$23,0),FALSE)</f>
        <v>#N/A</v>
      </c>
      <c r="J249" s="1" t="e">
        <f>VLOOKUP(K249,$W$23:$AN$40,MATCH(M249,$W$23:$AN$23,0),FALSE)</f>
        <v>#N/A</v>
      </c>
      <c r="K249" s="1" t="str">
        <f>MID(A249,1,1)</f>
        <v/>
      </c>
      <c r="L249" s="1" t="str">
        <f>MID(A249,2,1)</f>
        <v/>
      </c>
      <c r="M249" s="1" t="str">
        <f>MID(A249,4,1)</f>
        <v/>
      </c>
      <c r="N249" s="1" t="e">
        <f>VLOOKUP(K249,$W:$X,2,0)</f>
        <v>#N/A</v>
      </c>
      <c r="O249" s="1" t="e">
        <f>VLOOKUP(L249,$Z:$AA,2,0)</f>
        <v>#N/A</v>
      </c>
      <c r="P249" s="1" t="e">
        <f>VLOOKUP(M249,$AC:$AD,2,0)</f>
        <v>#N/A</v>
      </c>
      <c r="Q249" s="1">
        <f>IF(A249&lt;&gt;"",P249+O249+N249+H249+I249+J249,0)</f>
        <v>0</v>
      </c>
    </row>
    <row r="250" spans="1:17" x14ac:dyDescent="0.25">
      <c r="A250" s="41"/>
      <c r="C250" s="41"/>
      <c r="E250" s="1" t="str">
        <f>MID(A250,1,2)</f>
        <v/>
      </c>
      <c r="F250" s="1" t="str">
        <f>MID(C250,3,2)</f>
        <v/>
      </c>
      <c r="G250" s="1" t="str">
        <f>CONCATENATE(K250,M250)</f>
        <v/>
      </c>
      <c r="H250" s="1" t="e">
        <f>VLOOKUP(K250,$W$23:$AN$40,MATCH(L250,$W$23:$AN$23,0),FALSE)</f>
        <v>#N/A</v>
      </c>
      <c r="I250" s="1" t="e">
        <f>VLOOKUP(L250,$W$23:$AN$40,MATCH(M250,$W$23:$AN$23,0),FALSE)</f>
        <v>#N/A</v>
      </c>
      <c r="J250" s="1" t="e">
        <f>VLOOKUP(K250,$W$23:$AN$40,MATCH(M250,$W$23:$AN$23,0),FALSE)</f>
        <v>#N/A</v>
      </c>
      <c r="K250" s="1" t="str">
        <f>MID(A250,1,1)</f>
        <v/>
      </c>
      <c r="L250" s="1" t="str">
        <f>MID(A250,2,1)</f>
        <v/>
      </c>
      <c r="M250" s="1" t="str">
        <f>MID(A250,4,1)</f>
        <v/>
      </c>
      <c r="N250" s="1" t="e">
        <f>VLOOKUP(K250,$W:$X,2,0)</f>
        <v>#N/A</v>
      </c>
      <c r="O250" s="1" t="e">
        <f>VLOOKUP(L250,$Z:$AA,2,0)</f>
        <v>#N/A</v>
      </c>
      <c r="P250" s="1" t="e">
        <f>VLOOKUP(M250,$AC:$AD,2,0)</f>
        <v>#N/A</v>
      </c>
      <c r="Q250" s="1">
        <f>IF(A250&lt;&gt;"",P250+O250+N250+H250+I250+J250,0)</f>
        <v>0</v>
      </c>
    </row>
    <row r="251" spans="1:17" x14ac:dyDescent="0.25">
      <c r="A251" s="41"/>
      <c r="C251" s="41"/>
      <c r="E251" s="1" t="str">
        <f>MID(A251,1,2)</f>
        <v/>
      </c>
      <c r="F251" s="1" t="str">
        <f>MID(C251,3,2)</f>
        <v/>
      </c>
      <c r="G251" s="1" t="str">
        <f>CONCATENATE(K251,M251)</f>
        <v/>
      </c>
      <c r="H251" s="1" t="e">
        <f>VLOOKUP(K251,$W$23:$AN$40,MATCH(L251,$W$23:$AN$23,0),FALSE)</f>
        <v>#N/A</v>
      </c>
      <c r="I251" s="1" t="e">
        <f>VLOOKUP(L251,$W$23:$AN$40,MATCH(M251,$W$23:$AN$23,0),FALSE)</f>
        <v>#N/A</v>
      </c>
      <c r="J251" s="1" t="e">
        <f>VLOOKUP(K251,$W$23:$AN$40,MATCH(M251,$W$23:$AN$23,0),FALSE)</f>
        <v>#N/A</v>
      </c>
      <c r="K251" s="1" t="str">
        <f>MID(A251,1,1)</f>
        <v/>
      </c>
      <c r="L251" s="1" t="str">
        <f>MID(A251,2,1)</f>
        <v/>
      </c>
      <c r="M251" s="1" t="str">
        <f>MID(A251,4,1)</f>
        <v/>
      </c>
      <c r="N251" s="1" t="e">
        <f>VLOOKUP(K251,$W:$X,2,0)</f>
        <v>#N/A</v>
      </c>
      <c r="O251" s="1" t="e">
        <f>VLOOKUP(L251,$Z:$AA,2,0)</f>
        <v>#N/A</v>
      </c>
      <c r="P251" s="1" t="e">
        <f>VLOOKUP(M251,$AC:$AD,2,0)</f>
        <v>#N/A</v>
      </c>
      <c r="Q251" s="1">
        <f>IF(A251&lt;&gt;"",P251+O251+N251+H251+I251+J251,0)</f>
        <v>0</v>
      </c>
    </row>
    <row r="252" spans="1:17" x14ac:dyDescent="0.25">
      <c r="A252" s="41"/>
      <c r="C252" s="41"/>
      <c r="E252" s="1" t="str">
        <f>MID(A252,1,2)</f>
        <v/>
      </c>
      <c r="F252" s="1" t="str">
        <f>MID(C252,3,2)</f>
        <v/>
      </c>
      <c r="G252" s="1" t="str">
        <f>CONCATENATE(K252,M252)</f>
        <v/>
      </c>
      <c r="H252" s="1" t="e">
        <f>VLOOKUP(K252,$W$23:$AN$40,MATCH(L252,$W$23:$AN$23,0),FALSE)</f>
        <v>#N/A</v>
      </c>
      <c r="I252" s="1" t="e">
        <f>VLOOKUP(L252,$W$23:$AN$40,MATCH(M252,$W$23:$AN$23,0),FALSE)</f>
        <v>#N/A</v>
      </c>
      <c r="J252" s="1" t="e">
        <f>VLOOKUP(K252,$W$23:$AN$40,MATCH(M252,$W$23:$AN$23,0),FALSE)</f>
        <v>#N/A</v>
      </c>
      <c r="K252" s="1" t="str">
        <f>MID(A252,1,1)</f>
        <v/>
      </c>
      <c r="L252" s="1" t="str">
        <f>MID(A252,2,1)</f>
        <v/>
      </c>
      <c r="M252" s="1" t="str">
        <f>MID(A252,4,1)</f>
        <v/>
      </c>
      <c r="N252" s="1" t="e">
        <f>VLOOKUP(K252,$W:$X,2,0)</f>
        <v>#N/A</v>
      </c>
      <c r="O252" s="1" t="e">
        <f>VLOOKUP(L252,$Z:$AA,2,0)</f>
        <v>#N/A</v>
      </c>
      <c r="P252" s="1" t="e">
        <f>VLOOKUP(M252,$AC:$AD,2,0)</f>
        <v>#N/A</v>
      </c>
      <c r="Q252" s="1">
        <f>IF(A252&lt;&gt;"",P252+O252+N252+H252+I252+J252,0)</f>
        <v>0</v>
      </c>
    </row>
    <row r="253" spans="1:17" x14ac:dyDescent="0.25">
      <c r="A253" s="41"/>
      <c r="C253" s="41"/>
      <c r="E253" s="1" t="str">
        <f>MID(A253,1,2)</f>
        <v/>
      </c>
      <c r="F253" s="1" t="str">
        <f>MID(C253,3,2)</f>
        <v/>
      </c>
      <c r="G253" s="1" t="str">
        <f>CONCATENATE(K253,M253)</f>
        <v/>
      </c>
      <c r="H253" s="1" t="e">
        <f>VLOOKUP(K253,$W$23:$AN$40,MATCH(L253,$W$23:$AN$23,0),FALSE)</f>
        <v>#N/A</v>
      </c>
      <c r="I253" s="1" t="e">
        <f>VLOOKUP(L253,$W$23:$AN$40,MATCH(M253,$W$23:$AN$23,0),FALSE)</f>
        <v>#N/A</v>
      </c>
      <c r="J253" s="1" t="e">
        <f>VLOOKUP(K253,$W$23:$AN$40,MATCH(M253,$W$23:$AN$23,0),FALSE)</f>
        <v>#N/A</v>
      </c>
      <c r="K253" s="1" t="str">
        <f>MID(A253,1,1)</f>
        <v/>
      </c>
      <c r="L253" s="1" t="str">
        <f>MID(A253,2,1)</f>
        <v/>
      </c>
      <c r="M253" s="1" t="str">
        <f>MID(A253,4,1)</f>
        <v/>
      </c>
      <c r="N253" s="1" t="e">
        <f>VLOOKUP(K253,$W:$X,2,0)</f>
        <v>#N/A</v>
      </c>
      <c r="O253" s="1" t="e">
        <f>VLOOKUP(L253,$Z:$AA,2,0)</f>
        <v>#N/A</v>
      </c>
      <c r="P253" s="1" t="e">
        <f>VLOOKUP(M253,$AC:$AD,2,0)</f>
        <v>#N/A</v>
      </c>
      <c r="Q253" s="1">
        <f>IF(A253&lt;&gt;"",P253+O253+N253+H253+I253+J253,0)</f>
        <v>0</v>
      </c>
    </row>
    <row r="254" spans="1:17" x14ac:dyDescent="0.25">
      <c r="A254" s="41"/>
      <c r="C254" s="41"/>
      <c r="E254" s="1" t="str">
        <f>MID(A254,1,2)</f>
        <v/>
      </c>
      <c r="F254" s="1" t="str">
        <f>MID(C254,3,2)</f>
        <v/>
      </c>
      <c r="G254" s="1" t="str">
        <f>CONCATENATE(K254,M254)</f>
        <v/>
      </c>
      <c r="H254" s="1" t="e">
        <f>VLOOKUP(K254,$W$23:$AN$40,MATCH(L254,$W$23:$AN$23,0),FALSE)</f>
        <v>#N/A</v>
      </c>
      <c r="I254" s="1" t="e">
        <f>VLOOKUP(L254,$W$23:$AN$40,MATCH(M254,$W$23:$AN$23,0),FALSE)</f>
        <v>#N/A</v>
      </c>
      <c r="J254" s="1" t="e">
        <f>VLOOKUP(K254,$W$23:$AN$40,MATCH(M254,$W$23:$AN$23,0),FALSE)</f>
        <v>#N/A</v>
      </c>
      <c r="K254" s="1" t="str">
        <f>MID(A254,1,1)</f>
        <v/>
      </c>
      <c r="L254" s="1" t="str">
        <f>MID(A254,2,1)</f>
        <v/>
      </c>
      <c r="M254" s="1" t="str">
        <f>MID(A254,4,1)</f>
        <v/>
      </c>
      <c r="N254" s="1" t="e">
        <f>VLOOKUP(K254,$W:$X,2,0)</f>
        <v>#N/A</v>
      </c>
      <c r="O254" s="1" t="e">
        <f>VLOOKUP(L254,$Z:$AA,2,0)</f>
        <v>#N/A</v>
      </c>
      <c r="P254" s="1" t="e">
        <f>VLOOKUP(M254,$AC:$AD,2,0)</f>
        <v>#N/A</v>
      </c>
      <c r="Q254" s="1">
        <f>IF(A254&lt;&gt;"",P254+O254+N254+H254+I254+J254,0)</f>
        <v>0</v>
      </c>
    </row>
    <row r="255" spans="1:17" x14ac:dyDescent="0.25">
      <c r="A255" s="41"/>
      <c r="C255" s="41"/>
      <c r="E255" s="1" t="str">
        <f>MID(A255,1,2)</f>
        <v/>
      </c>
      <c r="F255" s="1" t="str">
        <f>MID(C255,3,2)</f>
        <v/>
      </c>
      <c r="G255" s="1" t="str">
        <f>CONCATENATE(K255,M255)</f>
        <v/>
      </c>
      <c r="H255" s="1" t="e">
        <f>VLOOKUP(K255,$W$23:$AN$40,MATCH(L255,$W$23:$AN$23,0),FALSE)</f>
        <v>#N/A</v>
      </c>
      <c r="I255" s="1" t="e">
        <f>VLOOKUP(L255,$W$23:$AN$40,MATCH(M255,$W$23:$AN$23,0),FALSE)</f>
        <v>#N/A</v>
      </c>
      <c r="J255" s="1" t="e">
        <f>VLOOKUP(K255,$W$23:$AN$40,MATCH(M255,$W$23:$AN$23,0),FALSE)</f>
        <v>#N/A</v>
      </c>
      <c r="K255" s="1" t="str">
        <f>MID(A255,1,1)</f>
        <v/>
      </c>
      <c r="L255" s="1" t="str">
        <f>MID(A255,2,1)</f>
        <v/>
      </c>
      <c r="M255" s="1" t="str">
        <f>MID(A255,4,1)</f>
        <v/>
      </c>
      <c r="N255" s="1" t="e">
        <f>VLOOKUP(K255,$W:$X,2,0)</f>
        <v>#N/A</v>
      </c>
      <c r="O255" s="1" t="e">
        <f>VLOOKUP(L255,$Z:$AA,2,0)</f>
        <v>#N/A</v>
      </c>
      <c r="P255" s="1" t="e">
        <f>VLOOKUP(M255,$AC:$AD,2,0)</f>
        <v>#N/A</v>
      </c>
      <c r="Q255" s="1">
        <f>IF(A255&lt;&gt;"",P255+O255+N255+H255+I255+J255,0)</f>
        <v>0</v>
      </c>
    </row>
    <row r="256" spans="1:17" x14ac:dyDescent="0.25">
      <c r="A256" s="41"/>
      <c r="C256" s="41"/>
      <c r="E256" s="1" t="str">
        <f>MID(A256,1,2)</f>
        <v/>
      </c>
      <c r="F256" s="1" t="str">
        <f>MID(C256,3,2)</f>
        <v/>
      </c>
      <c r="G256" s="1" t="str">
        <f>CONCATENATE(K256,M256)</f>
        <v/>
      </c>
      <c r="H256" s="1" t="e">
        <f>VLOOKUP(K256,$W$23:$AN$40,MATCH(L256,$W$23:$AN$23,0),FALSE)</f>
        <v>#N/A</v>
      </c>
      <c r="I256" s="1" t="e">
        <f>VLOOKUP(L256,$W$23:$AN$40,MATCH(M256,$W$23:$AN$23,0),FALSE)</f>
        <v>#N/A</v>
      </c>
      <c r="J256" s="1" t="e">
        <f>VLOOKUP(K256,$W$23:$AN$40,MATCH(M256,$W$23:$AN$23,0),FALSE)</f>
        <v>#N/A</v>
      </c>
      <c r="K256" s="1" t="str">
        <f>MID(A256,1,1)</f>
        <v/>
      </c>
      <c r="L256" s="1" t="str">
        <f>MID(A256,2,1)</f>
        <v/>
      </c>
      <c r="M256" s="1" t="str">
        <f>MID(A256,4,1)</f>
        <v/>
      </c>
      <c r="N256" s="1" t="e">
        <f>VLOOKUP(K256,$W:$X,2,0)</f>
        <v>#N/A</v>
      </c>
      <c r="O256" s="1" t="e">
        <f>VLOOKUP(L256,$Z:$AA,2,0)</f>
        <v>#N/A</v>
      </c>
      <c r="P256" s="1" t="e">
        <f>VLOOKUP(M256,$AC:$AD,2,0)</f>
        <v>#N/A</v>
      </c>
      <c r="Q256" s="1">
        <f>IF(A256&lt;&gt;"",P256+O256+N256+H256+I256+J256,0)</f>
        <v>0</v>
      </c>
    </row>
    <row r="257" spans="1:17" x14ac:dyDescent="0.25">
      <c r="A257" s="41"/>
      <c r="C257" s="41"/>
      <c r="E257" s="1" t="str">
        <f>MID(A257,1,2)</f>
        <v/>
      </c>
      <c r="F257" s="1" t="str">
        <f>MID(C257,3,2)</f>
        <v/>
      </c>
      <c r="G257" s="1" t="str">
        <f>CONCATENATE(K257,M257)</f>
        <v/>
      </c>
      <c r="H257" s="1" t="e">
        <f>VLOOKUP(K257,$W$23:$AN$40,MATCH(L257,$W$23:$AN$23,0),FALSE)</f>
        <v>#N/A</v>
      </c>
      <c r="I257" s="1" t="e">
        <f>VLOOKUP(L257,$W$23:$AN$40,MATCH(M257,$W$23:$AN$23,0),FALSE)</f>
        <v>#N/A</v>
      </c>
      <c r="J257" s="1" t="e">
        <f>VLOOKUP(K257,$W$23:$AN$40,MATCH(M257,$W$23:$AN$23,0),FALSE)</f>
        <v>#N/A</v>
      </c>
      <c r="K257" s="1" t="str">
        <f>MID(A257,1,1)</f>
        <v/>
      </c>
      <c r="L257" s="1" t="str">
        <f>MID(A257,2,1)</f>
        <v/>
      </c>
      <c r="M257" s="1" t="str">
        <f>MID(A257,4,1)</f>
        <v/>
      </c>
      <c r="N257" s="1" t="e">
        <f>VLOOKUP(K257,$W:$X,2,0)</f>
        <v>#N/A</v>
      </c>
      <c r="O257" s="1" t="e">
        <f>VLOOKUP(L257,$Z:$AA,2,0)</f>
        <v>#N/A</v>
      </c>
      <c r="P257" s="1" t="e">
        <f>VLOOKUP(M257,$AC:$AD,2,0)</f>
        <v>#N/A</v>
      </c>
      <c r="Q257" s="1">
        <f>IF(A257&lt;&gt;"",P257+O257+N257+H257+I257+J257,0)</f>
        <v>0</v>
      </c>
    </row>
    <row r="258" spans="1:17" x14ac:dyDescent="0.25">
      <c r="A258" s="41"/>
      <c r="C258" s="41"/>
      <c r="E258" s="1" t="str">
        <f>MID(A258,1,2)</f>
        <v/>
      </c>
      <c r="F258" s="1" t="str">
        <f>MID(C258,3,2)</f>
        <v/>
      </c>
      <c r="G258" s="1" t="str">
        <f>CONCATENATE(K258,M258)</f>
        <v/>
      </c>
      <c r="H258" s="1" t="e">
        <f>VLOOKUP(K258,$W$23:$AN$40,MATCH(L258,$W$23:$AN$23,0),FALSE)</f>
        <v>#N/A</v>
      </c>
      <c r="I258" s="1" t="e">
        <f>VLOOKUP(L258,$W$23:$AN$40,MATCH(M258,$W$23:$AN$23,0),FALSE)</f>
        <v>#N/A</v>
      </c>
      <c r="J258" s="1" t="e">
        <f>VLOOKUP(K258,$W$23:$AN$40,MATCH(M258,$W$23:$AN$23,0),FALSE)</f>
        <v>#N/A</v>
      </c>
      <c r="K258" s="1" t="str">
        <f>MID(A258,1,1)</f>
        <v/>
      </c>
      <c r="L258" s="1" t="str">
        <f>MID(A258,2,1)</f>
        <v/>
      </c>
      <c r="M258" s="1" t="str">
        <f>MID(A258,4,1)</f>
        <v/>
      </c>
      <c r="N258" s="1" t="e">
        <f>VLOOKUP(K258,$W:$X,2,0)</f>
        <v>#N/A</v>
      </c>
      <c r="O258" s="1" t="e">
        <f>VLOOKUP(L258,$Z:$AA,2,0)</f>
        <v>#N/A</v>
      </c>
      <c r="P258" s="1" t="e">
        <f>VLOOKUP(M258,$AC:$AD,2,0)</f>
        <v>#N/A</v>
      </c>
      <c r="Q258" s="1">
        <f>IF(A258&lt;&gt;"",P258+O258+N258+H258+I258+J258,0)</f>
        <v>0</v>
      </c>
    </row>
    <row r="259" spans="1:17" x14ac:dyDescent="0.25">
      <c r="A259" s="41"/>
      <c r="C259" s="41"/>
      <c r="E259" s="1" t="str">
        <f>MID(A259,1,2)</f>
        <v/>
      </c>
      <c r="F259" s="1" t="str">
        <f>MID(C259,3,2)</f>
        <v/>
      </c>
      <c r="G259" s="1" t="str">
        <f>CONCATENATE(K259,M259)</f>
        <v/>
      </c>
      <c r="H259" s="1" t="e">
        <f>VLOOKUP(K259,$W$23:$AN$40,MATCH(L259,$W$23:$AN$23,0),FALSE)</f>
        <v>#N/A</v>
      </c>
      <c r="I259" s="1" t="e">
        <f>VLOOKUP(L259,$W$23:$AN$40,MATCH(M259,$W$23:$AN$23,0),FALSE)</f>
        <v>#N/A</v>
      </c>
      <c r="J259" s="1" t="e">
        <f>VLOOKUP(K259,$W$23:$AN$40,MATCH(M259,$W$23:$AN$23,0),FALSE)</f>
        <v>#N/A</v>
      </c>
      <c r="K259" s="1" t="str">
        <f>MID(A259,1,1)</f>
        <v/>
      </c>
      <c r="L259" s="1" t="str">
        <f>MID(A259,2,1)</f>
        <v/>
      </c>
      <c r="M259" s="1" t="str">
        <f>MID(A259,4,1)</f>
        <v/>
      </c>
      <c r="N259" s="1" t="e">
        <f>VLOOKUP(K259,$W:$X,2,0)</f>
        <v>#N/A</v>
      </c>
      <c r="O259" s="1" t="e">
        <f>VLOOKUP(L259,$Z:$AA,2,0)</f>
        <v>#N/A</v>
      </c>
      <c r="P259" s="1" t="e">
        <f>VLOOKUP(M259,$AC:$AD,2,0)</f>
        <v>#N/A</v>
      </c>
      <c r="Q259" s="1">
        <f>IF(A259&lt;&gt;"",P259+O259+N259+H259+I259+J259,0)</f>
        <v>0</v>
      </c>
    </row>
    <row r="260" spans="1:17" x14ac:dyDescent="0.25">
      <c r="A260" s="41"/>
      <c r="C260" s="41"/>
      <c r="E260" s="1" t="str">
        <f>MID(A260,1,2)</f>
        <v/>
      </c>
      <c r="F260" s="1" t="str">
        <f>MID(C260,3,2)</f>
        <v/>
      </c>
      <c r="G260" s="1" t="str">
        <f>CONCATENATE(K260,M260)</f>
        <v/>
      </c>
      <c r="H260" s="1" t="e">
        <f>VLOOKUP(K260,$W$23:$AN$40,MATCH(L260,$W$23:$AN$23,0),FALSE)</f>
        <v>#N/A</v>
      </c>
      <c r="I260" s="1" t="e">
        <f>VLOOKUP(L260,$W$23:$AN$40,MATCH(M260,$W$23:$AN$23,0),FALSE)</f>
        <v>#N/A</v>
      </c>
      <c r="J260" s="1" t="e">
        <f>VLOOKUP(K260,$W$23:$AN$40,MATCH(M260,$W$23:$AN$23,0),FALSE)</f>
        <v>#N/A</v>
      </c>
      <c r="K260" s="1" t="str">
        <f>MID(A260,1,1)</f>
        <v/>
      </c>
      <c r="L260" s="1" t="str">
        <f>MID(A260,2,1)</f>
        <v/>
      </c>
      <c r="M260" s="1" t="str">
        <f>MID(A260,4,1)</f>
        <v/>
      </c>
      <c r="N260" s="1" t="e">
        <f>VLOOKUP(K260,$W:$X,2,0)</f>
        <v>#N/A</v>
      </c>
      <c r="O260" s="1" t="e">
        <f>VLOOKUP(L260,$Z:$AA,2,0)</f>
        <v>#N/A</v>
      </c>
      <c r="P260" s="1" t="e">
        <f>VLOOKUP(M260,$AC:$AD,2,0)</f>
        <v>#N/A</v>
      </c>
      <c r="Q260" s="1">
        <f>IF(A260&lt;&gt;"",P260+O260+N260+H260+I260+J260,0)</f>
        <v>0</v>
      </c>
    </row>
    <row r="261" spans="1:17" x14ac:dyDescent="0.25">
      <c r="A261" s="41"/>
      <c r="C261" s="41"/>
      <c r="E261" s="1" t="str">
        <f>MID(A261,1,2)</f>
        <v/>
      </c>
      <c r="F261" s="1" t="str">
        <f>MID(C261,3,2)</f>
        <v/>
      </c>
      <c r="G261" s="1" t="str">
        <f>CONCATENATE(K261,M261)</f>
        <v/>
      </c>
      <c r="H261" s="1" t="e">
        <f>VLOOKUP(K261,$W$23:$AN$40,MATCH(L261,$W$23:$AN$23,0),FALSE)</f>
        <v>#N/A</v>
      </c>
      <c r="I261" s="1" t="e">
        <f>VLOOKUP(L261,$W$23:$AN$40,MATCH(M261,$W$23:$AN$23,0),FALSE)</f>
        <v>#N/A</v>
      </c>
      <c r="J261" s="1" t="e">
        <f>VLOOKUP(K261,$W$23:$AN$40,MATCH(M261,$W$23:$AN$23,0),FALSE)</f>
        <v>#N/A</v>
      </c>
      <c r="K261" s="1" t="str">
        <f>MID(A261,1,1)</f>
        <v/>
      </c>
      <c r="L261" s="1" t="str">
        <f>MID(A261,2,1)</f>
        <v/>
      </c>
      <c r="M261" s="1" t="str">
        <f>MID(A261,4,1)</f>
        <v/>
      </c>
      <c r="N261" s="1" t="e">
        <f>VLOOKUP(K261,$W:$X,2,0)</f>
        <v>#N/A</v>
      </c>
      <c r="O261" s="1" t="e">
        <f>VLOOKUP(L261,$Z:$AA,2,0)</f>
        <v>#N/A</v>
      </c>
      <c r="P261" s="1" t="e">
        <f>VLOOKUP(M261,$AC:$AD,2,0)</f>
        <v>#N/A</v>
      </c>
      <c r="Q261" s="1">
        <f>IF(A261&lt;&gt;"",P261+O261+N261+H261+I261+J261,0)</f>
        <v>0</v>
      </c>
    </row>
    <row r="262" spans="1:17" x14ac:dyDescent="0.25">
      <c r="A262" s="41"/>
      <c r="C262" s="41"/>
      <c r="E262" s="1" t="str">
        <f>MID(A262,1,2)</f>
        <v/>
      </c>
      <c r="F262" s="1" t="str">
        <f>MID(C262,3,2)</f>
        <v/>
      </c>
      <c r="G262" s="1" t="str">
        <f>CONCATENATE(K262,M262)</f>
        <v/>
      </c>
      <c r="H262" s="1" t="e">
        <f>VLOOKUP(K262,$W$23:$AN$40,MATCH(L262,$W$23:$AN$23,0),FALSE)</f>
        <v>#N/A</v>
      </c>
      <c r="I262" s="1" t="e">
        <f>VLOOKUP(L262,$W$23:$AN$40,MATCH(M262,$W$23:$AN$23,0),FALSE)</f>
        <v>#N/A</v>
      </c>
      <c r="J262" s="1" t="e">
        <f>VLOOKUP(K262,$W$23:$AN$40,MATCH(M262,$W$23:$AN$23,0),FALSE)</f>
        <v>#N/A</v>
      </c>
      <c r="K262" s="1" t="str">
        <f>MID(A262,1,1)</f>
        <v/>
      </c>
      <c r="L262" s="1" t="str">
        <f>MID(A262,2,1)</f>
        <v/>
      </c>
      <c r="M262" s="1" t="str">
        <f>MID(A262,4,1)</f>
        <v/>
      </c>
      <c r="N262" s="1" t="e">
        <f>VLOOKUP(K262,$W:$X,2,0)</f>
        <v>#N/A</v>
      </c>
      <c r="O262" s="1" t="e">
        <f>VLOOKUP(L262,$Z:$AA,2,0)</f>
        <v>#N/A</v>
      </c>
      <c r="P262" s="1" t="e">
        <f>VLOOKUP(M262,$AC:$AD,2,0)</f>
        <v>#N/A</v>
      </c>
      <c r="Q262" s="1">
        <f>IF(A262&lt;&gt;"",P262+O262+N262+H262+I262+J262,0)</f>
        <v>0</v>
      </c>
    </row>
    <row r="263" spans="1:17" x14ac:dyDescent="0.25">
      <c r="A263" s="41"/>
      <c r="C263" s="41"/>
      <c r="E263" s="1" t="str">
        <f>MID(A263,1,2)</f>
        <v/>
      </c>
      <c r="F263" s="1" t="str">
        <f>MID(C263,3,2)</f>
        <v/>
      </c>
      <c r="G263" s="1" t="str">
        <f>CONCATENATE(K263,M263)</f>
        <v/>
      </c>
      <c r="H263" s="1" t="e">
        <f>VLOOKUP(K263,$W$23:$AN$40,MATCH(L263,$W$23:$AN$23,0),FALSE)</f>
        <v>#N/A</v>
      </c>
      <c r="I263" s="1" t="e">
        <f>VLOOKUP(L263,$W$23:$AN$40,MATCH(M263,$W$23:$AN$23,0),FALSE)</f>
        <v>#N/A</v>
      </c>
      <c r="J263" s="1" t="e">
        <f>VLOOKUP(K263,$W$23:$AN$40,MATCH(M263,$W$23:$AN$23,0),FALSE)</f>
        <v>#N/A</v>
      </c>
      <c r="K263" s="1" t="str">
        <f>MID(A263,1,1)</f>
        <v/>
      </c>
      <c r="L263" s="1" t="str">
        <f>MID(A263,2,1)</f>
        <v/>
      </c>
      <c r="M263" s="1" t="str">
        <f>MID(A263,4,1)</f>
        <v/>
      </c>
      <c r="N263" s="1" t="e">
        <f>VLOOKUP(K263,$W:$X,2,0)</f>
        <v>#N/A</v>
      </c>
      <c r="O263" s="1" t="e">
        <f>VLOOKUP(L263,$Z:$AA,2,0)</f>
        <v>#N/A</v>
      </c>
      <c r="P263" s="1" t="e">
        <f>VLOOKUP(M263,$AC:$AD,2,0)</f>
        <v>#N/A</v>
      </c>
      <c r="Q263" s="1">
        <f>IF(A263&lt;&gt;"",P263+O263+N263+H263+I263+J263,0)</f>
        <v>0</v>
      </c>
    </row>
    <row r="264" spans="1:17" x14ac:dyDescent="0.25">
      <c r="A264" s="41"/>
      <c r="C264" s="41"/>
      <c r="E264" s="1" t="str">
        <f>MID(A264,1,2)</f>
        <v/>
      </c>
      <c r="F264" s="1" t="str">
        <f>MID(C264,3,2)</f>
        <v/>
      </c>
      <c r="G264" s="1" t="str">
        <f>CONCATENATE(K264,M264)</f>
        <v/>
      </c>
      <c r="H264" s="1" t="e">
        <f>VLOOKUP(K264,$W$23:$AN$40,MATCH(L264,$W$23:$AN$23,0),FALSE)</f>
        <v>#N/A</v>
      </c>
      <c r="I264" s="1" t="e">
        <f>VLOOKUP(L264,$W$23:$AN$40,MATCH(M264,$W$23:$AN$23,0),FALSE)</f>
        <v>#N/A</v>
      </c>
      <c r="J264" s="1" t="e">
        <f>VLOOKUP(K264,$W$23:$AN$40,MATCH(M264,$W$23:$AN$23,0),FALSE)</f>
        <v>#N/A</v>
      </c>
      <c r="K264" s="1" t="str">
        <f>MID(A264,1,1)</f>
        <v/>
      </c>
      <c r="L264" s="1" t="str">
        <f>MID(A264,2,1)</f>
        <v/>
      </c>
      <c r="M264" s="1" t="str">
        <f>MID(A264,4,1)</f>
        <v/>
      </c>
      <c r="N264" s="1" t="e">
        <f>VLOOKUP(K264,$W:$X,2,0)</f>
        <v>#N/A</v>
      </c>
      <c r="O264" s="1" t="e">
        <f>VLOOKUP(L264,$Z:$AA,2,0)</f>
        <v>#N/A</v>
      </c>
      <c r="P264" s="1" t="e">
        <f>VLOOKUP(M264,$AC:$AD,2,0)</f>
        <v>#N/A</v>
      </c>
      <c r="Q264" s="1">
        <f>IF(A264&lt;&gt;"",P264+O264+N264+H264+I264+J264,0)</f>
        <v>0</v>
      </c>
    </row>
    <row r="265" spans="1:17" x14ac:dyDescent="0.25">
      <c r="A265" s="41"/>
      <c r="C265" s="41"/>
      <c r="E265" s="1" t="str">
        <f>MID(A265,1,2)</f>
        <v/>
      </c>
      <c r="F265" s="1" t="str">
        <f>MID(C265,3,2)</f>
        <v/>
      </c>
      <c r="G265" s="1" t="str">
        <f>CONCATENATE(K265,M265)</f>
        <v/>
      </c>
      <c r="H265" s="1" t="e">
        <f>VLOOKUP(K265,$W$23:$AN$40,MATCH(L265,$W$23:$AN$23,0),FALSE)</f>
        <v>#N/A</v>
      </c>
      <c r="I265" s="1" t="e">
        <f>VLOOKUP(L265,$W$23:$AN$40,MATCH(M265,$W$23:$AN$23,0),FALSE)</f>
        <v>#N/A</v>
      </c>
      <c r="J265" s="1" t="e">
        <f>VLOOKUP(K265,$W$23:$AN$40,MATCH(M265,$W$23:$AN$23,0),FALSE)</f>
        <v>#N/A</v>
      </c>
      <c r="K265" s="1" t="str">
        <f>MID(A265,1,1)</f>
        <v/>
      </c>
      <c r="L265" s="1" t="str">
        <f>MID(A265,2,1)</f>
        <v/>
      </c>
      <c r="M265" s="1" t="str">
        <f>MID(A265,4,1)</f>
        <v/>
      </c>
      <c r="N265" s="1" t="e">
        <f>VLOOKUP(K265,$W:$X,2,0)</f>
        <v>#N/A</v>
      </c>
      <c r="O265" s="1" t="e">
        <f>VLOOKUP(L265,$Z:$AA,2,0)</f>
        <v>#N/A</v>
      </c>
      <c r="P265" s="1" t="e">
        <f>VLOOKUP(M265,$AC:$AD,2,0)</f>
        <v>#N/A</v>
      </c>
      <c r="Q265" s="1">
        <f>IF(A265&lt;&gt;"",P265+O265+N265+H265+I265+J265,0)</f>
        <v>0</v>
      </c>
    </row>
    <row r="266" spans="1:17" x14ac:dyDescent="0.25">
      <c r="A266" s="41"/>
      <c r="C266" s="41"/>
      <c r="E266" s="1" t="str">
        <f>MID(A266,1,2)</f>
        <v/>
      </c>
      <c r="F266" s="1" t="str">
        <f>MID(C266,3,2)</f>
        <v/>
      </c>
      <c r="G266" s="1" t="str">
        <f>CONCATENATE(K266,M266)</f>
        <v/>
      </c>
      <c r="H266" s="1" t="e">
        <f>VLOOKUP(K266,$W$23:$AN$40,MATCH(L266,$W$23:$AN$23,0),FALSE)</f>
        <v>#N/A</v>
      </c>
      <c r="I266" s="1" t="e">
        <f>VLOOKUP(L266,$W$23:$AN$40,MATCH(M266,$W$23:$AN$23,0),FALSE)</f>
        <v>#N/A</v>
      </c>
      <c r="J266" s="1" t="e">
        <f>VLOOKUP(K266,$W$23:$AN$40,MATCH(M266,$W$23:$AN$23,0),FALSE)</f>
        <v>#N/A</v>
      </c>
      <c r="K266" s="1" t="str">
        <f>MID(A266,1,1)</f>
        <v/>
      </c>
      <c r="L266" s="1" t="str">
        <f>MID(A266,2,1)</f>
        <v/>
      </c>
      <c r="M266" s="1" t="str">
        <f>MID(A266,4,1)</f>
        <v/>
      </c>
      <c r="N266" s="1" t="e">
        <f>VLOOKUP(K266,$W:$X,2,0)</f>
        <v>#N/A</v>
      </c>
      <c r="O266" s="1" t="e">
        <f>VLOOKUP(L266,$Z:$AA,2,0)</f>
        <v>#N/A</v>
      </c>
      <c r="P266" s="1" t="e">
        <f>VLOOKUP(M266,$AC:$AD,2,0)</f>
        <v>#N/A</v>
      </c>
      <c r="Q266" s="1">
        <f>IF(A266&lt;&gt;"",P266+O266+N266+H266+I266+J266,0)</f>
        <v>0</v>
      </c>
    </row>
    <row r="267" spans="1:17" x14ac:dyDescent="0.25">
      <c r="A267" s="41"/>
      <c r="C267" s="41"/>
      <c r="E267" s="1" t="str">
        <f>MID(A267,1,2)</f>
        <v/>
      </c>
      <c r="F267" s="1" t="str">
        <f>MID(C267,3,2)</f>
        <v/>
      </c>
      <c r="G267" s="1" t="str">
        <f>CONCATENATE(K267,M267)</f>
        <v/>
      </c>
      <c r="H267" s="1" t="e">
        <f>VLOOKUP(K267,$W$23:$AN$40,MATCH(L267,$W$23:$AN$23,0),FALSE)</f>
        <v>#N/A</v>
      </c>
      <c r="I267" s="1" t="e">
        <f>VLOOKUP(L267,$W$23:$AN$40,MATCH(M267,$W$23:$AN$23,0),FALSE)</f>
        <v>#N/A</v>
      </c>
      <c r="J267" s="1" t="e">
        <f>VLOOKUP(K267,$W$23:$AN$40,MATCH(M267,$W$23:$AN$23,0),FALSE)</f>
        <v>#N/A</v>
      </c>
      <c r="K267" s="1" t="str">
        <f>MID(A267,1,1)</f>
        <v/>
      </c>
      <c r="L267" s="1" t="str">
        <f>MID(A267,2,1)</f>
        <v/>
      </c>
      <c r="M267" s="1" t="str">
        <f>MID(A267,4,1)</f>
        <v/>
      </c>
      <c r="N267" s="1" t="e">
        <f>VLOOKUP(K267,$W:$X,2,0)</f>
        <v>#N/A</v>
      </c>
      <c r="O267" s="1" t="e">
        <f>VLOOKUP(L267,$Z:$AA,2,0)</f>
        <v>#N/A</v>
      </c>
      <c r="P267" s="1" t="e">
        <f>VLOOKUP(M267,$AC:$AD,2,0)</f>
        <v>#N/A</v>
      </c>
      <c r="Q267" s="1">
        <f>IF(A267&lt;&gt;"",P267+O267+N267+H267+I267+J267,0)</f>
        <v>0</v>
      </c>
    </row>
    <row r="268" spans="1:17" x14ac:dyDescent="0.25">
      <c r="A268" s="41"/>
      <c r="C268" s="41"/>
      <c r="E268" s="1" t="str">
        <f>MID(A268,1,2)</f>
        <v/>
      </c>
      <c r="F268" s="1" t="str">
        <f>MID(C268,3,2)</f>
        <v/>
      </c>
      <c r="G268" s="1" t="str">
        <f>CONCATENATE(K268,M268)</f>
        <v/>
      </c>
      <c r="H268" s="1" t="e">
        <f>VLOOKUP(K268,$W$23:$AN$40,MATCH(L268,$W$23:$AN$23,0),FALSE)</f>
        <v>#N/A</v>
      </c>
      <c r="I268" s="1" t="e">
        <f>VLOOKUP(L268,$W$23:$AN$40,MATCH(M268,$W$23:$AN$23,0),FALSE)</f>
        <v>#N/A</v>
      </c>
      <c r="J268" s="1" t="e">
        <f>VLOOKUP(K268,$W$23:$AN$40,MATCH(M268,$W$23:$AN$23,0),FALSE)</f>
        <v>#N/A</v>
      </c>
      <c r="K268" s="1" t="str">
        <f>MID(A268,1,1)</f>
        <v/>
      </c>
      <c r="L268" s="1" t="str">
        <f>MID(A268,2,1)</f>
        <v/>
      </c>
      <c r="M268" s="1" t="str">
        <f>MID(A268,4,1)</f>
        <v/>
      </c>
      <c r="N268" s="1" t="e">
        <f>VLOOKUP(K268,$W:$X,2,0)</f>
        <v>#N/A</v>
      </c>
      <c r="O268" s="1" t="e">
        <f>VLOOKUP(L268,$Z:$AA,2,0)</f>
        <v>#N/A</v>
      </c>
      <c r="P268" s="1" t="e">
        <f>VLOOKUP(M268,$AC:$AD,2,0)</f>
        <v>#N/A</v>
      </c>
      <c r="Q268" s="1">
        <f>IF(A268&lt;&gt;"",P268+O268+N268+H268+I268+J268,0)</f>
        <v>0</v>
      </c>
    </row>
    <row r="269" spans="1:17" x14ac:dyDescent="0.25">
      <c r="A269" s="41"/>
      <c r="C269" s="41"/>
      <c r="E269" s="1" t="str">
        <f>MID(A269,1,2)</f>
        <v/>
      </c>
      <c r="F269" s="1" t="str">
        <f>MID(C269,3,2)</f>
        <v/>
      </c>
      <c r="G269" s="1" t="str">
        <f>CONCATENATE(K269,M269)</f>
        <v/>
      </c>
      <c r="H269" s="1" t="e">
        <f>VLOOKUP(K269,$W$23:$AN$40,MATCH(L269,$W$23:$AN$23,0),FALSE)</f>
        <v>#N/A</v>
      </c>
      <c r="I269" s="1" t="e">
        <f>VLOOKUP(L269,$W$23:$AN$40,MATCH(M269,$W$23:$AN$23,0),FALSE)</f>
        <v>#N/A</v>
      </c>
      <c r="J269" s="1" t="e">
        <f>VLOOKUP(K269,$W$23:$AN$40,MATCH(M269,$W$23:$AN$23,0),FALSE)</f>
        <v>#N/A</v>
      </c>
      <c r="K269" s="1" t="str">
        <f>MID(A269,1,1)</f>
        <v/>
      </c>
      <c r="L269" s="1" t="str">
        <f>MID(A269,2,1)</f>
        <v/>
      </c>
      <c r="M269" s="1" t="str">
        <f>MID(A269,4,1)</f>
        <v/>
      </c>
      <c r="N269" s="1" t="e">
        <f>VLOOKUP(K269,$W:$X,2,0)</f>
        <v>#N/A</v>
      </c>
      <c r="O269" s="1" t="e">
        <f>VLOOKUP(L269,$Z:$AA,2,0)</f>
        <v>#N/A</v>
      </c>
      <c r="P269" s="1" t="e">
        <f>VLOOKUP(M269,$AC:$AD,2,0)</f>
        <v>#N/A</v>
      </c>
      <c r="Q269" s="1">
        <f>IF(A269&lt;&gt;"",P269+O269+N269+H269+I269+J269,0)</f>
        <v>0</v>
      </c>
    </row>
    <row r="270" spans="1:17" x14ac:dyDescent="0.25">
      <c r="A270" s="41"/>
      <c r="C270" s="41"/>
      <c r="E270" s="1" t="str">
        <f>MID(A270,1,2)</f>
        <v/>
      </c>
      <c r="F270" s="1" t="str">
        <f>MID(C270,3,2)</f>
        <v/>
      </c>
      <c r="G270" s="1" t="str">
        <f>CONCATENATE(K270,M270)</f>
        <v/>
      </c>
      <c r="H270" s="1" t="e">
        <f>VLOOKUP(K270,$W$23:$AN$40,MATCH(L270,$W$23:$AN$23,0),FALSE)</f>
        <v>#N/A</v>
      </c>
      <c r="I270" s="1" t="e">
        <f>VLOOKUP(L270,$W$23:$AN$40,MATCH(M270,$W$23:$AN$23,0),FALSE)</f>
        <v>#N/A</v>
      </c>
      <c r="J270" s="1" t="e">
        <f>VLOOKUP(K270,$W$23:$AN$40,MATCH(M270,$W$23:$AN$23,0),FALSE)</f>
        <v>#N/A</v>
      </c>
      <c r="K270" s="1" t="str">
        <f>MID(A270,1,1)</f>
        <v/>
      </c>
      <c r="L270" s="1" t="str">
        <f>MID(A270,2,1)</f>
        <v/>
      </c>
      <c r="M270" s="1" t="str">
        <f>MID(A270,4,1)</f>
        <v/>
      </c>
      <c r="N270" s="1" t="e">
        <f>VLOOKUP(K270,$W:$X,2,0)</f>
        <v>#N/A</v>
      </c>
      <c r="O270" s="1" t="e">
        <f>VLOOKUP(L270,$Z:$AA,2,0)</f>
        <v>#N/A</v>
      </c>
      <c r="P270" s="1" t="e">
        <f>VLOOKUP(M270,$AC:$AD,2,0)</f>
        <v>#N/A</v>
      </c>
      <c r="Q270" s="1">
        <f>IF(A270&lt;&gt;"",P270+O270+N270+H270+I270+J270,0)</f>
        <v>0</v>
      </c>
    </row>
    <row r="271" spans="1:17" x14ac:dyDescent="0.25">
      <c r="A271" s="41"/>
      <c r="C271" s="41"/>
      <c r="E271" s="1" t="str">
        <f>MID(A271,1,2)</f>
        <v/>
      </c>
      <c r="F271" s="1" t="str">
        <f>MID(C271,3,2)</f>
        <v/>
      </c>
      <c r="G271" s="1" t="str">
        <f>CONCATENATE(K271,M271)</f>
        <v/>
      </c>
      <c r="H271" s="1" t="e">
        <f>VLOOKUP(K271,$W$23:$AN$40,MATCH(L271,$W$23:$AN$23,0),FALSE)</f>
        <v>#N/A</v>
      </c>
      <c r="I271" s="1" t="e">
        <f>VLOOKUP(L271,$W$23:$AN$40,MATCH(M271,$W$23:$AN$23,0),FALSE)</f>
        <v>#N/A</v>
      </c>
      <c r="J271" s="1" t="e">
        <f>VLOOKUP(K271,$W$23:$AN$40,MATCH(M271,$W$23:$AN$23,0),FALSE)</f>
        <v>#N/A</v>
      </c>
      <c r="K271" s="1" t="str">
        <f>MID(A271,1,1)</f>
        <v/>
      </c>
      <c r="L271" s="1" t="str">
        <f>MID(A271,2,1)</f>
        <v/>
      </c>
      <c r="M271" s="1" t="str">
        <f>MID(A271,4,1)</f>
        <v/>
      </c>
      <c r="N271" s="1" t="e">
        <f>VLOOKUP(K271,$W:$X,2,0)</f>
        <v>#N/A</v>
      </c>
      <c r="O271" s="1" t="e">
        <f>VLOOKUP(L271,$Z:$AA,2,0)</f>
        <v>#N/A</v>
      </c>
      <c r="P271" s="1" t="e">
        <f>VLOOKUP(M271,$AC:$AD,2,0)</f>
        <v>#N/A</v>
      </c>
      <c r="Q271" s="1">
        <f>IF(A271&lt;&gt;"",P271+O271+N271+H271+I271+J271,0)</f>
        <v>0</v>
      </c>
    </row>
    <row r="272" spans="1:17" x14ac:dyDescent="0.25">
      <c r="A272" s="41"/>
      <c r="C272" s="41"/>
      <c r="E272" s="1" t="str">
        <f>MID(A272,1,2)</f>
        <v/>
      </c>
      <c r="F272" s="1" t="str">
        <f>MID(C272,3,2)</f>
        <v/>
      </c>
      <c r="G272" s="1" t="str">
        <f>CONCATENATE(K272,M272)</f>
        <v/>
      </c>
      <c r="H272" s="1" t="e">
        <f>VLOOKUP(K272,$W$23:$AN$40,MATCH(L272,$W$23:$AN$23,0),FALSE)</f>
        <v>#N/A</v>
      </c>
      <c r="I272" s="1" t="e">
        <f>VLOOKUP(L272,$W$23:$AN$40,MATCH(M272,$W$23:$AN$23,0),FALSE)</f>
        <v>#N/A</v>
      </c>
      <c r="J272" s="1" t="e">
        <f>VLOOKUP(K272,$W$23:$AN$40,MATCH(M272,$W$23:$AN$23,0),FALSE)</f>
        <v>#N/A</v>
      </c>
      <c r="K272" s="1" t="str">
        <f>MID(A272,1,1)</f>
        <v/>
      </c>
      <c r="L272" s="1" t="str">
        <f>MID(A272,2,1)</f>
        <v/>
      </c>
      <c r="M272" s="1" t="str">
        <f>MID(A272,4,1)</f>
        <v/>
      </c>
      <c r="N272" s="1" t="e">
        <f>VLOOKUP(K272,$W:$X,2,0)</f>
        <v>#N/A</v>
      </c>
      <c r="O272" s="1" t="e">
        <f>VLOOKUP(L272,$Z:$AA,2,0)</f>
        <v>#N/A</v>
      </c>
      <c r="P272" s="1" t="e">
        <f>VLOOKUP(M272,$AC:$AD,2,0)</f>
        <v>#N/A</v>
      </c>
      <c r="Q272" s="1">
        <f>IF(A272&lt;&gt;"",P272+O272+N272+H272+I272+J272,0)</f>
        <v>0</v>
      </c>
    </row>
    <row r="273" spans="1:17" x14ac:dyDescent="0.25">
      <c r="A273" s="41"/>
      <c r="C273" s="41"/>
      <c r="E273" s="1" t="str">
        <f>MID(A273,1,2)</f>
        <v/>
      </c>
      <c r="F273" s="1" t="str">
        <f>MID(C273,3,2)</f>
        <v/>
      </c>
      <c r="G273" s="1" t="str">
        <f>CONCATENATE(K273,M273)</f>
        <v/>
      </c>
      <c r="H273" s="1" t="e">
        <f>VLOOKUP(K273,$W$23:$AN$40,MATCH(L273,$W$23:$AN$23,0),FALSE)</f>
        <v>#N/A</v>
      </c>
      <c r="I273" s="1" t="e">
        <f>VLOOKUP(L273,$W$23:$AN$40,MATCH(M273,$W$23:$AN$23,0),FALSE)</f>
        <v>#N/A</v>
      </c>
      <c r="J273" s="1" t="e">
        <f>VLOOKUP(K273,$W$23:$AN$40,MATCH(M273,$W$23:$AN$23,0),FALSE)</f>
        <v>#N/A</v>
      </c>
      <c r="K273" s="1" t="str">
        <f>MID(A273,1,1)</f>
        <v/>
      </c>
      <c r="L273" s="1" t="str">
        <f>MID(A273,2,1)</f>
        <v/>
      </c>
      <c r="M273" s="1" t="str">
        <f>MID(A273,4,1)</f>
        <v/>
      </c>
      <c r="N273" s="1" t="e">
        <f>VLOOKUP(K273,$W:$X,2,0)</f>
        <v>#N/A</v>
      </c>
      <c r="O273" s="1" t="e">
        <f>VLOOKUP(L273,$Z:$AA,2,0)</f>
        <v>#N/A</v>
      </c>
      <c r="P273" s="1" t="e">
        <f>VLOOKUP(M273,$AC:$AD,2,0)</f>
        <v>#N/A</v>
      </c>
      <c r="Q273" s="1">
        <f>IF(A273&lt;&gt;"",P273+O273+N273+H273+I273+J273,0)</f>
        <v>0</v>
      </c>
    </row>
    <row r="274" spans="1:17" x14ac:dyDescent="0.25">
      <c r="A274" s="41"/>
      <c r="C274" s="41"/>
      <c r="E274" s="1" t="str">
        <f>MID(A274,1,2)</f>
        <v/>
      </c>
      <c r="F274" s="1" t="str">
        <f>MID(C274,3,2)</f>
        <v/>
      </c>
      <c r="G274" s="1" t="str">
        <f>CONCATENATE(K274,M274)</f>
        <v/>
      </c>
      <c r="H274" s="1" t="e">
        <f>VLOOKUP(K274,$W$23:$AN$40,MATCH(L274,$W$23:$AN$23,0),FALSE)</f>
        <v>#N/A</v>
      </c>
      <c r="I274" s="1" t="e">
        <f>VLOOKUP(L274,$W$23:$AN$40,MATCH(M274,$W$23:$AN$23,0),FALSE)</f>
        <v>#N/A</v>
      </c>
      <c r="J274" s="1" t="e">
        <f>VLOOKUP(K274,$W$23:$AN$40,MATCH(M274,$W$23:$AN$23,0),FALSE)</f>
        <v>#N/A</v>
      </c>
      <c r="K274" s="1" t="str">
        <f>MID(A274,1,1)</f>
        <v/>
      </c>
      <c r="L274" s="1" t="str">
        <f>MID(A274,2,1)</f>
        <v/>
      </c>
      <c r="M274" s="1" t="str">
        <f>MID(A274,4,1)</f>
        <v/>
      </c>
      <c r="N274" s="1" t="e">
        <f>VLOOKUP(K274,$W:$X,2,0)</f>
        <v>#N/A</v>
      </c>
      <c r="O274" s="1" t="e">
        <f>VLOOKUP(L274,$Z:$AA,2,0)</f>
        <v>#N/A</v>
      </c>
      <c r="P274" s="1" t="e">
        <f>VLOOKUP(M274,$AC:$AD,2,0)</f>
        <v>#N/A</v>
      </c>
      <c r="Q274" s="1">
        <f>IF(A274&lt;&gt;"",P274+O274+N274+H274+I274+J274,0)</f>
        <v>0</v>
      </c>
    </row>
    <row r="275" spans="1:17" x14ac:dyDescent="0.25">
      <c r="A275" s="41"/>
      <c r="C275" s="41"/>
      <c r="E275" s="1" t="str">
        <f>MID(A275,1,2)</f>
        <v/>
      </c>
      <c r="F275" s="1" t="str">
        <f>MID(C275,3,2)</f>
        <v/>
      </c>
      <c r="G275" s="1" t="str">
        <f>CONCATENATE(K275,M275)</f>
        <v/>
      </c>
      <c r="H275" s="1" t="e">
        <f>VLOOKUP(K275,$W$23:$AN$40,MATCH(L275,$W$23:$AN$23,0),FALSE)</f>
        <v>#N/A</v>
      </c>
      <c r="I275" s="1" t="e">
        <f>VLOOKUP(L275,$W$23:$AN$40,MATCH(M275,$W$23:$AN$23,0),FALSE)</f>
        <v>#N/A</v>
      </c>
      <c r="J275" s="1" t="e">
        <f>VLOOKUP(K275,$W$23:$AN$40,MATCH(M275,$W$23:$AN$23,0),FALSE)</f>
        <v>#N/A</v>
      </c>
      <c r="K275" s="1" t="str">
        <f>MID(A275,1,1)</f>
        <v/>
      </c>
      <c r="L275" s="1" t="str">
        <f>MID(A275,2,1)</f>
        <v/>
      </c>
      <c r="M275" s="1" t="str">
        <f>MID(A275,4,1)</f>
        <v/>
      </c>
      <c r="N275" s="1" t="e">
        <f>VLOOKUP(K275,$W:$X,2,0)</f>
        <v>#N/A</v>
      </c>
      <c r="O275" s="1" t="e">
        <f>VLOOKUP(L275,$Z:$AA,2,0)</f>
        <v>#N/A</v>
      </c>
      <c r="P275" s="1" t="e">
        <f>VLOOKUP(M275,$AC:$AD,2,0)</f>
        <v>#N/A</v>
      </c>
      <c r="Q275" s="1">
        <f>IF(A275&lt;&gt;"",P275+O275+N275+H275+I275+J275,0)</f>
        <v>0</v>
      </c>
    </row>
    <row r="276" spans="1:17" x14ac:dyDescent="0.25">
      <c r="A276" s="41"/>
      <c r="C276" s="41"/>
      <c r="E276" s="1" t="str">
        <f>MID(A276,1,2)</f>
        <v/>
      </c>
      <c r="F276" s="1" t="str">
        <f>MID(C276,3,2)</f>
        <v/>
      </c>
      <c r="G276" s="1" t="str">
        <f>CONCATENATE(K276,M276)</f>
        <v/>
      </c>
      <c r="H276" s="1" t="e">
        <f>VLOOKUP(K276,$W$23:$AN$40,MATCH(L276,$W$23:$AN$23,0),FALSE)</f>
        <v>#N/A</v>
      </c>
      <c r="I276" s="1" t="e">
        <f>VLOOKUP(L276,$W$23:$AN$40,MATCH(M276,$W$23:$AN$23,0),FALSE)</f>
        <v>#N/A</v>
      </c>
      <c r="J276" s="1" t="e">
        <f>VLOOKUP(K276,$W$23:$AN$40,MATCH(M276,$W$23:$AN$23,0),FALSE)</f>
        <v>#N/A</v>
      </c>
      <c r="K276" s="1" t="str">
        <f>MID(A276,1,1)</f>
        <v/>
      </c>
      <c r="L276" s="1" t="str">
        <f>MID(A276,2,1)</f>
        <v/>
      </c>
      <c r="M276" s="1" t="str">
        <f>MID(A276,4,1)</f>
        <v/>
      </c>
      <c r="N276" s="1" t="e">
        <f>VLOOKUP(K276,$W:$X,2,0)</f>
        <v>#N/A</v>
      </c>
      <c r="O276" s="1" t="e">
        <f>VLOOKUP(L276,$Z:$AA,2,0)</f>
        <v>#N/A</v>
      </c>
      <c r="P276" s="1" t="e">
        <f>VLOOKUP(M276,$AC:$AD,2,0)</f>
        <v>#N/A</v>
      </c>
      <c r="Q276" s="1">
        <f>IF(A276&lt;&gt;"",P276+O276+N276+H276+I276+J276,0)</f>
        <v>0</v>
      </c>
    </row>
    <row r="277" spans="1:17" x14ac:dyDescent="0.25">
      <c r="A277" s="41"/>
      <c r="C277" s="41"/>
      <c r="E277" s="1" t="str">
        <f>MID(A277,1,2)</f>
        <v/>
      </c>
      <c r="F277" s="1" t="str">
        <f>MID(C277,3,2)</f>
        <v/>
      </c>
      <c r="G277" s="1" t="str">
        <f>CONCATENATE(K277,M277)</f>
        <v/>
      </c>
      <c r="H277" s="1" t="e">
        <f>VLOOKUP(K277,$W$23:$AN$40,MATCH(L277,$W$23:$AN$23,0),FALSE)</f>
        <v>#N/A</v>
      </c>
      <c r="I277" s="1" t="e">
        <f>VLOOKUP(L277,$W$23:$AN$40,MATCH(M277,$W$23:$AN$23,0),FALSE)</f>
        <v>#N/A</v>
      </c>
      <c r="J277" s="1" t="e">
        <f>VLOOKUP(K277,$W$23:$AN$40,MATCH(M277,$W$23:$AN$23,0),FALSE)</f>
        <v>#N/A</v>
      </c>
      <c r="K277" s="1" t="str">
        <f>MID(A277,1,1)</f>
        <v/>
      </c>
      <c r="L277" s="1" t="str">
        <f>MID(A277,2,1)</f>
        <v/>
      </c>
      <c r="M277" s="1" t="str">
        <f>MID(A277,4,1)</f>
        <v/>
      </c>
      <c r="N277" s="1" t="e">
        <f>VLOOKUP(K277,$W:$X,2,0)</f>
        <v>#N/A</v>
      </c>
      <c r="O277" s="1" t="e">
        <f>VLOOKUP(L277,$Z:$AA,2,0)</f>
        <v>#N/A</v>
      </c>
      <c r="P277" s="1" t="e">
        <f>VLOOKUP(M277,$AC:$AD,2,0)</f>
        <v>#N/A</v>
      </c>
      <c r="Q277" s="1">
        <f>IF(A277&lt;&gt;"",P277+O277+N277+H277+I277+J277,0)</f>
        <v>0</v>
      </c>
    </row>
    <row r="278" spans="1:17" x14ac:dyDescent="0.25">
      <c r="A278" s="41"/>
      <c r="C278" s="41"/>
      <c r="E278" s="1" t="str">
        <f>MID(A278,1,2)</f>
        <v/>
      </c>
      <c r="F278" s="1" t="str">
        <f>MID(C278,3,2)</f>
        <v/>
      </c>
      <c r="G278" s="1" t="str">
        <f>CONCATENATE(K278,M278)</f>
        <v/>
      </c>
      <c r="H278" s="1" t="e">
        <f>VLOOKUP(K278,$W$23:$AN$40,MATCH(L278,$W$23:$AN$23,0),FALSE)</f>
        <v>#N/A</v>
      </c>
      <c r="I278" s="1" t="e">
        <f>VLOOKUP(L278,$W$23:$AN$40,MATCH(M278,$W$23:$AN$23,0),FALSE)</f>
        <v>#N/A</v>
      </c>
      <c r="J278" s="1" t="e">
        <f>VLOOKUP(K278,$W$23:$AN$40,MATCH(M278,$W$23:$AN$23,0),FALSE)</f>
        <v>#N/A</v>
      </c>
      <c r="K278" s="1" t="str">
        <f>MID(A278,1,1)</f>
        <v/>
      </c>
      <c r="L278" s="1" t="str">
        <f>MID(A278,2,1)</f>
        <v/>
      </c>
      <c r="M278" s="1" t="str">
        <f>MID(A278,4,1)</f>
        <v/>
      </c>
      <c r="N278" s="1" t="e">
        <f>VLOOKUP(K278,$W:$X,2,0)</f>
        <v>#N/A</v>
      </c>
      <c r="O278" s="1" t="e">
        <f>VLOOKUP(L278,$Z:$AA,2,0)</f>
        <v>#N/A</v>
      </c>
      <c r="P278" s="1" t="e">
        <f>VLOOKUP(M278,$AC:$AD,2,0)</f>
        <v>#N/A</v>
      </c>
      <c r="Q278" s="1">
        <f>IF(A278&lt;&gt;"",P278+O278+N278+H278+I278+J278,0)</f>
        <v>0</v>
      </c>
    </row>
    <row r="279" spans="1:17" x14ac:dyDescent="0.25">
      <c r="A279" s="41"/>
      <c r="C279" s="41"/>
      <c r="E279" s="1" t="str">
        <f>MID(A279,1,2)</f>
        <v/>
      </c>
      <c r="F279" s="1" t="str">
        <f>MID(C279,3,2)</f>
        <v/>
      </c>
      <c r="G279" s="1" t="str">
        <f>CONCATENATE(K279,M279)</f>
        <v/>
      </c>
      <c r="H279" s="1" t="e">
        <f>VLOOKUP(K279,$W$23:$AN$40,MATCH(L279,$W$23:$AN$23,0),FALSE)</f>
        <v>#N/A</v>
      </c>
      <c r="I279" s="1" t="e">
        <f>VLOOKUP(L279,$W$23:$AN$40,MATCH(M279,$W$23:$AN$23,0),FALSE)</f>
        <v>#N/A</v>
      </c>
      <c r="J279" s="1" t="e">
        <f>VLOOKUP(K279,$W$23:$AN$40,MATCH(M279,$W$23:$AN$23,0),FALSE)</f>
        <v>#N/A</v>
      </c>
      <c r="K279" s="1" t="str">
        <f>MID(A279,1,1)</f>
        <v/>
      </c>
      <c r="L279" s="1" t="str">
        <f>MID(A279,2,1)</f>
        <v/>
      </c>
      <c r="M279" s="1" t="str">
        <f>MID(A279,4,1)</f>
        <v/>
      </c>
      <c r="N279" s="1" t="e">
        <f>VLOOKUP(K279,$W:$X,2,0)</f>
        <v>#N/A</v>
      </c>
      <c r="O279" s="1" t="e">
        <f>VLOOKUP(L279,$Z:$AA,2,0)</f>
        <v>#N/A</v>
      </c>
      <c r="P279" s="1" t="e">
        <f>VLOOKUP(M279,$AC:$AD,2,0)</f>
        <v>#N/A</v>
      </c>
      <c r="Q279" s="1">
        <f>IF(A279&lt;&gt;"",P279+O279+N279+H279+I279+J279,0)</f>
        <v>0</v>
      </c>
    </row>
    <row r="280" spans="1:17" x14ac:dyDescent="0.25">
      <c r="A280" s="41"/>
      <c r="C280" s="41"/>
      <c r="E280" s="1" t="str">
        <f>MID(A280,1,2)</f>
        <v/>
      </c>
      <c r="F280" s="1" t="str">
        <f>MID(C280,3,2)</f>
        <v/>
      </c>
      <c r="G280" s="1" t="str">
        <f>CONCATENATE(K280,M280)</f>
        <v/>
      </c>
      <c r="H280" s="1" t="e">
        <f>VLOOKUP(K280,$W$23:$AN$40,MATCH(L280,$W$23:$AN$23,0),FALSE)</f>
        <v>#N/A</v>
      </c>
      <c r="I280" s="1" t="e">
        <f>VLOOKUP(L280,$W$23:$AN$40,MATCH(M280,$W$23:$AN$23,0),FALSE)</f>
        <v>#N/A</v>
      </c>
      <c r="J280" s="1" t="e">
        <f>VLOOKUP(K280,$W$23:$AN$40,MATCH(M280,$W$23:$AN$23,0),FALSE)</f>
        <v>#N/A</v>
      </c>
      <c r="K280" s="1" t="str">
        <f>MID(A280,1,1)</f>
        <v/>
      </c>
      <c r="L280" s="1" t="str">
        <f>MID(A280,2,1)</f>
        <v/>
      </c>
      <c r="M280" s="1" t="str">
        <f>MID(A280,4,1)</f>
        <v/>
      </c>
      <c r="N280" s="1" t="e">
        <f>VLOOKUP(K280,$W:$X,2,0)</f>
        <v>#N/A</v>
      </c>
      <c r="O280" s="1" t="e">
        <f>VLOOKUP(L280,$Z:$AA,2,0)</f>
        <v>#N/A</v>
      </c>
      <c r="P280" s="1" t="e">
        <f>VLOOKUP(M280,$AC:$AD,2,0)</f>
        <v>#N/A</v>
      </c>
      <c r="Q280" s="1">
        <f>IF(A280&lt;&gt;"",P280+O280+N280+H280+I280+J280,0)</f>
        <v>0</v>
      </c>
    </row>
    <row r="281" spans="1:17" x14ac:dyDescent="0.25">
      <c r="A281" s="41"/>
      <c r="C281" s="41"/>
      <c r="E281" s="1" t="str">
        <f>MID(A281,1,2)</f>
        <v/>
      </c>
      <c r="F281" s="1" t="str">
        <f>MID(C281,3,2)</f>
        <v/>
      </c>
      <c r="G281" s="1" t="str">
        <f>CONCATENATE(K281,M281)</f>
        <v/>
      </c>
      <c r="H281" s="1" t="e">
        <f>VLOOKUP(K281,$W$23:$AN$40,MATCH(L281,$W$23:$AN$23,0),FALSE)</f>
        <v>#N/A</v>
      </c>
      <c r="I281" s="1" t="e">
        <f>VLOOKUP(L281,$W$23:$AN$40,MATCH(M281,$W$23:$AN$23,0),FALSE)</f>
        <v>#N/A</v>
      </c>
      <c r="J281" s="1" t="e">
        <f>VLOOKUP(K281,$W$23:$AN$40,MATCH(M281,$W$23:$AN$23,0),FALSE)</f>
        <v>#N/A</v>
      </c>
      <c r="K281" s="1" t="str">
        <f>MID(A281,1,1)</f>
        <v/>
      </c>
      <c r="L281" s="1" t="str">
        <f>MID(A281,2,1)</f>
        <v/>
      </c>
      <c r="M281" s="1" t="str">
        <f>MID(A281,4,1)</f>
        <v/>
      </c>
      <c r="N281" s="1" t="e">
        <f>VLOOKUP(K281,$W:$X,2,0)</f>
        <v>#N/A</v>
      </c>
      <c r="O281" s="1" t="e">
        <f>VLOOKUP(L281,$Z:$AA,2,0)</f>
        <v>#N/A</v>
      </c>
      <c r="P281" s="1" t="e">
        <f>VLOOKUP(M281,$AC:$AD,2,0)</f>
        <v>#N/A</v>
      </c>
      <c r="Q281" s="1">
        <f>IF(A281&lt;&gt;"",P281+O281+N281+H281+I281+J281,0)</f>
        <v>0</v>
      </c>
    </row>
    <row r="282" spans="1:17" x14ac:dyDescent="0.25">
      <c r="A282" s="41"/>
      <c r="C282" s="41"/>
      <c r="E282" s="1" t="str">
        <f>MID(A282,1,2)</f>
        <v/>
      </c>
      <c r="F282" s="1" t="str">
        <f>MID(C282,3,2)</f>
        <v/>
      </c>
      <c r="G282" s="1" t="str">
        <f>CONCATENATE(K282,M282)</f>
        <v/>
      </c>
      <c r="H282" s="1" t="e">
        <f>VLOOKUP(K282,$W$23:$AN$40,MATCH(L282,$W$23:$AN$23,0),FALSE)</f>
        <v>#N/A</v>
      </c>
      <c r="I282" s="1" t="e">
        <f>VLOOKUP(L282,$W$23:$AN$40,MATCH(M282,$W$23:$AN$23,0),FALSE)</f>
        <v>#N/A</v>
      </c>
      <c r="J282" s="1" t="e">
        <f>VLOOKUP(K282,$W$23:$AN$40,MATCH(M282,$W$23:$AN$23,0),FALSE)</f>
        <v>#N/A</v>
      </c>
      <c r="K282" s="1" t="str">
        <f>MID(A282,1,1)</f>
        <v/>
      </c>
      <c r="L282" s="1" t="str">
        <f>MID(A282,2,1)</f>
        <v/>
      </c>
      <c r="M282" s="1" t="str">
        <f>MID(A282,4,1)</f>
        <v/>
      </c>
      <c r="N282" s="1" t="e">
        <f>VLOOKUP(K282,$W:$X,2,0)</f>
        <v>#N/A</v>
      </c>
      <c r="O282" s="1" t="e">
        <f>VLOOKUP(L282,$Z:$AA,2,0)</f>
        <v>#N/A</v>
      </c>
      <c r="P282" s="1" t="e">
        <f>VLOOKUP(M282,$AC:$AD,2,0)</f>
        <v>#N/A</v>
      </c>
      <c r="Q282" s="1">
        <f>IF(A282&lt;&gt;"",P282+O282+N282+H282+I282+J282,0)</f>
        <v>0</v>
      </c>
    </row>
    <row r="283" spans="1:17" x14ac:dyDescent="0.25">
      <c r="A283" s="41"/>
      <c r="C283" s="41"/>
      <c r="E283" s="1" t="str">
        <f>MID(A283,1,2)</f>
        <v/>
      </c>
      <c r="F283" s="1" t="str">
        <f>MID(C283,3,2)</f>
        <v/>
      </c>
      <c r="G283" s="1" t="str">
        <f>CONCATENATE(K283,M283)</f>
        <v/>
      </c>
      <c r="H283" s="1" t="e">
        <f>VLOOKUP(K283,$W$23:$AN$40,MATCH(L283,$W$23:$AN$23,0),FALSE)</f>
        <v>#N/A</v>
      </c>
      <c r="I283" s="1" t="e">
        <f>VLOOKUP(L283,$W$23:$AN$40,MATCH(M283,$W$23:$AN$23,0),FALSE)</f>
        <v>#N/A</v>
      </c>
      <c r="J283" s="1" t="e">
        <f>VLOOKUP(K283,$W$23:$AN$40,MATCH(M283,$W$23:$AN$23,0),FALSE)</f>
        <v>#N/A</v>
      </c>
      <c r="K283" s="1" t="str">
        <f>MID(A283,1,1)</f>
        <v/>
      </c>
      <c r="L283" s="1" t="str">
        <f>MID(A283,2,1)</f>
        <v/>
      </c>
      <c r="M283" s="1" t="str">
        <f>MID(A283,4,1)</f>
        <v/>
      </c>
      <c r="N283" s="1" t="e">
        <f>VLOOKUP(K283,$W:$X,2,0)</f>
        <v>#N/A</v>
      </c>
      <c r="O283" s="1" t="e">
        <f>VLOOKUP(L283,$Z:$AA,2,0)</f>
        <v>#N/A</v>
      </c>
      <c r="P283" s="1" t="e">
        <f>VLOOKUP(M283,$AC:$AD,2,0)</f>
        <v>#N/A</v>
      </c>
      <c r="Q283" s="1">
        <f>IF(A283&lt;&gt;"",P283+O283+N283+H283+I283+J283,0)</f>
        <v>0</v>
      </c>
    </row>
    <row r="284" spans="1:17" x14ac:dyDescent="0.25">
      <c r="A284" s="41"/>
      <c r="C284" s="41"/>
      <c r="E284" s="1" t="str">
        <f>MID(A284,1,2)</f>
        <v/>
      </c>
      <c r="F284" s="1" t="str">
        <f>MID(C284,3,2)</f>
        <v/>
      </c>
      <c r="G284" s="1" t="str">
        <f>CONCATENATE(K284,M284)</f>
        <v/>
      </c>
      <c r="H284" s="1" t="e">
        <f>VLOOKUP(K284,$W$23:$AN$40,MATCH(L284,$W$23:$AN$23,0),FALSE)</f>
        <v>#N/A</v>
      </c>
      <c r="I284" s="1" t="e">
        <f>VLOOKUP(L284,$W$23:$AN$40,MATCH(M284,$W$23:$AN$23,0),FALSE)</f>
        <v>#N/A</v>
      </c>
      <c r="J284" s="1" t="e">
        <f>VLOOKUP(K284,$W$23:$AN$40,MATCH(M284,$W$23:$AN$23,0),FALSE)</f>
        <v>#N/A</v>
      </c>
      <c r="K284" s="1" t="str">
        <f>MID(A284,1,1)</f>
        <v/>
      </c>
      <c r="L284" s="1" t="str">
        <f>MID(A284,2,1)</f>
        <v/>
      </c>
      <c r="M284" s="1" t="str">
        <f>MID(A284,4,1)</f>
        <v/>
      </c>
      <c r="N284" s="1" t="e">
        <f>VLOOKUP(K284,$W:$X,2,0)</f>
        <v>#N/A</v>
      </c>
      <c r="O284" s="1" t="e">
        <f>VLOOKUP(L284,$Z:$AA,2,0)</f>
        <v>#N/A</v>
      </c>
      <c r="P284" s="1" t="e">
        <f>VLOOKUP(M284,$AC:$AD,2,0)</f>
        <v>#N/A</v>
      </c>
      <c r="Q284" s="1">
        <f>IF(A284&lt;&gt;"",P284+O284+N284+H284+I284+J284,0)</f>
        <v>0</v>
      </c>
    </row>
    <row r="285" spans="1:17" x14ac:dyDescent="0.25">
      <c r="A285" s="41"/>
      <c r="C285" s="41"/>
      <c r="E285" s="1" t="str">
        <f>MID(A285,1,2)</f>
        <v/>
      </c>
      <c r="F285" s="1" t="str">
        <f>MID(C285,3,2)</f>
        <v/>
      </c>
      <c r="G285" s="1" t="str">
        <f>CONCATENATE(K285,M285)</f>
        <v/>
      </c>
      <c r="H285" s="1" t="e">
        <f>VLOOKUP(K285,$W$23:$AN$40,MATCH(L285,$W$23:$AN$23,0),FALSE)</f>
        <v>#N/A</v>
      </c>
      <c r="I285" s="1" t="e">
        <f>VLOOKUP(L285,$W$23:$AN$40,MATCH(M285,$W$23:$AN$23,0),FALSE)</f>
        <v>#N/A</v>
      </c>
      <c r="J285" s="1" t="e">
        <f>VLOOKUP(K285,$W$23:$AN$40,MATCH(M285,$W$23:$AN$23,0),FALSE)</f>
        <v>#N/A</v>
      </c>
      <c r="K285" s="1" t="str">
        <f>MID(A285,1,1)</f>
        <v/>
      </c>
      <c r="L285" s="1" t="str">
        <f>MID(A285,2,1)</f>
        <v/>
      </c>
      <c r="M285" s="1" t="str">
        <f>MID(A285,4,1)</f>
        <v/>
      </c>
      <c r="N285" s="1" t="e">
        <f>VLOOKUP(K285,$W:$X,2,0)</f>
        <v>#N/A</v>
      </c>
      <c r="O285" s="1" t="e">
        <f>VLOOKUP(L285,$Z:$AA,2,0)</f>
        <v>#N/A</v>
      </c>
      <c r="P285" s="1" t="e">
        <f>VLOOKUP(M285,$AC:$AD,2,0)</f>
        <v>#N/A</v>
      </c>
      <c r="Q285" s="1">
        <f>IF(A285&lt;&gt;"",P285+O285+N285+H285+I285+J285,0)</f>
        <v>0</v>
      </c>
    </row>
    <row r="286" spans="1:17" x14ac:dyDescent="0.25">
      <c r="A286" s="41"/>
      <c r="C286" s="41"/>
      <c r="E286" s="1" t="str">
        <f>MID(A286,1,2)</f>
        <v/>
      </c>
      <c r="F286" s="1" t="str">
        <f>MID(C286,3,2)</f>
        <v/>
      </c>
      <c r="G286" s="1" t="str">
        <f>CONCATENATE(K286,M286)</f>
        <v/>
      </c>
      <c r="H286" s="1" t="e">
        <f>VLOOKUP(K286,$W$23:$AN$40,MATCH(L286,$W$23:$AN$23,0),FALSE)</f>
        <v>#N/A</v>
      </c>
      <c r="I286" s="1" t="e">
        <f>VLOOKUP(L286,$W$23:$AN$40,MATCH(M286,$W$23:$AN$23,0),FALSE)</f>
        <v>#N/A</v>
      </c>
      <c r="J286" s="1" t="e">
        <f>VLOOKUP(K286,$W$23:$AN$40,MATCH(M286,$W$23:$AN$23,0),FALSE)</f>
        <v>#N/A</v>
      </c>
      <c r="K286" s="1" t="str">
        <f>MID(A286,1,1)</f>
        <v/>
      </c>
      <c r="L286" s="1" t="str">
        <f>MID(A286,2,1)</f>
        <v/>
      </c>
      <c r="M286" s="1" t="str">
        <f>MID(A286,4,1)</f>
        <v/>
      </c>
      <c r="N286" s="1" t="e">
        <f>VLOOKUP(K286,$W:$X,2,0)</f>
        <v>#N/A</v>
      </c>
      <c r="O286" s="1" t="e">
        <f>VLOOKUP(L286,$Z:$AA,2,0)</f>
        <v>#N/A</v>
      </c>
      <c r="P286" s="1" t="e">
        <f>VLOOKUP(M286,$AC:$AD,2,0)</f>
        <v>#N/A</v>
      </c>
      <c r="Q286" s="1">
        <f>IF(A286&lt;&gt;"",P286+O286+N286+H286+I286+J286,0)</f>
        <v>0</v>
      </c>
    </row>
    <row r="287" spans="1:17" x14ac:dyDescent="0.25">
      <c r="A287" s="41"/>
      <c r="C287" s="41"/>
      <c r="E287" s="1" t="str">
        <f>MID(A287,1,2)</f>
        <v/>
      </c>
      <c r="F287" s="1" t="str">
        <f>MID(C287,3,2)</f>
        <v/>
      </c>
      <c r="G287" s="1" t="str">
        <f>CONCATENATE(K287,M287)</f>
        <v/>
      </c>
      <c r="H287" s="1" t="e">
        <f>VLOOKUP(K287,$W$23:$AN$40,MATCH(L287,$W$23:$AN$23,0),FALSE)</f>
        <v>#N/A</v>
      </c>
      <c r="I287" s="1" t="e">
        <f>VLOOKUP(L287,$W$23:$AN$40,MATCH(M287,$W$23:$AN$23,0),FALSE)</f>
        <v>#N/A</v>
      </c>
      <c r="J287" s="1" t="e">
        <f>VLOOKUP(K287,$W$23:$AN$40,MATCH(M287,$W$23:$AN$23,0),FALSE)</f>
        <v>#N/A</v>
      </c>
      <c r="K287" s="1" t="str">
        <f>MID(A287,1,1)</f>
        <v/>
      </c>
      <c r="L287" s="1" t="str">
        <f>MID(A287,2,1)</f>
        <v/>
      </c>
      <c r="M287" s="1" t="str">
        <f>MID(A287,4,1)</f>
        <v/>
      </c>
      <c r="N287" s="1" t="e">
        <f>VLOOKUP(K287,$W:$X,2,0)</f>
        <v>#N/A</v>
      </c>
      <c r="O287" s="1" t="e">
        <f>VLOOKUP(L287,$Z:$AA,2,0)</f>
        <v>#N/A</v>
      </c>
      <c r="P287" s="1" t="e">
        <f>VLOOKUP(M287,$AC:$AD,2,0)</f>
        <v>#N/A</v>
      </c>
      <c r="Q287" s="1">
        <f>IF(A287&lt;&gt;"",P287+O287+N287+H287+I287+J287,0)</f>
        <v>0</v>
      </c>
    </row>
    <row r="288" spans="1:17" x14ac:dyDescent="0.25">
      <c r="A288" s="41"/>
      <c r="C288" s="41"/>
      <c r="E288" s="1" t="str">
        <f>MID(A288,1,2)</f>
        <v/>
      </c>
      <c r="F288" s="1" t="str">
        <f>MID(C288,3,2)</f>
        <v/>
      </c>
      <c r="G288" s="1" t="str">
        <f>CONCATENATE(K288,M288)</f>
        <v/>
      </c>
      <c r="H288" s="1" t="e">
        <f>VLOOKUP(K288,$W$23:$AN$40,MATCH(L288,$W$23:$AN$23,0),FALSE)</f>
        <v>#N/A</v>
      </c>
      <c r="I288" s="1" t="e">
        <f>VLOOKUP(L288,$W$23:$AN$40,MATCH(M288,$W$23:$AN$23,0),FALSE)</f>
        <v>#N/A</v>
      </c>
      <c r="J288" s="1" t="e">
        <f>VLOOKUP(K288,$W$23:$AN$40,MATCH(M288,$W$23:$AN$23,0),FALSE)</f>
        <v>#N/A</v>
      </c>
      <c r="K288" s="1" t="str">
        <f>MID(A288,1,1)</f>
        <v/>
      </c>
      <c r="L288" s="1" t="str">
        <f>MID(A288,2,1)</f>
        <v/>
      </c>
      <c r="M288" s="1" t="str">
        <f>MID(A288,4,1)</f>
        <v/>
      </c>
      <c r="N288" s="1" t="e">
        <f>VLOOKUP(K288,$W:$X,2,0)</f>
        <v>#N/A</v>
      </c>
      <c r="O288" s="1" t="e">
        <f>VLOOKUP(L288,$Z:$AA,2,0)</f>
        <v>#N/A</v>
      </c>
      <c r="P288" s="1" t="e">
        <f>VLOOKUP(M288,$AC:$AD,2,0)</f>
        <v>#N/A</v>
      </c>
      <c r="Q288" s="1">
        <f>IF(A288&lt;&gt;"",P288+O288+N288+H288+I288+J288,0)</f>
        <v>0</v>
      </c>
    </row>
    <row r="289" spans="1:17" x14ac:dyDescent="0.25">
      <c r="A289" s="41"/>
      <c r="C289" s="41"/>
      <c r="E289" s="1" t="str">
        <f>MID(A289,1,2)</f>
        <v/>
      </c>
      <c r="F289" s="1" t="str">
        <f>MID(C289,3,2)</f>
        <v/>
      </c>
      <c r="G289" s="1" t="str">
        <f>CONCATENATE(K289,M289)</f>
        <v/>
      </c>
      <c r="H289" s="1" t="e">
        <f>VLOOKUP(K289,$W$23:$AN$40,MATCH(L289,$W$23:$AN$23,0),FALSE)</f>
        <v>#N/A</v>
      </c>
      <c r="I289" s="1" t="e">
        <f>VLOOKUP(L289,$W$23:$AN$40,MATCH(M289,$W$23:$AN$23,0),FALSE)</f>
        <v>#N/A</v>
      </c>
      <c r="J289" s="1" t="e">
        <f>VLOOKUP(K289,$W$23:$AN$40,MATCH(M289,$W$23:$AN$23,0),FALSE)</f>
        <v>#N/A</v>
      </c>
      <c r="K289" s="1" t="str">
        <f>MID(A289,1,1)</f>
        <v/>
      </c>
      <c r="L289" s="1" t="str">
        <f>MID(A289,2,1)</f>
        <v/>
      </c>
      <c r="M289" s="1" t="str">
        <f>MID(A289,4,1)</f>
        <v/>
      </c>
      <c r="N289" s="1" t="e">
        <f>VLOOKUP(K289,$W:$X,2,0)</f>
        <v>#N/A</v>
      </c>
      <c r="O289" s="1" t="e">
        <f>VLOOKUP(L289,$Z:$AA,2,0)</f>
        <v>#N/A</v>
      </c>
      <c r="P289" s="1" t="e">
        <f>VLOOKUP(M289,$AC:$AD,2,0)</f>
        <v>#N/A</v>
      </c>
      <c r="Q289" s="1">
        <f>IF(A289&lt;&gt;"",P289+O289+N289+H289+I289+J289,0)</f>
        <v>0</v>
      </c>
    </row>
    <row r="290" spans="1:17" x14ac:dyDescent="0.25">
      <c r="A290" s="41"/>
      <c r="C290" s="41"/>
      <c r="E290" s="1" t="str">
        <f>MID(A290,1,2)</f>
        <v/>
      </c>
      <c r="F290" s="1" t="str">
        <f>MID(C290,3,2)</f>
        <v/>
      </c>
      <c r="G290" s="1" t="str">
        <f>CONCATENATE(K290,M290)</f>
        <v/>
      </c>
      <c r="H290" s="1" t="e">
        <f>VLOOKUP(K290,$W$23:$AN$40,MATCH(L290,$W$23:$AN$23,0),FALSE)</f>
        <v>#N/A</v>
      </c>
      <c r="I290" s="1" t="e">
        <f>VLOOKUP(L290,$W$23:$AN$40,MATCH(M290,$W$23:$AN$23,0),FALSE)</f>
        <v>#N/A</v>
      </c>
      <c r="J290" s="1" t="e">
        <f>VLOOKUP(K290,$W$23:$AN$40,MATCH(M290,$W$23:$AN$23,0),FALSE)</f>
        <v>#N/A</v>
      </c>
      <c r="K290" s="1" t="str">
        <f>MID(A290,1,1)</f>
        <v/>
      </c>
      <c r="L290" s="1" t="str">
        <f>MID(A290,2,1)</f>
        <v/>
      </c>
      <c r="M290" s="1" t="str">
        <f>MID(A290,4,1)</f>
        <v/>
      </c>
      <c r="N290" s="1" t="e">
        <f>VLOOKUP(K290,$W:$X,2,0)</f>
        <v>#N/A</v>
      </c>
      <c r="O290" s="1" t="e">
        <f>VLOOKUP(L290,$Z:$AA,2,0)</f>
        <v>#N/A</v>
      </c>
      <c r="P290" s="1" t="e">
        <f>VLOOKUP(M290,$AC:$AD,2,0)</f>
        <v>#N/A</v>
      </c>
      <c r="Q290" s="1">
        <f>IF(A290&lt;&gt;"",P290+O290+N290+H290+I290+J290,0)</f>
        <v>0</v>
      </c>
    </row>
    <row r="291" spans="1:17" x14ac:dyDescent="0.25">
      <c r="A291" s="41"/>
      <c r="C291" s="41"/>
      <c r="E291" s="1" t="str">
        <f>MID(A291,1,2)</f>
        <v/>
      </c>
      <c r="F291" s="1" t="str">
        <f>MID(C291,3,2)</f>
        <v/>
      </c>
      <c r="G291" s="1" t="str">
        <f>CONCATENATE(K291,M291)</f>
        <v/>
      </c>
      <c r="H291" s="1" t="e">
        <f>VLOOKUP(K291,$W$23:$AN$40,MATCH(L291,$W$23:$AN$23,0),FALSE)</f>
        <v>#N/A</v>
      </c>
      <c r="I291" s="1" t="e">
        <f>VLOOKUP(L291,$W$23:$AN$40,MATCH(M291,$W$23:$AN$23,0),FALSE)</f>
        <v>#N/A</v>
      </c>
      <c r="J291" s="1" t="e">
        <f>VLOOKUP(K291,$W$23:$AN$40,MATCH(M291,$W$23:$AN$23,0),FALSE)</f>
        <v>#N/A</v>
      </c>
      <c r="K291" s="1" t="str">
        <f>MID(A291,1,1)</f>
        <v/>
      </c>
      <c r="L291" s="1" t="str">
        <f>MID(A291,2,1)</f>
        <v/>
      </c>
      <c r="M291" s="1" t="str">
        <f>MID(A291,4,1)</f>
        <v/>
      </c>
      <c r="N291" s="1" t="e">
        <f>VLOOKUP(K291,$W:$X,2,0)</f>
        <v>#N/A</v>
      </c>
      <c r="O291" s="1" t="e">
        <f>VLOOKUP(L291,$Z:$AA,2,0)</f>
        <v>#N/A</v>
      </c>
      <c r="P291" s="1" t="e">
        <f>VLOOKUP(M291,$AC:$AD,2,0)</f>
        <v>#N/A</v>
      </c>
      <c r="Q291" s="1">
        <f>IF(A291&lt;&gt;"",P291+O291+N291+H291+I291+J291,0)</f>
        <v>0</v>
      </c>
    </row>
    <row r="292" spans="1:17" x14ac:dyDescent="0.25">
      <c r="A292" s="41"/>
      <c r="C292" s="41"/>
      <c r="E292" s="1" t="str">
        <f>MID(A292,1,2)</f>
        <v/>
      </c>
      <c r="F292" s="1" t="str">
        <f>MID(C292,3,2)</f>
        <v/>
      </c>
      <c r="G292" s="1" t="str">
        <f>CONCATENATE(K292,M292)</f>
        <v/>
      </c>
      <c r="H292" s="1" t="e">
        <f>VLOOKUP(K292,$W$23:$AN$40,MATCH(L292,$W$23:$AN$23,0),FALSE)</f>
        <v>#N/A</v>
      </c>
      <c r="I292" s="1" t="e">
        <f>VLOOKUP(L292,$W$23:$AN$40,MATCH(M292,$W$23:$AN$23,0),FALSE)</f>
        <v>#N/A</v>
      </c>
      <c r="J292" s="1" t="e">
        <f>VLOOKUP(K292,$W$23:$AN$40,MATCH(M292,$W$23:$AN$23,0),FALSE)</f>
        <v>#N/A</v>
      </c>
      <c r="K292" s="1" t="str">
        <f>MID(A292,1,1)</f>
        <v/>
      </c>
      <c r="L292" s="1" t="str">
        <f>MID(A292,2,1)</f>
        <v/>
      </c>
      <c r="M292" s="1" t="str">
        <f>MID(A292,4,1)</f>
        <v/>
      </c>
      <c r="N292" s="1" t="e">
        <f>VLOOKUP(K292,$W:$X,2,0)</f>
        <v>#N/A</v>
      </c>
      <c r="O292" s="1" t="e">
        <f>VLOOKUP(L292,$Z:$AA,2,0)</f>
        <v>#N/A</v>
      </c>
      <c r="P292" s="1" t="e">
        <f>VLOOKUP(M292,$AC:$AD,2,0)</f>
        <v>#N/A</v>
      </c>
      <c r="Q292" s="1">
        <f>IF(A292&lt;&gt;"",P292+O292+N292+H292+I292+J292,0)</f>
        <v>0</v>
      </c>
    </row>
    <row r="293" spans="1:17" x14ac:dyDescent="0.25">
      <c r="A293" s="41"/>
      <c r="C293" s="41"/>
      <c r="E293" s="1" t="str">
        <f>MID(A293,1,2)</f>
        <v/>
      </c>
      <c r="F293" s="1" t="str">
        <f>MID(C293,3,2)</f>
        <v/>
      </c>
      <c r="G293" s="1" t="str">
        <f>CONCATENATE(K293,M293)</f>
        <v/>
      </c>
      <c r="H293" s="1" t="e">
        <f>VLOOKUP(K293,$W$23:$AN$40,MATCH(L293,$W$23:$AN$23,0),FALSE)</f>
        <v>#N/A</v>
      </c>
      <c r="I293" s="1" t="e">
        <f>VLOOKUP(L293,$W$23:$AN$40,MATCH(M293,$W$23:$AN$23,0),FALSE)</f>
        <v>#N/A</v>
      </c>
      <c r="J293" s="1" t="e">
        <f>VLOOKUP(K293,$W$23:$AN$40,MATCH(M293,$W$23:$AN$23,0),FALSE)</f>
        <v>#N/A</v>
      </c>
      <c r="K293" s="1" t="str">
        <f>MID(A293,1,1)</f>
        <v/>
      </c>
      <c r="L293" s="1" t="str">
        <f>MID(A293,2,1)</f>
        <v/>
      </c>
      <c r="M293" s="1" t="str">
        <f>MID(A293,4,1)</f>
        <v/>
      </c>
      <c r="N293" s="1" t="e">
        <f>VLOOKUP(K293,$W:$X,2,0)</f>
        <v>#N/A</v>
      </c>
      <c r="O293" s="1" t="e">
        <f>VLOOKUP(L293,$Z:$AA,2,0)</f>
        <v>#N/A</v>
      </c>
      <c r="P293" s="1" t="e">
        <f>VLOOKUP(M293,$AC:$AD,2,0)</f>
        <v>#N/A</v>
      </c>
      <c r="Q293" s="1">
        <f>IF(A293&lt;&gt;"",P293+O293+N293+H293+I293+J293,0)</f>
        <v>0</v>
      </c>
    </row>
    <row r="294" spans="1:17" x14ac:dyDescent="0.25">
      <c r="A294" s="41"/>
      <c r="C294" s="41"/>
      <c r="E294" s="1" t="str">
        <f>MID(A294,1,2)</f>
        <v/>
      </c>
      <c r="F294" s="1" t="str">
        <f>MID(C294,3,2)</f>
        <v/>
      </c>
      <c r="G294" s="1" t="str">
        <f>CONCATENATE(K294,M294)</f>
        <v/>
      </c>
      <c r="H294" s="1" t="e">
        <f>VLOOKUP(K294,$W$23:$AN$40,MATCH(L294,$W$23:$AN$23,0),FALSE)</f>
        <v>#N/A</v>
      </c>
      <c r="I294" s="1" t="e">
        <f>VLOOKUP(L294,$W$23:$AN$40,MATCH(M294,$W$23:$AN$23,0),FALSE)</f>
        <v>#N/A</v>
      </c>
      <c r="J294" s="1" t="e">
        <f>VLOOKUP(K294,$W$23:$AN$40,MATCH(M294,$W$23:$AN$23,0),FALSE)</f>
        <v>#N/A</v>
      </c>
      <c r="K294" s="1" t="str">
        <f>MID(A294,1,1)</f>
        <v/>
      </c>
      <c r="L294" s="1" t="str">
        <f>MID(A294,2,1)</f>
        <v/>
      </c>
      <c r="M294" s="1" t="str">
        <f>MID(A294,4,1)</f>
        <v/>
      </c>
      <c r="N294" s="1" t="e">
        <f>VLOOKUP(K294,$W:$X,2,0)</f>
        <v>#N/A</v>
      </c>
      <c r="O294" s="1" t="e">
        <f>VLOOKUP(L294,$Z:$AA,2,0)</f>
        <v>#N/A</v>
      </c>
      <c r="P294" s="1" t="e">
        <f>VLOOKUP(M294,$AC:$AD,2,0)</f>
        <v>#N/A</v>
      </c>
      <c r="Q294" s="1">
        <f>IF(A294&lt;&gt;"",P294+O294+N294+H294+I294+J294,0)</f>
        <v>0</v>
      </c>
    </row>
    <row r="295" spans="1:17" x14ac:dyDescent="0.25">
      <c r="A295" s="41"/>
      <c r="C295" s="41"/>
      <c r="E295" s="1" t="str">
        <f>MID(A295,1,2)</f>
        <v/>
      </c>
      <c r="F295" s="1" t="str">
        <f>MID(C295,3,2)</f>
        <v/>
      </c>
      <c r="G295" s="1" t="str">
        <f>CONCATENATE(K295,M295)</f>
        <v/>
      </c>
      <c r="H295" s="1" t="e">
        <f>VLOOKUP(K295,$W$23:$AN$40,MATCH(L295,$W$23:$AN$23,0),FALSE)</f>
        <v>#N/A</v>
      </c>
      <c r="I295" s="1" t="e">
        <f>VLOOKUP(L295,$W$23:$AN$40,MATCH(M295,$W$23:$AN$23,0),FALSE)</f>
        <v>#N/A</v>
      </c>
      <c r="J295" s="1" t="e">
        <f>VLOOKUP(K295,$W$23:$AN$40,MATCH(M295,$W$23:$AN$23,0),FALSE)</f>
        <v>#N/A</v>
      </c>
      <c r="K295" s="1" t="str">
        <f>MID(A295,1,1)</f>
        <v/>
      </c>
      <c r="L295" s="1" t="str">
        <f>MID(A295,2,1)</f>
        <v/>
      </c>
      <c r="M295" s="1" t="str">
        <f>MID(A295,4,1)</f>
        <v/>
      </c>
      <c r="N295" s="1" t="e">
        <f>VLOOKUP(K295,$W:$X,2,0)</f>
        <v>#N/A</v>
      </c>
      <c r="O295" s="1" t="e">
        <f>VLOOKUP(L295,$Z:$AA,2,0)</f>
        <v>#N/A</v>
      </c>
      <c r="P295" s="1" t="e">
        <f>VLOOKUP(M295,$AC:$AD,2,0)</f>
        <v>#N/A</v>
      </c>
      <c r="Q295" s="1">
        <f>IF(A295&lt;&gt;"",P295+O295+N295+H295+I295+J295,0)</f>
        <v>0</v>
      </c>
    </row>
    <row r="296" spans="1:17" x14ac:dyDescent="0.25">
      <c r="A296" s="41"/>
      <c r="C296" s="41"/>
      <c r="E296" s="1" t="str">
        <f>MID(A296,1,2)</f>
        <v/>
      </c>
      <c r="F296" s="1" t="str">
        <f>MID(C296,3,2)</f>
        <v/>
      </c>
      <c r="G296" s="1" t="str">
        <f>CONCATENATE(K296,M296)</f>
        <v/>
      </c>
      <c r="H296" s="1" t="e">
        <f>VLOOKUP(K296,$W$23:$AN$40,MATCH(L296,$W$23:$AN$23,0),FALSE)</f>
        <v>#N/A</v>
      </c>
      <c r="I296" s="1" t="e">
        <f>VLOOKUP(L296,$W$23:$AN$40,MATCH(M296,$W$23:$AN$23,0),FALSE)</f>
        <v>#N/A</v>
      </c>
      <c r="J296" s="1" t="e">
        <f>VLOOKUP(K296,$W$23:$AN$40,MATCH(M296,$W$23:$AN$23,0),FALSE)</f>
        <v>#N/A</v>
      </c>
      <c r="K296" s="1" t="str">
        <f>MID(A296,1,1)</f>
        <v/>
      </c>
      <c r="L296" s="1" t="str">
        <f>MID(A296,2,1)</f>
        <v/>
      </c>
      <c r="M296" s="1" t="str">
        <f>MID(A296,4,1)</f>
        <v/>
      </c>
      <c r="N296" s="1" t="e">
        <f>VLOOKUP(K296,$W:$X,2,0)</f>
        <v>#N/A</v>
      </c>
      <c r="O296" s="1" t="e">
        <f>VLOOKUP(L296,$Z:$AA,2,0)</f>
        <v>#N/A</v>
      </c>
      <c r="P296" s="1" t="e">
        <f>VLOOKUP(M296,$AC:$AD,2,0)</f>
        <v>#N/A</v>
      </c>
      <c r="Q296" s="1">
        <f>IF(A296&lt;&gt;"",P296+O296+N296+H296+I296+J296,0)</f>
        <v>0</v>
      </c>
    </row>
    <row r="297" spans="1:17" x14ac:dyDescent="0.25">
      <c r="A297" s="41"/>
      <c r="C297" s="41"/>
      <c r="E297" s="1" t="str">
        <f>MID(A297,1,2)</f>
        <v/>
      </c>
      <c r="F297" s="1" t="str">
        <f>MID(C297,3,2)</f>
        <v/>
      </c>
      <c r="G297" s="1" t="str">
        <f>CONCATENATE(K297,M297)</f>
        <v/>
      </c>
      <c r="H297" s="1" t="e">
        <f>VLOOKUP(K297,$W$23:$AN$40,MATCH(L297,$W$23:$AN$23,0),FALSE)</f>
        <v>#N/A</v>
      </c>
      <c r="I297" s="1" t="e">
        <f>VLOOKUP(L297,$W$23:$AN$40,MATCH(M297,$W$23:$AN$23,0),FALSE)</f>
        <v>#N/A</v>
      </c>
      <c r="J297" s="1" t="e">
        <f>VLOOKUP(K297,$W$23:$AN$40,MATCH(M297,$W$23:$AN$23,0),FALSE)</f>
        <v>#N/A</v>
      </c>
      <c r="K297" s="1" t="str">
        <f>MID(A297,1,1)</f>
        <v/>
      </c>
      <c r="L297" s="1" t="str">
        <f>MID(A297,2,1)</f>
        <v/>
      </c>
      <c r="M297" s="1" t="str">
        <f>MID(A297,4,1)</f>
        <v/>
      </c>
      <c r="N297" s="1" t="e">
        <f>VLOOKUP(K297,$W:$X,2,0)</f>
        <v>#N/A</v>
      </c>
      <c r="O297" s="1" t="e">
        <f>VLOOKUP(L297,$Z:$AA,2,0)</f>
        <v>#N/A</v>
      </c>
      <c r="P297" s="1" t="e">
        <f>VLOOKUP(M297,$AC:$AD,2,0)</f>
        <v>#N/A</v>
      </c>
      <c r="Q297" s="1">
        <f>IF(A297&lt;&gt;"",P297+O297+N297+H297+I297+J297,0)</f>
        <v>0</v>
      </c>
    </row>
    <row r="298" spans="1:17" x14ac:dyDescent="0.25">
      <c r="A298" s="41"/>
      <c r="C298" s="41"/>
      <c r="E298" s="1" t="str">
        <f>MID(A298,1,2)</f>
        <v/>
      </c>
      <c r="F298" s="1" t="str">
        <f>MID(C298,3,2)</f>
        <v/>
      </c>
      <c r="G298" s="1" t="str">
        <f>CONCATENATE(K298,M298)</f>
        <v/>
      </c>
      <c r="H298" s="1" t="e">
        <f>VLOOKUP(K298,$W$23:$AN$40,MATCH(L298,$W$23:$AN$23,0),FALSE)</f>
        <v>#N/A</v>
      </c>
      <c r="I298" s="1" t="e">
        <f>VLOOKUP(L298,$W$23:$AN$40,MATCH(M298,$W$23:$AN$23,0),FALSE)</f>
        <v>#N/A</v>
      </c>
      <c r="J298" s="1" t="e">
        <f>VLOOKUP(K298,$W$23:$AN$40,MATCH(M298,$W$23:$AN$23,0),FALSE)</f>
        <v>#N/A</v>
      </c>
      <c r="K298" s="1" t="str">
        <f>MID(A298,1,1)</f>
        <v/>
      </c>
      <c r="L298" s="1" t="str">
        <f>MID(A298,2,1)</f>
        <v/>
      </c>
      <c r="M298" s="1" t="str">
        <f>MID(A298,4,1)</f>
        <v/>
      </c>
      <c r="N298" s="1" t="e">
        <f>VLOOKUP(K298,$W:$X,2,0)</f>
        <v>#N/A</v>
      </c>
      <c r="O298" s="1" t="e">
        <f>VLOOKUP(L298,$Z:$AA,2,0)</f>
        <v>#N/A</v>
      </c>
      <c r="P298" s="1" t="e">
        <f>VLOOKUP(M298,$AC:$AD,2,0)</f>
        <v>#N/A</v>
      </c>
      <c r="Q298" s="1">
        <f>IF(A298&lt;&gt;"",P298+O298+N298+H298+I298+J298,0)</f>
        <v>0</v>
      </c>
    </row>
    <row r="299" spans="1:17" x14ac:dyDescent="0.25">
      <c r="A299" s="41"/>
      <c r="C299" s="41"/>
      <c r="E299" s="1" t="str">
        <f>MID(A299,1,2)</f>
        <v/>
      </c>
      <c r="F299" s="1" t="str">
        <f>MID(C299,3,2)</f>
        <v/>
      </c>
      <c r="G299" s="1" t="str">
        <f>CONCATENATE(K299,M299)</f>
        <v/>
      </c>
      <c r="H299" s="1" t="e">
        <f>VLOOKUP(K299,$W$23:$AN$40,MATCH(L299,$W$23:$AN$23,0),FALSE)</f>
        <v>#N/A</v>
      </c>
      <c r="I299" s="1" t="e">
        <f>VLOOKUP(L299,$W$23:$AN$40,MATCH(M299,$W$23:$AN$23,0),FALSE)</f>
        <v>#N/A</v>
      </c>
      <c r="J299" s="1" t="e">
        <f>VLOOKUP(K299,$W$23:$AN$40,MATCH(M299,$W$23:$AN$23,0),FALSE)</f>
        <v>#N/A</v>
      </c>
      <c r="K299" s="1" t="str">
        <f>MID(A299,1,1)</f>
        <v/>
      </c>
      <c r="L299" s="1" t="str">
        <f>MID(A299,2,1)</f>
        <v/>
      </c>
      <c r="M299" s="1" t="str">
        <f>MID(A299,4,1)</f>
        <v/>
      </c>
      <c r="N299" s="1" t="e">
        <f>VLOOKUP(K299,$W:$X,2,0)</f>
        <v>#N/A</v>
      </c>
      <c r="O299" s="1" t="e">
        <f>VLOOKUP(L299,$Z:$AA,2,0)</f>
        <v>#N/A</v>
      </c>
      <c r="P299" s="1" t="e">
        <f>VLOOKUP(M299,$AC:$AD,2,0)</f>
        <v>#N/A</v>
      </c>
      <c r="Q299" s="1">
        <f>IF(A299&lt;&gt;"",P299+O299+N299+H299+I299+J299,0)</f>
        <v>0</v>
      </c>
    </row>
    <row r="300" spans="1:17" x14ac:dyDescent="0.25">
      <c r="A300" s="41"/>
      <c r="C300" s="41"/>
      <c r="E300" s="1" t="str">
        <f>MID(A300,1,2)</f>
        <v/>
      </c>
      <c r="F300" s="1" t="str">
        <f>MID(C300,3,2)</f>
        <v/>
      </c>
      <c r="G300" s="1" t="str">
        <f>CONCATENATE(K300,M300)</f>
        <v/>
      </c>
      <c r="H300" s="1" t="e">
        <f>VLOOKUP(K300,$W$23:$AN$40,MATCH(L300,$W$23:$AN$23,0),FALSE)</f>
        <v>#N/A</v>
      </c>
      <c r="I300" s="1" t="e">
        <f>VLOOKUP(L300,$W$23:$AN$40,MATCH(M300,$W$23:$AN$23,0),FALSE)</f>
        <v>#N/A</v>
      </c>
      <c r="J300" s="1" t="e">
        <f>VLOOKUP(K300,$W$23:$AN$40,MATCH(M300,$W$23:$AN$23,0),FALSE)</f>
        <v>#N/A</v>
      </c>
      <c r="K300" s="1" t="str">
        <f>MID(A300,1,1)</f>
        <v/>
      </c>
      <c r="L300" s="1" t="str">
        <f>MID(A300,2,1)</f>
        <v/>
      </c>
      <c r="M300" s="1" t="str">
        <f>MID(A300,4,1)</f>
        <v/>
      </c>
      <c r="N300" s="1" t="e">
        <f>VLOOKUP(K300,$W:$X,2,0)</f>
        <v>#N/A</v>
      </c>
      <c r="O300" s="1" t="e">
        <f>VLOOKUP(L300,$Z:$AA,2,0)</f>
        <v>#N/A</v>
      </c>
      <c r="P300" s="1" t="e">
        <f>VLOOKUP(M300,$AC:$AD,2,0)</f>
        <v>#N/A</v>
      </c>
      <c r="Q300" s="1">
        <f>IF(A300&lt;&gt;"",P300+O300+N300+H300+I300+J300,0)</f>
        <v>0</v>
      </c>
    </row>
    <row r="301" spans="1:17" x14ac:dyDescent="0.25">
      <c r="A301" s="41"/>
      <c r="C301" s="41"/>
      <c r="E301" s="1" t="str">
        <f>MID(A301,1,2)</f>
        <v/>
      </c>
      <c r="F301" s="1" t="str">
        <f>MID(C301,3,2)</f>
        <v/>
      </c>
      <c r="G301" s="1" t="str">
        <f>CONCATENATE(K301,M301)</f>
        <v/>
      </c>
      <c r="H301" s="1" t="e">
        <f>VLOOKUP(K301,$W$23:$AN$40,MATCH(L301,$W$23:$AN$23,0),FALSE)</f>
        <v>#N/A</v>
      </c>
      <c r="I301" s="1" t="e">
        <f>VLOOKUP(L301,$W$23:$AN$40,MATCH(M301,$W$23:$AN$23,0),FALSE)</f>
        <v>#N/A</v>
      </c>
      <c r="J301" s="1" t="e">
        <f>VLOOKUP(K301,$W$23:$AN$40,MATCH(M301,$W$23:$AN$23,0),FALSE)</f>
        <v>#N/A</v>
      </c>
      <c r="K301" s="1" t="str">
        <f>MID(A301,1,1)</f>
        <v/>
      </c>
      <c r="L301" s="1" t="str">
        <f>MID(A301,2,1)</f>
        <v/>
      </c>
      <c r="M301" s="1" t="str">
        <f>MID(A301,4,1)</f>
        <v/>
      </c>
      <c r="N301" s="1" t="e">
        <f>VLOOKUP(K301,$W:$X,2,0)</f>
        <v>#N/A</v>
      </c>
      <c r="O301" s="1" t="e">
        <f>VLOOKUP(L301,$Z:$AA,2,0)</f>
        <v>#N/A</v>
      </c>
      <c r="P301" s="1" t="e">
        <f>VLOOKUP(M301,$AC:$AD,2,0)</f>
        <v>#N/A</v>
      </c>
      <c r="Q301" s="1">
        <f>IF(A301&lt;&gt;"",P301+O301+N301+H301+I301+J301,0)</f>
        <v>0</v>
      </c>
    </row>
    <row r="302" spans="1:17" x14ac:dyDescent="0.25">
      <c r="A302" s="41"/>
      <c r="C302" s="41"/>
      <c r="E302" s="1" t="str">
        <f>MID(A302,1,2)</f>
        <v/>
      </c>
      <c r="F302" s="1" t="str">
        <f>MID(C302,3,2)</f>
        <v/>
      </c>
      <c r="G302" s="1" t="str">
        <f>CONCATENATE(K302,M302)</f>
        <v/>
      </c>
      <c r="H302" s="1" t="e">
        <f>VLOOKUP(K302,$W$23:$AN$40,MATCH(L302,$W$23:$AN$23,0),FALSE)</f>
        <v>#N/A</v>
      </c>
      <c r="I302" s="1" t="e">
        <f>VLOOKUP(L302,$W$23:$AN$40,MATCH(M302,$W$23:$AN$23,0),FALSE)</f>
        <v>#N/A</v>
      </c>
      <c r="J302" s="1" t="e">
        <f>VLOOKUP(K302,$W$23:$AN$40,MATCH(M302,$W$23:$AN$23,0),FALSE)</f>
        <v>#N/A</v>
      </c>
      <c r="K302" s="1" t="str">
        <f>MID(A302,1,1)</f>
        <v/>
      </c>
      <c r="L302" s="1" t="str">
        <f>MID(A302,2,1)</f>
        <v/>
      </c>
      <c r="M302" s="1" t="str">
        <f>MID(A302,4,1)</f>
        <v/>
      </c>
      <c r="N302" s="1" t="e">
        <f>VLOOKUP(K302,$W:$X,2,0)</f>
        <v>#N/A</v>
      </c>
      <c r="O302" s="1" t="e">
        <f>VLOOKUP(L302,$Z:$AA,2,0)</f>
        <v>#N/A</v>
      </c>
      <c r="P302" s="1" t="e">
        <f>VLOOKUP(M302,$AC:$AD,2,0)</f>
        <v>#N/A</v>
      </c>
      <c r="Q302" s="1">
        <f>IF(A302&lt;&gt;"",P302+O302+N302+H302+I302+J302,0)</f>
        <v>0</v>
      </c>
    </row>
    <row r="303" spans="1:17" x14ac:dyDescent="0.25">
      <c r="A303" s="41"/>
      <c r="C303" s="41"/>
      <c r="E303" s="1" t="str">
        <f>MID(A303,1,2)</f>
        <v/>
      </c>
      <c r="F303" s="1" t="str">
        <f>MID(C303,3,2)</f>
        <v/>
      </c>
      <c r="G303" s="1" t="str">
        <f>CONCATENATE(K303,M303)</f>
        <v/>
      </c>
      <c r="H303" s="1" t="e">
        <f>VLOOKUP(K303,$W$23:$AN$40,MATCH(L303,$W$23:$AN$23,0),FALSE)</f>
        <v>#N/A</v>
      </c>
      <c r="I303" s="1" t="e">
        <f>VLOOKUP(L303,$W$23:$AN$40,MATCH(M303,$W$23:$AN$23,0),FALSE)</f>
        <v>#N/A</v>
      </c>
      <c r="J303" s="1" t="e">
        <f>VLOOKUP(K303,$W$23:$AN$40,MATCH(M303,$W$23:$AN$23,0),FALSE)</f>
        <v>#N/A</v>
      </c>
      <c r="K303" s="1" t="str">
        <f>MID(A303,1,1)</f>
        <v/>
      </c>
      <c r="L303" s="1" t="str">
        <f>MID(A303,2,1)</f>
        <v/>
      </c>
      <c r="M303" s="1" t="str">
        <f>MID(A303,4,1)</f>
        <v/>
      </c>
      <c r="N303" s="1" t="e">
        <f>VLOOKUP(K303,$W:$X,2,0)</f>
        <v>#N/A</v>
      </c>
      <c r="O303" s="1" t="e">
        <f>VLOOKUP(L303,$Z:$AA,2,0)</f>
        <v>#N/A</v>
      </c>
      <c r="P303" s="1" t="e">
        <f>VLOOKUP(M303,$AC:$AD,2,0)</f>
        <v>#N/A</v>
      </c>
      <c r="Q303" s="1">
        <f>IF(A303&lt;&gt;"",P303+O303+N303+H303+I303+J303,0)</f>
        <v>0</v>
      </c>
    </row>
    <row r="304" spans="1:17" x14ac:dyDescent="0.25">
      <c r="A304" s="41"/>
      <c r="C304" s="41"/>
      <c r="E304" s="1" t="str">
        <f>MID(A304,1,2)</f>
        <v/>
      </c>
      <c r="F304" s="1" t="str">
        <f>MID(C304,3,2)</f>
        <v/>
      </c>
      <c r="G304" s="1" t="str">
        <f>CONCATENATE(K304,M304)</f>
        <v/>
      </c>
      <c r="H304" s="1" t="e">
        <f>VLOOKUP(K304,$W$23:$AN$40,MATCH(L304,$W$23:$AN$23,0),FALSE)</f>
        <v>#N/A</v>
      </c>
      <c r="I304" s="1" t="e">
        <f>VLOOKUP(L304,$W$23:$AN$40,MATCH(M304,$W$23:$AN$23,0),FALSE)</f>
        <v>#N/A</v>
      </c>
      <c r="J304" s="1" t="e">
        <f>VLOOKUP(K304,$W$23:$AN$40,MATCH(M304,$W$23:$AN$23,0),FALSE)</f>
        <v>#N/A</v>
      </c>
      <c r="K304" s="1" t="str">
        <f>MID(A304,1,1)</f>
        <v/>
      </c>
      <c r="L304" s="1" t="str">
        <f>MID(A304,2,1)</f>
        <v/>
      </c>
      <c r="M304" s="1" t="str">
        <f>MID(A304,4,1)</f>
        <v/>
      </c>
      <c r="N304" s="1" t="e">
        <f>VLOOKUP(K304,$W:$X,2,0)</f>
        <v>#N/A</v>
      </c>
      <c r="O304" s="1" t="e">
        <f>VLOOKUP(L304,$Z:$AA,2,0)</f>
        <v>#N/A</v>
      </c>
      <c r="P304" s="1" t="e">
        <f>VLOOKUP(M304,$AC:$AD,2,0)</f>
        <v>#N/A</v>
      </c>
      <c r="Q304" s="1">
        <f>IF(A304&lt;&gt;"",P304+O304+N304+H304+I304+J304,0)</f>
        <v>0</v>
      </c>
    </row>
    <row r="305" spans="1:17" x14ac:dyDescent="0.25">
      <c r="A305" s="41"/>
      <c r="C305" s="41"/>
      <c r="E305" s="1" t="str">
        <f>MID(A305,1,2)</f>
        <v/>
      </c>
      <c r="F305" s="1" t="str">
        <f>MID(C305,3,2)</f>
        <v/>
      </c>
      <c r="G305" s="1" t="str">
        <f>CONCATENATE(K305,M305)</f>
        <v/>
      </c>
      <c r="H305" s="1" t="e">
        <f>VLOOKUP(K305,$W$23:$AN$40,MATCH(L305,$W$23:$AN$23,0),FALSE)</f>
        <v>#N/A</v>
      </c>
      <c r="I305" s="1" t="e">
        <f>VLOOKUP(L305,$W$23:$AN$40,MATCH(M305,$W$23:$AN$23,0),FALSE)</f>
        <v>#N/A</v>
      </c>
      <c r="J305" s="1" t="e">
        <f>VLOOKUP(K305,$W$23:$AN$40,MATCH(M305,$W$23:$AN$23,0),FALSE)</f>
        <v>#N/A</v>
      </c>
      <c r="K305" s="1" t="str">
        <f>MID(A305,1,1)</f>
        <v/>
      </c>
      <c r="L305" s="1" t="str">
        <f>MID(A305,2,1)</f>
        <v/>
      </c>
      <c r="M305" s="1" t="str">
        <f>MID(A305,4,1)</f>
        <v/>
      </c>
      <c r="N305" s="1" t="e">
        <f>VLOOKUP(K305,$W:$X,2,0)</f>
        <v>#N/A</v>
      </c>
      <c r="O305" s="1" t="e">
        <f>VLOOKUP(L305,$Z:$AA,2,0)</f>
        <v>#N/A</v>
      </c>
      <c r="P305" s="1" t="e">
        <f>VLOOKUP(M305,$AC:$AD,2,0)</f>
        <v>#N/A</v>
      </c>
      <c r="Q305" s="1">
        <f>IF(A305&lt;&gt;"",P305+O305+N305+H305+I305+J305,0)</f>
        <v>0</v>
      </c>
    </row>
    <row r="306" spans="1:17" x14ac:dyDescent="0.25">
      <c r="A306" s="41"/>
      <c r="C306" s="41"/>
      <c r="E306" s="1" t="str">
        <f>MID(A306,1,2)</f>
        <v/>
      </c>
      <c r="F306" s="1" t="str">
        <f>MID(C306,3,2)</f>
        <v/>
      </c>
      <c r="G306" s="1" t="str">
        <f>CONCATENATE(K306,M306)</f>
        <v/>
      </c>
      <c r="H306" s="1" t="e">
        <f>VLOOKUP(K306,$W$23:$AN$40,MATCH(L306,$W$23:$AN$23,0),FALSE)</f>
        <v>#N/A</v>
      </c>
      <c r="I306" s="1" t="e">
        <f>VLOOKUP(L306,$W$23:$AN$40,MATCH(M306,$W$23:$AN$23,0),FALSE)</f>
        <v>#N/A</v>
      </c>
      <c r="J306" s="1" t="e">
        <f>VLOOKUP(K306,$W$23:$AN$40,MATCH(M306,$W$23:$AN$23,0),FALSE)</f>
        <v>#N/A</v>
      </c>
      <c r="K306" s="1" t="str">
        <f>MID(A306,1,1)</f>
        <v/>
      </c>
      <c r="L306" s="1" t="str">
        <f>MID(A306,2,1)</f>
        <v/>
      </c>
      <c r="M306" s="1" t="str">
        <f>MID(A306,4,1)</f>
        <v/>
      </c>
      <c r="N306" s="1" t="e">
        <f>VLOOKUP(K306,$W:$X,2,0)</f>
        <v>#N/A</v>
      </c>
      <c r="O306" s="1" t="e">
        <f>VLOOKUP(L306,$Z:$AA,2,0)</f>
        <v>#N/A</v>
      </c>
      <c r="P306" s="1" t="e">
        <f>VLOOKUP(M306,$AC:$AD,2,0)</f>
        <v>#N/A</v>
      </c>
      <c r="Q306" s="1">
        <f>IF(A306&lt;&gt;"",P306+O306+N306+H306+I306+J306,0)</f>
        <v>0</v>
      </c>
    </row>
    <row r="307" spans="1:17" x14ac:dyDescent="0.25">
      <c r="A307" s="41"/>
      <c r="C307" s="41"/>
      <c r="E307" s="1" t="str">
        <f>MID(A307,1,2)</f>
        <v/>
      </c>
      <c r="F307" s="1" t="str">
        <f>MID(C307,3,2)</f>
        <v/>
      </c>
      <c r="G307" s="1" t="str">
        <f>CONCATENATE(K307,M307)</f>
        <v/>
      </c>
      <c r="H307" s="1" t="e">
        <f>VLOOKUP(K307,$W$23:$AN$40,MATCH(L307,$W$23:$AN$23,0),FALSE)</f>
        <v>#N/A</v>
      </c>
      <c r="I307" s="1" t="e">
        <f>VLOOKUP(L307,$W$23:$AN$40,MATCH(M307,$W$23:$AN$23,0),FALSE)</f>
        <v>#N/A</v>
      </c>
      <c r="J307" s="1" t="e">
        <f>VLOOKUP(K307,$W$23:$AN$40,MATCH(M307,$W$23:$AN$23,0),FALSE)</f>
        <v>#N/A</v>
      </c>
      <c r="K307" s="1" t="str">
        <f>MID(A307,1,1)</f>
        <v/>
      </c>
      <c r="L307" s="1" t="str">
        <f>MID(A307,2,1)</f>
        <v/>
      </c>
      <c r="M307" s="1" t="str">
        <f>MID(A307,4,1)</f>
        <v/>
      </c>
      <c r="N307" s="1" t="e">
        <f>VLOOKUP(K307,$W:$X,2,0)</f>
        <v>#N/A</v>
      </c>
      <c r="O307" s="1" t="e">
        <f>VLOOKUP(L307,$Z:$AA,2,0)</f>
        <v>#N/A</v>
      </c>
      <c r="P307" s="1" t="e">
        <f>VLOOKUP(M307,$AC:$AD,2,0)</f>
        <v>#N/A</v>
      </c>
      <c r="Q307" s="1">
        <f>IF(A307&lt;&gt;"",P307+O307+N307+H307+I307+J307,0)</f>
        <v>0</v>
      </c>
    </row>
    <row r="308" spans="1:17" x14ac:dyDescent="0.25">
      <c r="A308" s="41"/>
      <c r="C308" s="41"/>
      <c r="E308" s="1" t="str">
        <f>MID(A308,1,2)</f>
        <v/>
      </c>
      <c r="F308" s="1" t="str">
        <f>MID(C308,3,2)</f>
        <v/>
      </c>
      <c r="G308" s="1" t="str">
        <f>CONCATENATE(K308,M308)</f>
        <v/>
      </c>
      <c r="H308" s="1" t="e">
        <f>VLOOKUP(K308,$W$23:$AN$40,MATCH(L308,$W$23:$AN$23,0),FALSE)</f>
        <v>#N/A</v>
      </c>
      <c r="I308" s="1" t="e">
        <f>VLOOKUP(L308,$W$23:$AN$40,MATCH(M308,$W$23:$AN$23,0),FALSE)</f>
        <v>#N/A</v>
      </c>
      <c r="J308" s="1" t="e">
        <f>VLOOKUP(K308,$W$23:$AN$40,MATCH(M308,$W$23:$AN$23,0),FALSE)</f>
        <v>#N/A</v>
      </c>
      <c r="K308" s="1" t="str">
        <f>MID(A308,1,1)</f>
        <v/>
      </c>
      <c r="L308" s="1" t="str">
        <f>MID(A308,2,1)</f>
        <v/>
      </c>
      <c r="M308" s="1" t="str">
        <f>MID(A308,4,1)</f>
        <v/>
      </c>
      <c r="N308" s="1" t="e">
        <f>VLOOKUP(K308,$W:$X,2,0)</f>
        <v>#N/A</v>
      </c>
      <c r="O308" s="1" t="e">
        <f>VLOOKUP(L308,$Z:$AA,2,0)</f>
        <v>#N/A</v>
      </c>
      <c r="P308" s="1" t="e">
        <f>VLOOKUP(M308,$AC:$AD,2,0)</f>
        <v>#N/A</v>
      </c>
      <c r="Q308" s="1">
        <f>IF(A308&lt;&gt;"",P308+O308+N308+H308+I308+J308,0)</f>
        <v>0</v>
      </c>
    </row>
    <row r="309" spans="1:17" x14ac:dyDescent="0.25">
      <c r="A309" s="41"/>
      <c r="C309" s="41"/>
      <c r="E309" s="1" t="str">
        <f>MID(A309,1,2)</f>
        <v/>
      </c>
      <c r="F309" s="1" t="str">
        <f>MID(C309,3,2)</f>
        <v/>
      </c>
      <c r="G309" s="1" t="str">
        <f>CONCATENATE(K309,M309)</f>
        <v/>
      </c>
      <c r="H309" s="1" t="e">
        <f>VLOOKUP(K309,$W$23:$AN$40,MATCH(L309,$W$23:$AN$23,0),FALSE)</f>
        <v>#N/A</v>
      </c>
      <c r="I309" s="1" t="e">
        <f>VLOOKUP(L309,$W$23:$AN$40,MATCH(M309,$W$23:$AN$23,0),FALSE)</f>
        <v>#N/A</v>
      </c>
      <c r="J309" s="1" t="e">
        <f>VLOOKUP(K309,$W$23:$AN$40,MATCH(M309,$W$23:$AN$23,0),FALSE)</f>
        <v>#N/A</v>
      </c>
      <c r="K309" s="1" t="str">
        <f>MID(A309,1,1)</f>
        <v/>
      </c>
      <c r="L309" s="1" t="str">
        <f>MID(A309,2,1)</f>
        <v/>
      </c>
      <c r="M309" s="1" t="str">
        <f>MID(A309,4,1)</f>
        <v/>
      </c>
      <c r="N309" s="1" t="e">
        <f>VLOOKUP(K309,$W:$X,2,0)</f>
        <v>#N/A</v>
      </c>
      <c r="O309" s="1" t="e">
        <f>VLOOKUP(L309,$Z:$AA,2,0)</f>
        <v>#N/A</v>
      </c>
      <c r="P309" s="1" t="e">
        <f>VLOOKUP(M309,$AC:$AD,2,0)</f>
        <v>#N/A</v>
      </c>
      <c r="Q309" s="1">
        <f>IF(A309&lt;&gt;"",P309+O309+N309+H309+I309+J309,0)</f>
        <v>0</v>
      </c>
    </row>
    <row r="310" spans="1:17" x14ac:dyDescent="0.25">
      <c r="A310" s="41"/>
      <c r="C310" s="41"/>
      <c r="E310" s="1" t="str">
        <f>MID(A310,1,2)</f>
        <v/>
      </c>
      <c r="F310" s="1" t="str">
        <f>MID(C310,3,2)</f>
        <v/>
      </c>
      <c r="G310" s="1" t="str">
        <f>CONCATENATE(K310,M310)</f>
        <v/>
      </c>
      <c r="H310" s="1" t="e">
        <f>VLOOKUP(K310,$W$23:$AN$40,MATCH(L310,$W$23:$AN$23,0),FALSE)</f>
        <v>#N/A</v>
      </c>
      <c r="I310" s="1" t="e">
        <f>VLOOKUP(L310,$W$23:$AN$40,MATCH(M310,$W$23:$AN$23,0),FALSE)</f>
        <v>#N/A</v>
      </c>
      <c r="J310" s="1" t="e">
        <f>VLOOKUP(K310,$W$23:$AN$40,MATCH(M310,$W$23:$AN$23,0),FALSE)</f>
        <v>#N/A</v>
      </c>
      <c r="K310" s="1" t="str">
        <f>MID(A310,1,1)</f>
        <v/>
      </c>
      <c r="L310" s="1" t="str">
        <f>MID(A310,2,1)</f>
        <v/>
      </c>
      <c r="M310" s="1" t="str">
        <f>MID(A310,4,1)</f>
        <v/>
      </c>
      <c r="N310" s="1" t="e">
        <f>VLOOKUP(K310,$W:$X,2,0)</f>
        <v>#N/A</v>
      </c>
      <c r="O310" s="1" t="e">
        <f>VLOOKUP(L310,$Z:$AA,2,0)</f>
        <v>#N/A</v>
      </c>
      <c r="P310" s="1" t="e">
        <f>VLOOKUP(M310,$AC:$AD,2,0)</f>
        <v>#N/A</v>
      </c>
      <c r="Q310" s="1">
        <f>IF(A310&lt;&gt;"",P310+O310+N310+H310+I310+J310,0)</f>
        <v>0</v>
      </c>
    </row>
    <row r="311" spans="1:17" x14ac:dyDescent="0.25">
      <c r="A311" s="41"/>
      <c r="C311" s="41"/>
      <c r="E311" s="1" t="str">
        <f>MID(A311,1,2)</f>
        <v/>
      </c>
      <c r="F311" s="1" t="str">
        <f>MID(C311,3,2)</f>
        <v/>
      </c>
      <c r="G311" s="1" t="str">
        <f>CONCATENATE(K311,M311)</f>
        <v/>
      </c>
      <c r="H311" s="1" t="e">
        <f>VLOOKUP(K311,$W$23:$AN$40,MATCH(L311,$W$23:$AN$23,0),FALSE)</f>
        <v>#N/A</v>
      </c>
      <c r="I311" s="1" t="e">
        <f>VLOOKUP(L311,$W$23:$AN$40,MATCH(M311,$W$23:$AN$23,0),FALSE)</f>
        <v>#N/A</v>
      </c>
      <c r="J311" s="1" t="e">
        <f>VLOOKUP(K311,$W$23:$AN$40,MATCH(M311,$W$23:$AN$23,0),FALSE)</f>
        <v>#N/A</v>
      </c>
      <c r="K311" s="1" t="str">
        <f>MID(A311,1,1)</f>
        <v/>
      </c>
      <c r="L311" s="1" t="str">
        <f>MID(A311,2,1)</f>
        <v/>
      </c>
      <c r="M311" s="1" t="str">
        <f>MID(A311,4,1)</f>
        <v/>
      </c>
      <c r="N311" s="1" t="e">
        <f>VLOOKUP(K311,$W:$X,2,0)</f>
        <v>#N/A</v>
      </c>
      <c r="O311" s="1" t="e">
        <f>VLOOKUP(L311,$Z:$AA,2,0)</f>
        <v>#N/A</v>
      </c>
      <c r="P311" s="1" t="e">
        <f>VLOOKUP(M311,$AC:$AD,2,0)</f>
        <v>#N/A</v>
      </c>
      <c r="Q311" s="1">
        <f>IF(A311&lt;&gt;"",P311+O311+N311+H311+I311+J311,0)</f>
        <v>0</v>
      </c>
    </row>
    <row r="312" spans="1:17" x14ac:dyDescent="0.25">
      <c r="A312" s="41"/>
      <c r="C312" s="41"/>
      <c r="E312" s="1" t="str">
        <f>MID(A312,1,2)</f>
        <v/>
      </c>
      <c r="F312" s="1" t="str">
        <f>MID(C312,3,2)</f>
        <v/>
      </c>
      <c r="G312" s="1" t="str">
        <f>CONCATENATE(K312,M312)</f>
        <v/>
      </c>
      <c r="H312" s="1" t="e">
        <f>VLOOKUP(K312,$W$23:$AN$40,MATCH(L312,$W$23:$AN$23,0),FALSE)</f>
        <v>#N/A</v>
      </c>
      <c r="I312" s="1" t="e">
        <f>VLOOKUP(L312,$W$23:$AN$40,MATCH(M312,$W$23:$AN$23,0),FALSE)</f>
        <v>#N/A</v>
      </c>
      <c r="J312" s="1" t="e">
        <f>VLOOKUP(K312,$W$23:$AN$40,MATCH(M312,$W$23:$AN$23,0),FALSE)</f>
        <v>#N/A</v>
      </c>
      <c r="K312" s="1" t="str">
        <f>MID(A312,1,1)</f>
        <v/>
      </c>
      <c r="L312" s="1" t="str">
        <f>MID(A312,2,1)</f>
        <v/>
      </c>
      <c r="M312" s="1" t="str">
        <f>MID(A312,4,1)</f>
        <v/>
      </c>
      <c r="N312" s="1" t="e">
        <f>VLOOKUP(K312,$W:$X,2,0)</f>
        <v>#N/A</v>
      </c>
      <c r="O312" s="1" t="e">
        <f>VLOOKUP(L312,$Z:$AA,2,0)</f>
        <v>#N/A</v>
      </c>
      <c r="P312" s="1" t="e">
        <f>VLOOKUP(M312,$AC:$AD,2,0)</f>
        <v>#N/A</v>
      </c>
      <c r="Q312" s="1">
        <f>IF(A312&lt;&gt;"",P312+O312+N312+H312+I312+J312,0)</f>
        <v>0</v>
      </c>
    </row>
    <row r="313" spans="1:17" x14ac:dyDescent="0.25">
      <c r="A313" s="41"/>
      <c r="C313" s="41"/>
      <c r="E313" s="1" t="str">
        <f>MID(A313,1,2)</f>
        <v/>
      </c>
      <c r="F313" s="1" t="str">
        <f>MID(C313,3,2)</f>
        <v/>
      </c>
      <c r="G313" s="1" t="str">
        <f>CONCATENATE(K313,M313)</f>
        <v/>
      </c>
      <c r="H313" s="1" t="e">
        <f>VLOOKUP(K313,$W$23:$AN$40,MATCH(L313,$W$23:$AN$23,0),FALSE)</f>
        <v>#N/A</v>
      </c>
      <c r="I313" s="1" t="e">
        <f>VLOOKUP(L313,$W$23:$AN$40,MATCH(M313,$W$23:$AN$23,0),FALSE)</f>
        <v>#N/A</v>
      </c>
      <c r="J313" s="1" t="e">
        <f>VLOOKUP(K313,$W$23:$AN$40,MATCH(M313,$W$23:$AN$23,0),FALSE)</f>
        <v>#N/A</v>
      </c>
      <c r="K313" s="1" t="str">
        <f>MID(A313,1,1)</f>
        <v/>
      </c>
      <c r="L313" s="1" t="str">
        <f>MID(A313,2,1)</f>
        <v/>
      </c>
      <c r="M313" s="1" t="str">
        <f>MID(A313,4,1)</f>
        <v/>
      </c>
      <c r="N313" s="1" t="e">
        <f>VLOOKUP(K313,$W:$X,2,0)</f>
        <v>#N/A</v>
      </c>
      <c r="O313" s="1" t="e">
        <f>VLOOKUP(L313,$Z:$AA,2,0)</f>
        <v>#N/A</v>
      </c>
      <c r="P313" s="1" t="e">
        <f>VLOOKUP(M313,$AC:$AD,2,0)</f>
        <v>#N/A</v>
      </c>
      <c r="Q313" s="1">
        <f>IF(A313&lt;&gt;"",P313+O313+N313+H313+I313+J313,0)</f>
        <v>0</v>
      </c>
    </row>
    <row r="314" spans="1:17" x14ac:dyDescent="0.25">
      <c r="A314" s="41"/>
      <c r="C314" s="41"/>
      <c r="E314" s="1" t="str">
        <f>MID(A314,1,2)</f>
        <v/>
      </c>
      <c r="F314" s="1" t="str">
        <f>MID(C314,3,2)</f>
        <v/>
      </c>
      <c r="G314" s="1" t="str">
        <f>CONCATENATE(K314,M314)</f>
        <v/>
      </c>
      <c r="H314" s="1" t="e">
        <f>VLOOKUP(K314,$W$23:$AN$40,MATCH(L314,$W$23:$AN$23,0),FALSE)</f>
        <v>#N/A</v>
      </c>
      <c r="I314" s="1" t="e">
        <f>VLOOKUP(L314,$W$23:$AN$40,MATCH(M314,$W$23:$AN$23,0),FALSE)</f>
        <v>#N/A</v>
      </c>
      <c r="J314" s="1" t="e">
        <f>VLOOKUP(K314,$W$23:$AN$40,MATCH(M314,$W$23:$AN$23,0),FALSE)</f>
        <v>#N/A</v>
      </c>
      <c r="K314" s="1" t="str">
        <f>MID(A314,1,1)</f>
        <v/>
      </c>
      <c r="L314" s="1" t="str">
        <f>MID(A314,2,1)</f>
        <v/>
      </c>
      <c r="M314" s="1" t="str">
        <f>MID(A314,4,1)</f>
        <v/>
      </c>
      <c r="N314" s="1" t="e">
        <f>VLOOKUP(K314,$W:$X,2,0)</f>
        <v>#N/A</v>
      </c>
      <c r="O314" s="1" t="e">
        <f>VLOOKUP(L314,$Z:$AA,2,0)</f>
        <v>#N/A</v>
      </c>
      <c r="P314" s="1" t="e">
        <f>VLOOKUP(M314,$AC:$AD,2,0)</f>
        <v>#N/A</v>
      </c>
      <c r="Q314" s="1">
        <f>IF(A314&lt;&gt;"",P314+O314+N314+H314+I314+J314,0)</f>
        <v>0</v>
      </c>
    </row>
    <row r="315" spans="1:17" x14ac:dyDescent="0.25">
      <c r="A315" s="41"/>
      <c r="C315" s="41"/>
      <c r="E315" s="1" t="str">
        <f>MID(A315,1,2)</f>
        <v/>
      </c>
      <c r="F315" s="1" t="str">
        <f>MID(C315,3,2)</f>
        <v/>
      </c>
      <c r="G315" s="1" t="str">
        <f>CONCATENATE(K315,M315)</f>
        <v/>
      </c>
      <c r="H315" s="1" t="e">
        <f>VLOOKUP(K315,$W$23:$AN$40,MATCH(L315,$W$23:$AN$23,0),FALSE)</f>
        <v>#N/A</v>
      </c>
      <c r="I315" s="1" t="e">
        <f>VLOOKUP(L315,$W$23:$AN$40,MATCH(M315,$W$23:$AN$23,0),FALSE)</f>
        <v>#N/A</v>
      </c>
      <c r="J315" s="1" t="e">
        <f>VLOOKUP(K315,$W$23:$AN$40,MATCH(M315,$W$23:$AN$23,0),FALSE)</f>
        <v>#N/A</v>
      </c>
      <c r="K315" s="1" t="str">
        <f>MID(A315,1,1)</f>
        <v/>
      </c>
      <c r="L315" s="1" t="str">
        <f>MID(A315,2,1)</f>
        <v/>
      </c>
      <c r="M315" s="1" t="str">
        <f>MID(A315,4,1)</f>
        <v/>
      </c>
      <c r="N315" s="1" t="e">
        <f>VLOOKUP(K315,$W:$X,2,0)</f>
        <v>#N/A</v>
      </c>
      <c r="O315" s="1" t="e">
        <f>VLOOKUP(L315,$Z:$AA,2,0)</f>
        <v>#N/A</v>
      </c>
      <c r="P315" s="1" t="e">
        <f>VLOOKUP(M315,$AC:$AD,2,0)</f>
        <v>#N/A</v>
      </c>
      <c r="Q315" s="1">
        <f>IF(A315&lt;&gt;"",P315+O315+N315+H315+I315+J315,0)</f>
        <v>0</v>
      </c>
    </row>
    <row r="316" spans="1:17" x14ac:dyDescent="0.25">
      <c r="A316" s="41"/>
      <c r="C316" s="41"/>
      <c r="E316" s="1" t="str">
        <f>MID(A316,1,2)</f>
        <v/>
      </c>
      <c r="F316" s="1" t="str">
        <f>MID(C316,3,2)</f>
        <v/>
      </c>
      <c r="G316" s="1" t="str">
        <f>CONCATENATE(K316,M316)</f>
        <v/>
      </c>
      <c r="H316" s="1" t="e">
        <f>VLOOKUP(K316,$W$23:$AN$40,MATCH(L316,$W$23:$AN$23,0),FALSE)</f>
        <v>#N/A</v>
      </c>
      <c r="I316" s="1" t="e">
        <f>VLOOKUP(L316,$W$23:$AN$40,MATCH(M316,$W$23:$AN$23,0),FALSE)</f>
        <v>#N/A</v>
      </c>
      <c r="J316" s="1" t="e">
        <f>VLOOKUP(K316,$W$23:$AN$40,MATCH(M316,$W$23:$AN$23,0),FALSE)</f>
        <v>#N/A</v>
      </c>
      <c r="K316" s="1" t="str">
        <f>MID(A316,1,1)</f>
        <v/>
      </c>
      <c r="L316" s="1" t="str">
        <f>MID(A316,2,1)</f>
        <v/>
      </c>
      <c r="M316" s="1" t="str">
        <f>MID(A316,4,1)</f>
        <v/>
      </c>
      <c r="N316" s="1" t="e">
        <f>VLOOKUP(K316,$W:$X,2,0)</f>
        <v>#N/A</v>
      </c>
      <c r="O316" s="1" t="e">
        <f>VLOOKUP(L316,$Z:$AA,2,0)</f>
        <v>#N/A</v>
      </c>
      <c r="P316" s="1" t="e">
        <f>VLOOKUP(M316,$AC:$AD,2,0)</f>
        <v>#N/A</v>
      </c>
      <c r="Q316" s="1">
        <f>IF(A316&lt;&gt;"",P316+O316+N316+H316+I316+J316,0)</f>
        <v>0</v>
      </c>
    </row>
    <row r="317" spans="1:17" x14ac:dyDescent="0.25">
      <c r="A317" s="41"/>
      <c r="C317" s="41"/>
      <c r="E317" s="1" t="str">
        <f>MID(A317,1,2)</f>
        <v/>
      </c>
      <c r="F317" s="1" t="str">
        <f>MID(C317,3,2)</f>
        <v/>
      </c>
      <c r="G317" s="1" t="str">
        <f>CONCATENATE(K317,M317)</f>
        <v/>
      </c>
      <c r="H317" s="1" t="e">
        <f>VLOOKUP(K317,$W$23:$AN$40,MATCH(L317,$W$23:$AN$23,0),FALSE)</f>
        <v>#N/A</v>
      </c>
      <c r="I317" s="1" t="e">
        <f>VLOOKUP(L317,$W$23:$AN$40,MATCH(M317,$W$23:$AN$23,0),FALSE)</f>
        <v>#N/A</v>
      </c>
      <c r="J317" s="1" t="e">
        <f>VLOOKUP(K317,$W$23:$AN$40,MATCH(M317,$W$23:$AN$23,0),FALSE)</f>
        <v>#N/A</v>
      </c>
      <c r="K317" s="1" t="str">
        <f>MID(A317,1,1)</f>
        <v/>
      </c>
      <c r="L317" s="1" t="str">
        <f>MID(A317,2,1)</f>
        <v/>
      </c>
      <c r="M317" s="1" t="str">
        <f>MID(A317,4,1)</f>
        <v/>
      </c>
      <c r="N317" s="1" t="e">
        <f>VLOOKUP(K317,$W:$X,2,0)</f>
        <v>#N/A</v>
      </c>
      <c r="O317" s="1" t="e">
        <f>VLOOKUP(L317,$Z:$AA,2,0)</f>
        <v>#N/A</v>
      </c>
      <c r="P317" s="1" t="e">
        <f>VLOOKUP(M317,$AC:$AD,2,0)</f>
        <v>#N/A</v>
      </c>
      <c r="Q317" s="1">
        <f>IF(A317&lt;&gt;"",P317+O317+N317+H317+I317+J317,0)</f>
        <v>0</v>
      </c>
    </row>
    <row r="318" spans="1:17" x14ac:dyDescent="0.25">
      <c r="A318" s="41"/>
      <c r="C318" s="41"/>
      <c r="E318" s="1" t="str">
        <f>MID(A318,1,2)</f>
        <v/>
      </c>
      <c r="F318" s="1" t="str">
        <f>MID(C318,3,2)</f>
        <v/>
      </c>
      <c r="G318" s="1" t="str">
        <f>CONCATENATE(K318,M318)</f>
        <v/>
      </c>
      <c r="H318" s="1" t="e">
        <f>VLOOKUP(K318,$W$23:$AN$40,MATCH(L318,$W$23:$AN$23,0),FALSE)</f>
        <v>#N/A</v>
      </c>
      <c r="I318" s="1" t="e">
        <f>VLOOKUP(L318,$W$23:$AN$40,MATCH(M318,$W$23:$AN$23,0),FALSE)</f>
        <v>#N/A</v>
      </c>
      <c r="J318" s="1" t="e">
        <f>VLOOKUP(K318,$W$23:$AN$40,MATCH(M318,$W$23:$AN$23,0),FALSE)</f>
        <v>#N/A</v>
      </c>
      <c r="K318" s="1" t="str">
        <f>MID(A318,1,1)</f>
        <v/>
      </c>
      <c r="L318" s="1" t="str">
        <f>MID(A318,2,1)</f>
        <v/>
      </c>
      <c r="M318" s="1" t="str">
        <f>MID(A318,4,1)</f>
        <v/>
      </c>
      <c r="N318" s="1" t="e">
        <f>VLOOKUP(K318,$W:$X,2,0)</f>
        <v>#N/A</v>
      </c>
      <c r="O318" s="1" t="e">
        <f>VLOOKUP(L318,$Z:$AA,2,0)</f>
        <v>#N/A</v>
      </c>
      <c r="P318" s="1" t="e">
        <f>VLOOKUP(M318,$AC:$AD,2,0)</f>
        <v>#N/A</v>
      </c>
      <c r="Q318" s="1">
        <f>IF(A318&lt;&gt;"",P318+O318+N318+H318+I318+J318,0)</f>
        <v>0</v>
      </c>
    </row>
    <row r="319" spans="1:17" x14ac:dyDescent="0.25">
      <c r="A319" s="41"/>
      <c r="C319" s="41"/>
      <c r="E319" s="1" t="str">
        <f>MID(A319,1,2)</f>
        <v/>
      </c>
      <c r="F319" s="1" t="str">
        <f>MID(C319,3,2)</f>
        <v/>
      </c>
      <c r="G319" s="1" t="str">
        <f>CONCATENATE(K319,M319)</f>
        <v/>
      </c>
      <c r="H319" s="1" t="e">
        <f>VLOOKUP(K319,$W$23:$AN$40,MATCH(L319,$W$23:$AN$23,0),FALSE)</f>
        <v>#N/A</v>
      </c>
      <c r="I319" s="1" t="e">
        <f>VLOOKUP(L319,$W$23:$AN$40,MATCH(M319,$W$23:$AN$23,0),FALSE)</f>
        <v>#N/A</v>
      </c>
      <c r="J319" s="1" t="e">
        <f>VLOOKUP(K319,$W$23:$AN$40,MATCH(M319,$W$23:$AN$23,0),FALSE)</f>
        <v>#N/A</v>
      </c>
      <c r="K319" s="1" t="str">
        <f>MID(A319,1,1)</f>
        <v/>
      </c>
      <c r="L319" s="1" t="str">
        <f>MID(A319,2,1)</f>
        <v/>
      </c>
      <c r="M319" s="1" t="str">
        <f>MID(A319,4,1)</f>
        <v/>
      </c>
      <c r="N319" s="1" t="e">
        <f>VLOOKUP(K319,$W:$X,2,0)</f>
        <v>#N/A</v>
      </c>
      <c r="O319" s="1" t="e">
        <f>VLOOKUP(L319,$Z:$AA,2,0)</f>
        <v>#N/A</v>
      </c>
      <c r="P319" s="1" t="e">
        <f>VLOOKUP(M319,$AC:$AD,2,0)</f>
        <v>#N/A</v>
      </c>
      <c r="Q319" s="1">
        <f>IF(A319&lt;&gt;"",P319+O319+N319+H319+I319+J319,0)</f>
        <v>0</v>
      </c>
    </row>
    <row r="320" spans="1:17" x14ac:dyDescent="0.25">
      <c r="A320" s="41"/>
      <c r="C320" s="41"/>
      <c r="E320" s="1" t="str">
        <f>MID(A320,1,2)</f>
        <v/>
      </c>
      <c r="F320" s="1" t="str">
        <f>MID(C320,3,2)</f>
        <v/>
      </c>
      <c r="G320" s="1" t="str">
        <f>CONCATENATE(K320,M320)</f>
        <v/>
      </c>
      <c r="H320" s="1" t="e">
        <f>VLOOKUP(K320,$W$23:$AN$40,MATCH(L320,$W$23:$AN$23,0),FALSE)</f>
        <v>#N/A</v>
      </c>
      <c r="I320" s="1" t="e">
        <f>VLOOKUP(L320,$W$23:$AN$40,MATCH(M320,$W$23:$AN$23,0),FALSE)</f>
        <v>#N/A</v>
      </c>
      <c r="J320" s="1" t="e">
        <f>VLOOKUP(K320,$W$23:$AN$40,MATCH(M320,$W$23:$AN$23,0),FALSE)</f>
        <v>#N/A</v>
      </c>
      <c r="K320" s="1" t="str">
        <f>MID(A320,1,1)</f>
        <v/>
      </c>
      <c r="L320" s="1" t="str">
        <f>MID(A320,2,1)</f>
        <v/>
      </c>
      <c r="M320" s="1" t="str">
        <f>MID(A320,4,1)</f>
        <v/>
      </c>
      <c r="N320" s="1" t="e">
        <f>VLOOKUP(K320,$W:$X,2,0)</f>
        <v>#N/A</v>
      </c>
      <c r="O320" s="1" t="e">
        <f>VLOOKUP(L320,$Z:$AA,2,0)</f>
        <v>#N/A</v>
      </c>
      <c r="P320" s="1" t="e">
        <f>VLOOKUP(M320,$AC:$AD,2,0)</f>
        <v>#N/A</v>
      </c>
      <c r="Q320" s="1">
        <f>IF(A320&lt;&gt;"",P320+O320+N320+H320+I320+J320,0)</f>
        <v>0</v>
      </c>
    </row>
    <row r="321" spans="1:17" x14ac:dyDescent="0.25">
      <c r="A321" s="41"/>
      <c r="C321" s="41"/>
      <c r="E321" s="1" t="str">
        <f>MID(A321,1,2)</f>
        <v/>
      </c>
      <c r="F321" s="1" t="str">
        <f>MID(C321,3,2)</f>
        <v/>
      </c>
      <c r="G321" s="1" t="str">
        <f>CONCATENATE(K321,M321)</f>
        <v/>
      </c>
      <c r="H321" s="1" t="e">
        <f>VLOOKUP(K321,$W$23:$AN$40,MATCH(L321,$W$23:$AN$23,0),FALSE)</f>
        <v>#N/A</v>
      </c>
      <c r="I321" s="1" t="e">
        <f>VLOOKUP(L321,$W$23:$AN$40,MATCH(M321,$W$23:$AN$23,0),FALSE)</f>
        <v>#N/A</v>
      </c>
      <c r="J321" s="1" t="e">
        <f>VLOOKUP(K321,$W$23:$AN$40,MATCH(M321,$W$23:$AN$23,0),FALSE)</f>
        <v>#N/A</v>
      </c>
      <c r="K321" s="1" t="str">
        <f>MID(A321,1,1)</f>
        <v/>
      </c>
      <c r="L321" s="1" t="str">
        <f>MID(A321,2,1)</f>
        <v/>
      </c>
      <c r="M321" s="1" t="str">
        <f>MID(A321,4,1)</f>
        <v/>
      </c>
      <c r="N321" s="1" t="e">
        <f>VLOOKUP(K321,$W:$X,2,0)</f>
        <v>#N/A</v>
      </c>
      <c r="O321" s="1" t="e">
        <f>VLOOKUP(L321,$Z:$AA,2,0)</f>
        <v>#N/A</v>
      </c>
      <c r="P321" s="1" t="e">
        <f>VLOOKUP(M321,$AC:$AD,2,0)</f>
        <v>#N/A</v>
      </c>
      <c r="Q321" s="1">
        <f>IF(A321&lt;&gt;"",P321+O321+N321+H321+I321+J321,0)</f>
        <v>0</v>
      </c>
    </row>
    <row r="322" spans="1:17" x14ac:dyDescent="0.25">
      <c r="A322" s="41"/>
      <c r="C322" s="41"/>
      <c r="E322" s="1" t="str">
        <f>MID(A322,1,2)</f>
        <v/>
      </c>
      <c r="F322" s="1" t="str">
        <f>MID(C322,3,2)</f>
        <v/>
      </c>
      <c r="G322" s="1" t="str">
        <f>CONCATENATE(K322,M322)</f>
        <v/>
      </c>
      <c r="H322" s="1" t="e">
        <f>VLOOKUP(K322,$W$23:$AN$40,MATCH(L322,$W$23:$AN$23,0),FALSE)</f>
        <v>#N/A</v>
      </c>
      <c r="I322" s="1" t="e">
        <f>VLOOKUP(L322,$W$23:$AN$40,MATCH(M322,$W$23:$AN$23,0),FALSE)</f>
        <v>#N/A</v>
      </c>
      <c r="J322" s="1" t="e">
        <f>VLOOKUP(K322,$W$23:$AN$40,MATCH(M322,$W$23:$AN$23,0),FALSE)</f>
        <v>#N/A</v>
      </c>
      <c r="K322" s="1" t="str">
        <f>MID(A322,1,1)</f>
        <v/>
      </c>
      <c r="L322" s="1" t="str">
        <f>MID(A322,2,1)</f>
        <v/>
      </c>
      <c r="M322" s="1" t="str">
        <f>MID(A322,4,1)</f>
        <v/>
      </c>
      <c r="N322" s="1" t="e">
        <f>VLOOKUP(K322,$W:$X,2,0)</f>
        <v>#N/A</v>
      </c>
      <c r="O322" s="1" t="e">
        <f>VLOOKUP(L322,$Z:$AA,2,0)</f>
        <v>#N/A</v>
      </c>
      <c r="P322" s="1" t="e">
        <f>VLOOKUP(M322,$AC:$AD,2,0)</f>
        <v>#N/A</v>
      </c>
      <c r="Q322" s="1">
        <f>IF(A322&lt;&gt;"",P322+O322+N322+H322+I322+J322,0)</f>
        <v>0</v>
      </c>
    </row>
    <row r="323" spans="1:17" x14ac:dyDescent="0.25">
      <c r="A323" s="41"/>
      <c r="C323" s="41"/>
      <c r="E323" s="1" t="str">
        <f>MID(A323,1,2)</f>
        <v/>
      </c>
      <c r="F323" s="1" t="str">
        <f>MID(C323,3,2)</f>
        <v/>
      </c>
      <c r="G323" s="1" t="str">
        <f>CONCATENATE(K323,M323)</f>
        <v/>
      </c>
      <c r="H323" s="1" t="e">
        <f>VLOOKUP(K323,$W$23:$AN$40,MATCH(L323,$W$23:$AN$23,0),FALSE)</f>
        <v>#N/A</v>
      </c>
      <c r="I323" s="1" t="e">
        <f>VLOOKUP(L323,$W$23:$AN$40,MATCH(M323,$W$23:$AN$23,0),FALSE)</f>
        <v>#N/A</v>
      </c>
      <c r="J323" s="1" t="e">
        <f>VLOOKUP(K323,$W$23:$AN$40,MATCH(M323,$W$23:$AN$23,0),FALSE)</f>
        <v>#N/A</v>
      </c>
      <c r="K323" s="1" t="str">
        <f>MID(A323,1,1)</f>
        <v/>
      </c>
      <c r="L323" s="1" t="str">
        <f>MID(A323,2,1)</f>
        <v/>
      </c>
      <c r="M323" s="1" t="str">
        <f>MID(A323,4,1)</f>
        <v/>
      </c>
      <c r="N323" s="1" t="e">
        <f>VLOOKUP(K323,$W:$X,2,0)</f>
        <v>#N/A</v>
      </c>
      <c r="O323" s="1" t="e">
        <f>VLOOKUP(L323,$Z:$AA,2,0)</f>
        <v>#N/A</v>
      </c>
      <c r="P323" s="1" t="e">
        <f>VLOOKUP(M323,$AC:$AD,2,0)</f>
        <v>#N/A</v>
      </c>
      <c r="Q323" s="1">
        <f>IF(A323&lt;&gt;"",P323+O323+N323+H323+I323+J323,0)</f>
        <v>0</v>
      </c>
    </row>
    <row r="324" spans="1:17" x14ac:dyDescent="0.25">
      <c r="A324" s="41"/>
      <c r="C324" s="41"/>
      <c r="E324" s="1" t="str">
        <f>MID(A324,1,2)</f>
        <v/>
      </c>
      <c r="F324" s="1" t="str">
        <f>MID(C324,3,2)</f>
        <v/>
      </c>
      <c r="G324" s="1" t="str">
        <f>CONCATENATE(K324,M324)</f>
        <v/>
      </c>
      <c r="H324" s="1" t="e">
        <f>VLOOKUP(K324,$W$23:$AN$40,MATCH(L324,$W$23:$AN$23,0),FALSE)</f>
        <v>#N/A</v>
      </c>
      <c r="I324" s="1" t="e">
        <f>VLOOKUP(L324,$W$23:$AN$40,MATCH(M324,$W$23:$AN$23,0),FALSE)</f>
        <v>#N/A</v>
      </c>
      <c r="J324" s="1" t="e">
        <f>VLOOKUP(K324,$W$23:$AN$40,MATCH(M324,$W$23:$AN$23,0),FALSE)</f>
        <v>#N/A</v>
      </c>
      <c r="K324" s="1" t="str">
        <f>MID(A324,1,1)</f>
        <v/>
      </c>
      <c r="L324" s="1" t="str">
        <f>MID(A324,2,1)</f>
        <v/>
      </c>
      <c r="M324" s="1" t="str">
        <f>MID(A324,4,1)</f>
        <v/>
      </c>
      <c r="N324" s="1" t="e">
        <f>VLOOKUP(K324,$W:$X,2,0)</f>
        <v>#N/A</v>
      </c>
      <c r="O324" s="1" t="e">
        <f>VLOOKUP(L324,$Z:$AA,2,0)</f>
        <v>#N/A</v>
      </c>
      <c r="P324" s="1" t="e">
        <f>VLOOKUP(M324,$AC:$AD,2,0)</f>
        <v>#N/A</v>
      </c>
      <c r="Q324" s="1">
        <f>IF(A324&lt;&gt;"",P324+O324+N324+H324+I324+J324,0)</f>
        <v>0</v>
      </c>
    </row>
    <row r="325" spans="1:17" x14ac:dyDescent="0.25">
      <c r="A325" s="41"/>
      <c r="C325" s="41"/>
      <c r="E325" s="1" t="str">
        <f>MID(A325,1,2)</f>
        <v/>
      </c>
      <c r="F325" s="1" t="str">
        <f>MID(C325,3,2)</f>
        <v/>
      </c>
      <c r="G325" s="1" t="str">
        <f>CONCATENATE(K325,M325)</f>
        <v/>
      </c>
      <c r="H325" s="1" t="e">
        <f>VLOOKUP(K325,$W$23:$AN$40,MATCH(L325,$W$23:$AN$23,0),FALSE)</f>
        <v>#N/A</v>
      </c>
      <c r="I325" s="1" t="e">
        <f>VLOOKUP(L325,$W$23:$AN$40,MATCH(M325,$W$23:$AN$23,0),FALSE)</f>
        <v>#N/A</v>
      </c>
      <c r="J325" s="1" t="e">
        <f>VLOOKUP(K325,$W$23:$AN$40,MATCH(M325,$W$23:$AN$23,0),FALSE)</f>
        <v>#N/A</v>
      </c>
      <c r="K325" s="1" t="str">
        <f>MID(A325,1,1)</f>
        <v/>
      </c>
      <c r="L325" s="1" t="str">
        <f>MID(A325,2,1)</f>
        <v/>
      </c>
      <c r="M325" s="1" t="str">
        <f>MID(A325,4,1)</f>
        <v/>
      </c>
      <c r="N325" s="1" t="e">
        <f>VLOOKUP(K325,$W:$X,2,0)</f>
        <v>#N/A</v>
      </c>
      <c r="O325" s="1" t="e">
        <f>VLOOKUP(L325,$Z:$AA,2,0)</f>
        <v>#N/A</v>
      </c>
      <c r="P325" s="1" t="e">
        <f>VLOOKUP(M325,$AC:$AD,2,0)</f>
        <v>#N/A</v>
      </c>
      <c r="Q325" s="1">
        <f>IF(A325&lt;&gt;"",P325+O325+N325+H325+I325+J325,0)</f>
        <v>0</v>
      </c>
    </row>
    <row r="326" spans="1:17" x14ac:dyDescent="0.25">
      <c r="A326" s="41"/>
      <c r="C326" s="41"/>
      <c r="E326" s="1" t="str">
        <f>MID(A326,1,2)</f>
        <v/>
      </c>
      <c r="F326" s="1" t="str">
        <f>MID(C326,3,2)</f>
        <v/>
      </c>
      <c r="G326" s="1" t="str">
        <f>CONCATENATE(K326,M326)</f>
        <v/>
      </c>
      <c r="H326" s="1" t="e">
        <f>VLOOKUP(K326,$W$23:$AN$40,MATCH(L326,$W$23:$AN$23,0),FALSE)</f>
        <v>#N/A</v>
      </c>
      <c r="I326" s="1" t="e">
        <f>VLOOKUP(L326,$W$23:$AN$40,MATCH(M326,$W$23:$AN$23,0),FALSE)</f>
        <v>#N/A</v>
      </c>
      <c r="J326" s="1" t="e">
        <f>VLOOKUP(K326,$W$23:$AN$40,MATCH(M326,$W$23:$AN$23,0),FALSE)</f>
        <v>#N/A</v>
      </c>
      <c r="K326" s="1" t="str">
        <f>MID(A326,1,1)</f>
        <v/>
      </c>
      <c r="L326" s="1" t="str">
        <f>MID(A326,2,1)</f>
        <v/>
      </c>
      <c r="M326" s="1" t="str">
        <f>MID(A326,4,1)</f>
        <v/>
      </c>
      <c r="N326" s="1" t="e">
        <f>VLOOKUP(K326,$W:$X,2,0)</f>
        <v>#N/A</v>
      </c>
      <c r="O326" s="1" t="e">
        <f>VLOOKUP(L326,$Z:$AA,2,0)</f>
        <v>#N/A</v>
      </c>
      <c r="P326" s="1" t="e">
        <f>VLOOKUP(M326,$AC:$AD,2,0)</f>
        <v>#N/A</v>
      </c>
      <c r="Q326" s="1">
        <f>IF(A326&lt;&gt;"",P326+O326+N326+H326+I326+J326,0)</f>
        <v>0</v>
      </c>
    </row>
    <row r="327" spans="1:17" x14ac:dyDescent="0.25">
      <c r="A327" s="41"/>
      <c r="C327" s="41"/>
      <c r="E327" s="1" t="str">
        <f>MID(A327,1,2)</f>
        <v/>
      </c>
      <c r="F327" s="1" t="str">
        <f>MID(C327,3,2)</f>
        <v/>
      </c>
      <c r="G327" s="1" t="str">
        <f>CONCATENATE(K327,M327)</f>
        <v/>
      </c>
      <c r="H327" s="1" t="e">
        <f>VLOOKUP(K327,$W$23:$AN$40,MATCH(L327,$W$23:$AN$23,0),FALSE)</f>
        <v>#N/A</v>
      </c>
      <c r="I327" s="1" t="e">
        <f>VLOOKUP(L327,$W$23:$AN$40,MATCH(M327,$W$23:$AN$23,0),FALSE)</f>
        <v>#N/A</v>
      </c>
      <c r="J327" s="1" t="e">
        <f>VLOOKUP(K327,$W$23:$AN$40,MATCH(M327,$W$23:$AN$23,0),FALSE)</f>
        <v>#N/A</v>
      </c>
      <c r="K327" s="1" t="str">
        <f>MID(A327,1,1)</f>
        <v/>
      </c>
      <c r="L327" s="1" t="str">
        <f>MID(A327,2,1)</f>
        <v/>
      </c>
      <c r="M327" s="1" t="str">
        <f>MID(A327,4,1)</f>
        <v/>
      </c>
      <c r="N327" s="1" t="e">
        <f>VLOOKUP(K327,$W:$X,2,0)</f>
        <v>#N/A</v>
      </c>
      <c r="O327" s="1" t="e">
        <f>VLOOKUP(L327,$Z:$AA,2,0)</f>
        <v>#N/A</v>
      </c>
      <c r="P327" s="1" t="e">
        <f>VLOOKUP(M327,$AC:$AD,2,0)</f>
        <v>#N/A</v>
      </c>
      <c r="Q327" s="1">
        <f>IF(A327&lt;&gt;"",P327+O327+N327+H327+I327+J327,0)</f>
        <v>0</v>
      </c>
    </row>
    <row r="328" spans="1:17" x14ac:dyDescent="0.25">
      <c r="A328" s="41"/>
      <c r="C328" s="41"/>
      <c r="E328" s="1" t="str">
        <f>MID(A328,1,2)</f>
        <v/>
      </c>
      <c r="F328" s="1" t="str">
        <f>MID(C328,3,2)</f>
        <v/>
      </c>
      <c r="G328" s="1" t="str">
        <f>CONCATENATE(K328,M328)</f>
        <v/>
      </c>
      <c r="H328" s="1" t="e">
        <f>VLOOKUP(K328,$W$23:$AN$40,MATCH(L328,$W$23:$AN$23,0),FALSE)</f>
        <v>#N/A</v>
      </c>
      <c r="I328" s="1" t="e">
        <f>VLOOKUP(L328,$W$23:$AN$40,MATCH(M328,$W$23:$AN$23,0),FALSE)</f>
        <v>#N/A</v>
      </c>
      <c r="J328" s="1" t="e">
        <f>VLOOKUP(K328,$W$23:$AN$40,MATCH(M328,$W$23:$AN$23,0),FALSE)</f>
        <v>#N/A</v>
      </c>
      <c r="K328" s="1" t="str">
        <f>MID(A328,1,1)</f>
        <v/>
      </c>
      <c r="L328" s="1" t="str">
        <f>MID(A328,2,1)</f>
        <v/>
      </c>
      <c r="M328" s="1" t="str">
        <f>MID(A328,4,1)</f>
        <v/>
      </c>
      <c r="N328" s="1" t="e">
        <f>VLOOKUP(K328,$W:$X,2,0)</f>
        <v>#N/A</v>
      </c>
      <c r="O328" s="1" t="e">
        <f>VLOOKUP(L328,$Z:$AA,2,0)</f>
        <v>#N/A</v>
      </c>
      <c r="P328" s="1" t="e">
        <f>VLOOKUP(M328,$AC:$AD,2,0)</f>
        <v>#N/A</v>
      </c>
      <c r="Q328" s="1">
        <f>IF(A328&lt;&gt;"",P328+O328+N328+H328+I328+J328,0)</f>
        <v>0</v>
      </c>
    </row>
    <row r="329" spans="1:17" x14ac:dyDescent="0.25">
      <c r="A329" s="41"/>
      <c r="C329" s="41"/>
      <c r="E329" s="1" t="str">
        <f>MID(A329,1,2)</f>
        <v/>
      </c>
      <c r="F329" s="1" t="str">
        <f>MID(C329,3,2)</f>
        <v/>
      </c>
      <c r="G329" s="1" t="str">
        <f>CONCATENATE(K329,M329)</f>
        <v/>
      </c>
      <c r="H329" s="1" t="e">
        <f>VLOOKUP(K329,$W$23:$AN$40,MATCH(L329,$W$23:$AN$23,0),FALSE)</f>
        <v>#N/A</v>
      </c>
      <c r="I329" s="1" t="e">
        <f>VLOOKUP(L329,$W$23:$AN$40,MATCH(M329,$W$23:$AN$23,0),FALSE)</f>
        <v>#N/A</v>
      </c>
      <c r="J329" s="1" t="e">
        <f>VLOOKUP(K329,$W$23:$AN$40,MATCH(M329,$W$23:$AN$23,0),FALSE)</f>
        <v>#N/A</v>
      </c>
      <c r="K329" s="1" t="str">
        <f>MID(A329,1,1)</f>
        <v/>
      </c>
      <c r="L329" s="1" t="str">
        <f>MID(A329,2,1)</f>
        <v/>
      </c>
      <c r="M329" s="1" t="str">
        <f>MID(A329,4,1)</f>
        <v/>
      </c>
      <c r="N329" s="1" t="e">
        <f>VLOOKUP(K329,$W:$X,2,0)</f>
        <v>#N/A</v>
      </c>
      <c r="O329" s="1" t="e">
        <f>VLOOKUP(L329,$Z:$AA,2,0)</f>
        <v>#N/A</v>
      </c>
      <c r="P329" s="1" t="e">
        <f>VLOOKUP(M329,$AC:$AD,2,0)</f>
        <v>#N/A</v>
      </c>
      <c r="Q329" s="1">
        <f>IF(A329&lt;&gt;"",P329+O329+N329+H329+I329+J329,0)</f>
        <v>0</v>
      </c>
    </row>
    <row r="330" spans="1:17" x14ac:dyDescent="0.25">
      <c r="A330" s="41"/>
      <c r="C330" s="41"/>
      <c r="E330" s="1" t="str">
        <f>MID(A330,1,2)</f>
        <v/>
      </c>
      <c r="F330" s="1" t="str">
        <f>MID(C330,3,2)</f>
        <v/>
      </c>
      <c r="G330" s="1" t="str">
        <f>CONCATENATE(K330,M330)</f>
        <v/>
      </c>
      <c r="H330" s="1" t="e">
        <f>VLOOKUP(K330,$W$23:$AN$40,MATCH(L330,$W$23:$AN$23,0),FALSE)</f>
        <v>#N/A</v>
      </c>
      <c r="I330" s="1" t="e">
        <f>VLOOKUP(L330,$W$23:$AN$40,MATCH(M330,$W$23:$AN$23,0),FALSE)</f>
        <v>#N/A</v>
      </c>
      <c r="J330" s="1" t="e">
        <f>VLOOKUP(K330,$W$23:$AN$40,MATCH(M330,$W$23:$AN$23,0),FALSE)</f>
        <v>#N/A</v>
      </c>
      <c r="K330" s="1" t="str">
        <f>MID(A330,1,1)</f>
        <v/>
      </c>
      <c r="L330" s="1" t="str">
        <f>MID(A330,2,1)</f>
        <v/>
      </c>
      <c r="M330" s="1" t="str">
        <f>MID(A330,4,1)</f>
        <v/>
      </c>
      <c r="N330" s="1" t="e">
        <f>VLOOKUP(K330,$W:$X,2,0)</f>
        <v>#N/A</v>
      </c>
      <c r="O330" s="1" t="e">
        <f>VLOOKUP(L330,$Z:$AA,2,0)</f>
        <v>#N/A</v>
      </c>
      <c r="P330" s="1" t="e">
        <f>VLOOKUP(M330,$AC:$AD,2,0)</f>
        <v>#N/A</v>
      </c>
      <c r="Q330" s="1">
        <f>IF(A330&lt;&gt;"",P330+O330+N330+H330+I330+J330,0)</f>
        <v>0</v>
      </c>
    </row>
    <row r="331" spans="1:17" x14ac:dyDescent="0.25">
      <c r="A331" s="41"/>
      <c r="C331" s="41"/>
      <c r="E331" s="1" t="str">
        <f>MID(A331,1,2)</f>
        <v/>
      </c>
      <c r="F331" s="1" t="str">
        <f>MID(C331,3,2)</f>
        <v/>
      </c>
      <c r="G331" s="1" t="str">
        <f>CONCATENATE(K331,M331)</f>
        <v/>
      </c>
      <c r="H331" s="1" t="e">
        <f>VLOOKUP(K331,$W$23:$AN$40,MATCH(L331,$W$23:$AN$23,0),FALSE)</f>
        <v>#N/A</v>
      </c>
      <c r="I331" s="1" t="e">
        <f>VLOOKUP(L331,$W$23:$AN$40,MATCH(M331,$W$23:$AN$23,0),FALSE)</f>
        <v>#N/A</v>
      </c>
      <c r="J331" s="1" t="e">
        <f>VLOOKUP(K331,$W$23:$AN$40,MATCH(M331,$W$23:$AN$23,0),FALSE)</f>
        <v>#N/A</v>
      </c>
      <c r="K331" s="1" t="str">
        <f>MID(A331,1,1)</f>
        <v/>
      </c>
      <c r="L331" s="1" t="str">
        <f>MID(A331,2,1)</f>
        <v/>
      </c>
      <c r="M331" s="1" t="str">
        <f>MID(A331,4,1)</f>
        <v/>
      </c>
      <c r="N331" s="1" t="e">
        <f>VLOOKUP(K331,$W:$X,2,0)</f>
        <v>#N/A</v>
      </c>
      <c r="O331" s="1" t="e">
        <f>VLOOKUP(L331,$Z:$AA,2,0)</f>
        <v>#N/A</v>
      </c>
      <c r="P331" s="1" t="e">
        <f>VLOOKUP(M331,$AC:$AD,2,0)</f>
        <v>#N/A</v>
      </c>
      <c r="Q331" s="1">
        <f>IF(A331&lt;&gt;"",P331+O331+N331+H331+I331+J331,0)</f>
        <v>0</v>
      </c>
    </row>
    <row r="332" spans="1:17" x14ac:dyDescent="0.25">
      <c r="A332" s="41"/>
      <c r="C332" s="41"/>
      <c r="E332" s="1" t="str">
        <f>MID(A332,1,2)</f>
        <v/>
      </c>
      <c r="F332" s="1" t="str">
        <f>MID(C332,3,2)</f>
        <v/>
      </c>
      <c r="G332" s="1" t="str">
        <f>CONCATENATE(K332,M332)</f>
        <v/>
      </c>
      <c r="H332" s="1" t="e">
        <f>VLOOKUP(K332,$W$23:$AN$40,MATCH(L332,$W$23:$AN$23,0),FALSE)</f>
        <v>#N/A</v>
      </c>
      <c r="I332" s="1" t="e">
        <f>VLOOKUP(L332,$W$23:$AN$40,MATCH(M332,$W$23:$AN$23,0),FALSE)</f>
        <v>#N/A</v>
      </c>
      <c r="J332" s="1" t="e">
        <f>VLOOKUP(K332,$W$23:$AN$40,MATCH(M332,$W$23:$AN$23,0),FALSE)</f>
        <v>#N/A</v>
      </c>
      <c r="K332" s="1" t="str">
        <f>MID(A332,1,1)</f>
        <v/>
      </c>
      <c r="L332" s="1" t="str">
        <f>MID(A332,2,1)</f>
        <v/>
      </c>
      <c r="M332" s="1" t="str">
        <f>MID(A332,4,1)</f>
        <v/>
      </c>
      <c r="N332" s="1" t="e">
        <f>VLOOKUP(K332,$W:$X,2,0)</f>
        <v>#N/A</v>
      </c>
      <c r="O332" s="1" t="e">
        <f>VLOOKUP(L332,$Z:$AA,2,0)</f>
        <v>#N/A</v>
      </c>
      <c r="P332" s="1" t="e">
        <f>VLOOKUP(M332,$AC:$AD,2,0)</f>
        <v>#N/A</v>
      </c>
      <c r="Q332" s="1">
        <f>IF(A332&lt;&gt;"",P332+O332+N332+H332+I332+J332,0)</f>
        <v>0</v>
      </c>
    </row>
    <row r="333" spans="1:17" x14ac:dyDescent="0.25">
      <c r="A333" s="41"/>
      <c r="C333" s="41"/>
      <c r="E333" s="1" t="str">
        <f>MID(A333,1,2)</f>
        <v/>
      </c>
      <c r="F333" s="1" t="str">
        <f>MID(C333,3,2)</f>
        <v/>
      </c>
      <c r="G333" s="1" t="str">
        <f>CONCATENATE(K333,M333)</f>
        <v/>
      </c>
      <c r="H333" s="1" t="e">
        <f>VLOOKUP(K333,$W$23:$AN$40,MATCH(L333,$W$23:$AN$23,0),FALSE)</f>
        <v>#N/A</v>
      </c>
      <c r="I333" s="1" t="e">
        <f>VLOOKUP(L333,$W$23:$AN$40,MATCH(M333,$W$23:$AN$23,0),FALSE)</f>
        <v>#N/A</v>
      </c>
      <c r="J333" s="1" t="e">
        <f>VLOOKUP(K333,$W$23:$AN$40,MATCH(M333,$W$23:$AN$23,0),FALSE)</f>
        <v>#N/A</v>
      </c>
      <c r="K333" s="1" t="str">
        <f>MID(A333,1,1)</f>
        <v/>
      </c>
      <c r="L333" s="1" t="str">
        <f>MID(A333,2,1)</f>
        <v/>
      </c>
      <c r="M333" s="1" t="str">
        <f>MID(A333,4,1)</f>
        <v/>
      </c>
      <c r="N333" s="1" t="e">
        <f>VLOOKUP(K333,$W:$X,2,0)</f>
        <v>#N/A</v>
      </c>
      <c r="O333" s="1" t="e">
        <f>VLOOKUP(L333,$Z:$AA,2,0)</f>
        <v>#N/A</v>
      </c>
      <c r="P333" s="1" t="e">
        <f>VLOOKUP(M333,$AC:$AD,2,0)</f>
        <v>#N/A</v>
      </c>
      <c r="Q333" s="1">
        <f>IF(A333&lt;&gt;"",P333+O333+N333+H333+I333+J333,0)</f>
        <v>0</v>
      </c>
    </row>
    <row r="334" spans="1:17" x14ac:dyDescent="0.25">
      <c r="A334" s="41"/>
      <c r="C334" s="41"/>
      <c r="E334" s="1" t="str">
        <f>MID(A334,1,2)</f>
        <v/>
      </c>
      <c r="F334" s="1" t="str">
        <f>MID(C334,3,2)</f>
        <v/>
      </c>
      <c r="G334" s="1" t="str">
        <f>CONCATENATE(K334,M334)</f>
        <v/>
      </c>
      <c r="H334" s="1" t="e">
        <f>VLOOKUP(K334,$W$23:$AN$40,MATCH(L334,$W$23:$AN$23,0),FALSE)</f>
        <v>#N/A</v>
      </c>
      <c r="I334" s="1" t="e">
        <f>VLOOKUP(L334,$W$23:$AN$40,MATCH(M334,$W$23:$AN$23,0),FALSE)</f>
        <v>#N/A</v>
      </c>
      <c r="J334" s="1" t="e">
        <f>VLOOKUP(K334,$W$23:$AN$40,MATCH(M334,$W$23:$AN$23,0),FALSE)</f>
        <v>#N/A</v>
      </c>
      <c r="K334" s="1" t="str">
        <f>MID(A334,1,1)</f>
        <v/>
      </c>
      <c r="L334" s="1" t="str">
        <f>MID(A334,2,1)</f>
        <v/>
      </c>
      <c r="M334" s="1" t="str">
        <f>MID(A334,4,1)</f>
        <v/>
      </c>
      <c r="N334" s="1" t="e">
        <f>VLOOKUP(K334,$W:$X,2,0)</f>
        <v>#N/A</v>
      </c>
      <c r="O334" s="1" t="e">
        <f>VLOOKUP(L334,$Z:$AA,2,0)</f>
        <v>#N/A</v>
      </c>
      <c r="P334" s="1" t="e">
        <f>VLOOKUP(M334,$AC:$AD,2,0)</f>
        <v>#N/A</v>
      </c>
      <c r="Q334" s="1">
        <f>IF(A334&lt;&gt;"",P334+O334+N334+H334+I334+J334,0)</f>
        <v>0</v>
      </c>
    </row>
    <row r="335" spans="1:17" x14ac:dyDescent="0.25">
      <c r="A335" s="41"/>
      <c r="C335" s="41"/>
      <c r="E335" s="1" t="str">
        <f>MID(A335,1,2)</f>
        <v/>
      </c>
      <c r="F335" s="1" t="str">
        <f>MID(C335,3,2)</f>
        <v/>
      </c>
      <c r="G335" s="1" t="str">
        <f>CONCATENATE(K335,M335)</f>
        <v/>
      </c>
      <c r="H335" s="1" t="e">
        <f>VLOOKUP(K335,$W$23:$AN$40,MATCH(L335,$W$23:$AN$23,0),FALSE)</f>
        <v>#N/A</v>
      </c>
      <c r="I335" s="1" t="e">
        <f>VLOOKUP(L335,$W$23:$AN$40,MATCH(M335,$W$23:$AN$23,0),FALSE)</f>
        <v>#N/A</v>
      </c>
      <c r="J335" s="1" t="e">
        <f>VLOOKUP(K335,$W$23:$AN$40,MATCH(M335,$W$23:$AN$23,0),FALSE)</f>
        <v>#N/A</v>
      </c>
      <c r="K335" s="1" t="str">
        <f>MID(A335,1,1)</f>
        <v/>
      </c>
      <c r="L335" s="1" t="str">
        <f>MID(A335,2,1)</f>
        <v/>
      </c>
      <c r="M335" s="1" t="str">
        <f>MID(A335,4,1)</f>
        <v/>
      </c>
      <c r="N335" s="1" t="e">
        <f>VLOOKUP(K335,$W:$X,2,0)</f>
        <v>#N/A</v>
      </c>
      <c r="O335" s="1" t="e">
        <f>VLOOKUP(L335,$Z:$AA,2,0)</f>
        <v>#N/A</v>
      </c>
      <c r="P335" s="1" t="e">
        <f>VLOOKUP(M335,$AC:$AD,2,0)</f>
        <v>#N/A</v>
      </c>
      <c r="Q335" s="1">
        <f>IF(A335&lt;&gt;"",P335+O335+N335+H335+I335+J335,0)</f>
        <v>0</v>
      </c>
    </row>
    <row r="336" spans="1:17" x14ac:dyDescent="0.25">
      <c r="A336" s="41"/>
      <c r="C336" s="41"/>
      <c r="E336" s="1" t="str">
        <f>MID(A336,1,2)</f>
        <v/>
      </c>
      <c r="F336" s="1" t="str">
        <f>MID(C336,3,2)</f>
        <v/>
      </c>
      <c r="G336" s="1" t="str">
        <f>CONCATENATE(K336,M336)</f>
        <v/>
      </c>
      <c r="H336" s="1" t="e">
        <f>VLOOKUP(K336,$W$23:$AN$40,MATCH(L336,$W$23:$AN$23,0),FALSE)</f>
        <v>#N/A</v>
      </c>
      <c r="I336" s="1" t="e">
        <f>VLOOKUP(L336,$W$23:$AN$40,MATCH(M336,$W$23:$AN$23,0),FALSE)</f>
        <v>#N/A</v>
      </c>
      <c r="J336" s="1" t="e">
        <f>VLOOKUP(K336,$W$23:$AN$40,MATCH(M336,$W$23:$AN$23,0),FALSE)</f>
        <v>#N/A</v>
      </c>
      <c r="K336" s="1" t="str">
        <f>MID(A336,1,1)</f>
        <v/>
      </c>
      <c r="L336" s="1" t="str">
        <f>MID(A336,2,1)</f>
        <v/>
      </c>
      <c r="M336" s="1" t="str">
        <f>MID(A336,4,1)</f>
        <v/>
      </c>
      <c r="N336" s="1" t="e">
        <f>VLOOKUP(K336,$W:$X,2,0)</f>
        <v>#N/A</v>
      </c>
      <c r="O336" s="1" t="e">
        <f>VLOOKUP(L336,$Z:$AA,2,0)</f>
        <v>#N/A</v>
      </c>
      <c r="P336" s="1" t="e">
        <f>VLOOKUP(M336,$AC:$AD,2,0)</f>
        <v>#N/A</v>
      </c>
      <c r="Q336" s="1">
        <f>IF(A336&lt;&gt;"",P336+O336+N336+H336+I336+J336,0)</f>
        <v>0</v>
      </c>
    </row>
    <row r="337" spans="1:17" x14ac:dyDescent="0.25">
      <c r="A337" s="41"/>
      <c r="C337" s="41"/>
      <c r="E337" s="1" t="str">
        <f>MID(A337,1,2)</f>
        <v/>
      </c>
      <c r="F337" s="1" t="str">
        <f>MID(C337,3,2)</f>
        <v/>
      </c>
      <c r="G337" s="1" t="str">
        <f>CONCATENATE(K337,M337)</f>
        <v/>
      </c>
      <c r="H337" s="1" t="e">
        <f>VLOOKUP(K337,$W$23:$AN$40,MATCH(L337,$W$23:$AN$23,0),FALSE)</f>
        <v>#N/A</v>
      </c>
      <c r="I337" s="1" t="e">
        <f>VLOOKUP(L337,$W$23:$AN$40,MATCH(M337,$W$23:$AN$23,0),FALSE)</f>
        <v>#N/A</v>
      </c>
      <c r="J337" s="1" t="e">
        <f>VLOOKUP(K337,$W$23:$AN$40,MATCH(M337,$W$23:$AN$23,0),FALSE)</f>
        <v>#N/A</v>
      </c>
      <c r="K337" s="1" t="str">
        <f>MID(A337,1,1)</f>
        <v/>
      </c>
      <c r="L337" s="1" t="str">
        <f>MID(A337,2,1)</f>
        <v/>
      </c>
      <c r="M337" s="1" t="str">
        <f>MID(A337,4,1)</f>
        <v/>
      </c>
      <c r="N337" s="1" t="e">
        <f>VLOOKUP(K337,$W:$X,2,0)</f>
        <v>#N/A</v>
      </c>
      <c r="O337" s="1" t="e">
        <f>VLOOKUP(L337,$Z:$AA,2,0)</f>
        <v>#N/A</v>
      </c>
      <c r="P337" s="1" t="e">
        <f>VLOOKUP(M337,$AC:$AD,2,0)</f>
        <v>#N/A</v>
      </c>
      <c r="Q337" s="1">
        <f>IF(A337&lt;&gt;"",P337+O337+N337+H337+I337+J337,0)</f>
        <v>0</v>
      </c>
    </row>
    <row r="338" spans="1:17" x14ac:dyDescent="0.25">
      <c r="A338" s="41"/>
      <c r="C338" s="41"/>
      <c r="E338" s="1" t="str">
        <f>MID(A338,1,2)</f>
        <v/>
      </c>
      <c r="F338" s="1" t="str">
        <f>MID(C338,3,2)</f>
        <v/>
      </c>
      <c r="G338" s="1" t="str">
        <f>CONCATENATE(K338,M338)</f>
        <v/>
      </c>
      <c r="H338" s="1" t="e">
        <f>VLOOKUP(K338,$W$23:$AN$40,MATCH(L338,$W$23:$AN$23,0),FALSE)</f>
        <v>#N/A</v>
      </c>
      <c r="I338" s="1" t="e">
        <f>VLOOKUP(L338,$W$23:$AN$40,MATCH(M338,$W$23:$AN$23,0),FALSE)</f>
        <v>#N/A</v>
      </c>
      <c r="J338" s="1" t="e">
        <f>VLOOKUP(K338,$W$23:$AN$40,MATCH(M338,$W$23:$AN$23,0),FALSE)</f>
        <v>#N/A</v>
      </c>
      <c r="K338" s="1" t="str">
        <f>MID(A338,1,1)</f>
        <v/>
      </c>
      <c r="L338" s="1" t="str">
        <f>MID(A338,2,1)</f>
        <v/>
      </c>
      <c r="M338" s="1" t="str">
        <f>MID(A338,4,1)</f>
        <v/>
      </c>
      <c r="N338" s="1" t="e">
        <f>VLOOKUP(K338,$W:$X,2,0)</f>
        <v>#N/A</v>
      </c>
      <c r="O338" s="1" t="e">
        <f>VLOOKUP(L338,$Z:$AA,2,0)</f>
        <v>#N/A</v>
      </c>
      <c r="P338" s="1" t="e">
        <f>VLOOKUP(M338,$AC:$AD,2,0)</f>
        <v>#N/A</v>
      </c>
      <c r="Q338" s="1">
        <f>IF(A338&lt;&gt;"",P338+O338+N338+H338+I338+J338,0)</f>
        <v>0</v>
      </c>
    </row>
    <row r="339" spans="1:17" x14ac:dyDescent="0.25">
      <c r="A339" s="41"/>
      <c r="C339" s="41"/>
      <c r="E339" s="1" t="str">
        <f>MID(A339,1,2)</f>
        <v/>
      </c>
      <c r="F339" s="1" t="str">
        <f>MID(C339,3,2)</f>
        <v/>
      </c>
      <c r="G339" s="1" t="str">
        <f>CONCATENATE(K339,M339)</f>
        <v/>
      </c>
      <c r="H339" s="1" t="e">
        <f>VLOOKUP(K339,$W$23:$AN$40,MATCH(L339,$W$23:$AN$23,0),FALSE)</f>
        <v>#N/A</v>
      </c>
      <c r="I339" s="1" t="e">
        <f>VLOOKUP(L339,$W$23:$AN$40,MATCH(M339,$W$23:$AN$23,0),FALSE)</f>
        <v>#N/A</v>
      </c>
      <c r="J339" s="1" t="e">
        <f>VLOOKUP(K339,$W$23:$AN$40,MATCH(M339,$W$23:$AN$23,0),FALSE)</f>
        <v>#N/A</v>
      </c>
      <c r="K339" s="1" t="str">
        <f>MID(A339,1,1)</f>
        <v/>
      </c>
      <c r="L339" s="1" t="str">
        <f>MID(A339,2,1)</f>
        <v/>
      </c>
      <c r="M339" s="1" t="str">
        <f>MID(A339,4,1)</f>
        <v/>
      </c>
      <c r="N339" s="1" t="e">
        <f>VLOOKUP(K339,$W:$X,2,0)</f>
        <v>#N/A</v>
      </c>
      <c r="O339" s="1" t="e">
        <f>VLOOKUP(L339,$Z:$AA,2,0)</f>
        <v>#N/A</v>
      </c>
      <c r="P339" s="1" t="e">
        <f>VLOOKUP(M339,$AC:$AD,2,0)</f>
        <v>#N/A</v>
      </c>
      <c r="Q339" s="1">
        <f>IF(A339&lt;&gt;"",P339+O339+N339+H339+I339+J339,0)</f>
        <v>0</v>
      </c>
    </row>
    <row r="340" spans="1:17" x14ac:dyDescent="0.25">
      <c r="A340" s="41"/>
      <c r="C340" s="41"/>
      <c r="E340" s="1" t="str">
        <f>MID(A340,1,2)</f>
        <v/>
      </c>
      <c r="F340" s="1" t="str">
        <f>MID(C340,3,2)</f>
        <v/>
      </c>
      <c r="G340" s="1" t="str">
        <f>CONCATENATE(K340,M340)</f>
        <v/>
      </c>
      <c r="H340" s="1" t="e">
        <f>VLOOKUP(K340,$W$23:$AN$40,MATCH(L340,$W$23:$AN$23,0),FALSE)</f>
        <v>#N/A</v>
      </c>
      <c r="I340" s="1" t="e">
        <f>VLOOKUP(L340,$W$23:$AN$40,MATCH(M340,$W$23:$AN$23,0),FALSE)</f>
        <v>#N/A</v>
      </c>
      <c r="J340" s="1" t="e">
        <f>VLOOKUP(K340,$W$23:$AN$40,MATCH(M340,$W$23:$AN$23,0),FALSE)</f>
        <v>#N/A</v>
      </c>
      <c r="K340" s="1" t="str">
        <f>MID(A340,1,1)</f>
        <v/>
      </c>
      <c r="L340" s="1" t="str">
        <f>MID(A340,2,1)</f>
        <v/>
      </c>
      <c r="M340" s="1" t="str">
        <f>MID(A340,4,1)</f>
        <v/>
      </c>
      <c r="N340" s="1" t="e">
        <f>VLOOKUP(K340,$W:$X,2,0)</f>
        <v>#N/A</v>
      </c>
      <c r="O340" s="1" t="e">
        <f>VLOOKUP(L340,$Z:$AA,2,0)</f>
        <v>#N/A</v>
      </c>
      <c r="P340" s="1" t="e">
        <f>VLOOKUP(M340,$AC:$AD,2,0)</f>
        <v>#N/A</v>
      </c>
      <c r="Q340" s="1">
        <f>IF(A340&lt;&gt;"",P340+O340+N340+H340+I340+J340,0)</f>
        <v>0</v>
      </c>
    </row>
    <row r="341" spans="1:17" x14ac:dyDescent="0.25">
      <c r="A341" s="41"/>
      <c r="C341" s="41"/>
      <c r="E341" s="1" t="str">
        <f>MID(A341,1,2)</f>
        <v/>
      </c>
      <c r="F341" s="1" t="str">
        <f>MID(C341,3,2)</f>
        <v/>
      </c>
      <c r="G341" s="1" t="str">
        <f>CONCATENATE(K341,M341)</f>
        <v/>
      </c>
      <c r="H341" s="1" t="e">
        <f>VLOOKUP(K341,$W$23:$AN$40,MATCH(L341,$W$23:$AN$23,0),FALSE)</f>
        <v>#N/A</v>
      </c>
      <c r="I341" s="1" t="e">
        <f>VLOOKUP(L341,$W$23:$AN$40,MATCH(M341,$W$23:$AN$23,0),FALSE)</f>
        <v>#N/A</v>
      </c>
      <c r="J341" s="1" t="e">
        <f>VLOOKUP(K341,$W$23:$AN$40,MATCH(M341,$W$23:$AN$23,0),FALSE)</f>
        <v>#N/A</v>
      </c>
      <c r="K341" s="1" t="str">
        <f>MID(A341,1,1)</f>
        <v/>
      </c>
      <c r="L341" s="1" t="str">
        <f>MID(A341,2,1)</f>
        <v/>
      </c>
      <c r="M341" s="1" t="str">
        <f>MID(A341,4,1)</f>
        <v/>
      </c>
      <c r="N341" s="1" t="e">
        <f>VLOOKUP(K341,$W:$X,2,0)</f>
        <v>#N/A</v>
      </c>
      <c r="O341" s="1" t="e">
        <f>VLOOKUP(L341,$Z:$AA,2,0)</f>
        <v>#N/A</v>
      </c>
      <c r="P341" s="1" t="e">
        <f>VLOOKUP(M341,$AC:$AD,2,0)</f>
        <v>#N/A</v>
      </c>
      <c r="Q341" s="1">
        <f>IF(A341&lt;&gt;"",P341+O341+N341+H341+I341+J341,0)</f>
        <v>0</v>
      </c>
    </row>
    <row r="342" spans="1:17" x14ac:dyDescent="0.25">
      <c r="A342" s="41"/>
      <c r="C342" s="41"/>
      <c r="E342" s="1" t="str">
        <f>MID(A342,1,2)</f>
        <v/>
      </c>
      <c r="F342" s="1" t="str">
        <f>MID(C342,3,2)</f>
        <v/>
      </c>
      <c r="G342" s="1" t="str">
        <f>CONCATENATE(K342,M342)</f>
        <v/>
      </c>
      <c r="H342" s="1" t="e">
        <f>VLOOKUP(K342,$W$23:$AN$40,MATCH(L342,$W$23:$AN$23,0),FALSE)</f>
        <v>#N/A</v>
      </c>
      <c r="I342" s="1" t="e">
        <f>VLOOKUP(L342,$W$23:$AN$40,MATCH(M342,$W$23:$AN$23,0),FALSE)</f>
        <v>#N/A</v>
      </c>
      <c r="J342" s="1" t="e">
        <f>VLOOKUP(K342,$W$23:$AN$40,MATCH(M342,$W$23:$AN$23,0),FALSE)</f>
        <v>#N/A</v>
      </c>
      <c r="K342" s="1" t="str">
        <f>MID(A342,1,1)</f>
        <v/>
      </c>
      <c r="L342" s="1" t="str">
        <f>MID(A342,2,1)</f>
        <v/>
      </c>
      <c r="M342" s="1" t="str">
        <f>MID(A342,4,1)</f>
        <v/>
      </c>
      <c r="N342" s="1" t="e">
        <f>VLOOKUP(K342,$W:$X,2,0)</f>
        <v>#N/A</v>
      </c>
      <c r="O342" s="1" t="e">
        <f>VLOOKUP(L342,$Z:$AA,2,0)</f>
        <v>#N/A</v>
      </c>
      <c r="P342" s="1" t="e">
        <f>VLOOKUP(M342,$AC:$AD,2,0)</f>
        <v>#N/A</v>
      </c>
      <c r="Q342" s="1">
        <f>IF(A342&lt;&gt;"",P342+O342+N342+H342+I342+J342,0)</f>
        <v>0</v>
      </c>
    </row>
    <row r="343" spans="1:17" x14ac:dyDescent="0.25">
      <c r="A343" s="41"/>
      <c r="C343" s="41"/>
      <c r="E343" s="1" t="str">
        <f>MID(A343,1,2)</f>
        <v/>
      </c>
      <c r="F343" s="1" t="str">
        <f>MID(C343,3,2)</f>
        <v/>
      </c>
      <c r="G343" s="1" t="str">
        <f>CONCATENATE(K343,M343)</f>
        <v/>
      </c>
      <c r="H343" s="1" t="e">
        <f>VLOOKUP(K343,$W$23:$AN$40,MATCH(L343,$W$23:$AN$23,0),FALSE)</f>
        <v>#N/A</v>
      </c>
      <c r="I343" s="1" t="e">
        <f>VLOOKUP(L343,$W$23:$AN$40,MATCH(M343,$W$23:$AN$23,0),FALSE)</f>
        <v>#N/A</v>
      </c>
      <c r="J343" s="1" t="e">
        <f>VLOOKUP(K343,$W$23:$AN$40,MATCH(M343,$W$23:$AN$23,0),FALSE)</f>
        <v>#N/A</v>
      </c>
      <c r="K343" s="1" t="str">
        <f>MID(A343,1,1)</f>
        <v/>
      </c>
      <c r="L343" s="1" t="str">
        <f>MID(A343,2,1)</f>
        <v/>
      </c>
      <c r="M343" s="1" t="str">
        <f>MID(A343,4,1)</f>
        <v/>
      </c>
      <c r="N343" s="1" t="e">
        <f>VLOOKUP(K343,$W:$X,2,0)</f>
        <v>#N/A</v>
      </c>
      <c r="O343" s="1" t="e">
        <f>VLOOKUP(L343,$Z:$AA,2,0)</f>
        <v>#N/A</v>
      </c>
      <c r="P343" s="1" t="e">
        <f>VLOOKUP(M343,$AC:$AD,2,0)</f>
        <v>#N/A</v>
      </c>
      <c r="Q343" s="1">
        <f>IF(A343&lt;&gt;"",P343+O343+N343+H343+I343+J343,0)</f>
        <v>0</v>
      </c>
    </row>
    <row r="344" spans="1:17" x14ac:dyDescent="0.25">
      <c r="A344" s="41"/>
      <c r="C344" s="41"/>
      <c r="E344" s="1" t="str">
        <f>MID(A344,1,2)</f>
        <v/>
      </c>
      <c r="F344" s="1" t="str">
        <f>MID(C344,3,2)</f>
        <v/>
      </c>
      <c r="G344" s="1" t="str">
        <f>CONCATENATE(K344,M344)</f>
        <v/>
      </c>
      <c r="H344" s="1" t="e">
        <f>VLOOKUP(K344,$W$23:$AN$40,MATCH(L344,$W$23:$AN$23,0),FALSE)</f>
        <v>#N/A</v>
      </c>
      <c r="I344" s="1" t="e">
        <f>VLOOKUP(L344,$W$23:$AN$40,MATCH(M344,$W$23:$AN$23,0),FALSE)</f>
        <v>#N/A</v>
      </c>
      <c r="J344" s="1" t="e">
        <f>VLOOKUP(K344,$W$23:$AN$40,MATCH(M344,$W$23:$AN$23,0),FALSE)</f>
        <v>#N/A</v>
      </c>
      <c r="K344" s="1" t="str">
        <f>MID(A344,1,1)</f>
        <v/>
      </c>
      <c r="L344" s="1" t="str">
        <f>MID(A344,2,1)</f>
        <v/>
      </c>
      <c r="M344" s="1" t="str">
        <f>MID(A344,4,1)</f>
        <v/>
      </c>
      <c r="N344" s="1" t="e">
        <f>VLOOKUP(K344,$W:$X,2,0)</f>
        <v>#N/A</v>
      </c>
      <c r="O344" s="1" t="e">
        <f>VLOOKUP(L344,$Z:$AA,2,0)</f>
        <v>#N/A</v>
      </c>
      <c r="P344" s="1" t="e">
        <f>VLOOKUP(M344,$AC:$AD,2,0)</f>
        <v>#N/A</v>
      </c>
      <c r="Q344" s="1">
        <f>IF(A344&lt;&gt;"",P344+O344+N344+H344+I344+J344,0)</f>
        <v>0</v>
      </c>
    </row>
    <row r="345" spans="1:17" x14ac:dyDescent="0.25">
      <c r="A345" s="41"/>
      <c r="C345" s="41"/>
      <c r="E345" s="1" t="str">
        <f>MID(A345,1,2)</f>
        <v/>
      </c>
      <c r="F345" s="1" t="str">
        <f>MID(C345,3,2)</f>
        <v/>
      </c>
      <c r="G345" s="1" t="str">
        <f>CONCATENATE(K345,M345)</f>
        <v/>
      </c>
      <c r="H345" s="1" t="e">
        <f>VLOOKUP(K345,$W$23:$AN$40,MATCH(L345,$W$23:$AN$23,0),FALSE)</f>
        <v>#N/A</v>
      </c>
      <c r="I345" s="1" t="e">
        <f>VLOOKUP(L345,$W$23:$AN$40,MATCH(M345,$W$23:$AN$23,0),FALSE)</f>
        <v>#N/A</v>
      </c>
      <c r="J345" s="1" t="e">
        <f>VLOOKUP(K345,$W$23:$AN$40,MATCH(M345,$W$23:$AN$23,0),FALSE)</f>
        <v>#N/A</v>
      </c>
      <c r="K345" s="1" t="str">
        <f>MID(A345,1,1)</f>
        <v/>
      </c>
      <c r="L345" s="1" t="str">
        <f>MID(A345,2,1)</f>
        <v/>
      </c>
      <c r="M345" s="1" t="str">
        <f>MID(A345,4,1)</f>
        <v/>
      </c>
      <c r="N345" s="1" t="e">
        <f>VLOOKUP(K345,$W:$X,2,0)</f>
        <v>#N/A</v>
      </c>
      <c r="O345" s="1" t="e">
        <f>VLOOKUP(L345,$Z:$AA,2,0)</f>
        <v>#N/A</v>
      </c>
      <c r="P345" s="1" t="e">
        <f>VLOOKUP(M345,$AC:$AD,2,0)</f>
        <v>#N/A</v>
      </c>
      <c r="Q345" s="1">
        <f>IF(A345&lt;&gt;"",P345+O345+N345+H345+I345+J345,0)</f>
        <v>0</v>
      </c>
    </row>
    <row r="346" spans="1:17" x14ac:dyDescent="0.25">
      <c r="A346" s="41"/>
      <c r="C346" s="41"/>
      <c r="E346" s="1" t="str">
        <f>MID(A346,1,2)</f>
        <v/>
      </c>
      <c r="F346" s="1" t="str">
        <f>MID(C346,3,2)</f>
        <v/>
      </c>
      <c r="G346" s="1" t="str">
        <f>CONCATENATE(K346,M346)</f>
        <v/>
      </c>
      <c r="H346" s="1" t="e">
        <f>VLOOKUP(K346,$W$23:$AN$40,MATCH(L346,$W$23:$AN$23,0),FALSE)</f>
        <v>#N/A</v>
      </c>
      <c r="I346" s="1" t="e">
        <f>VLOOKUP(L346,$W$23:$AN$40,MATCH(M346,$W$23:$AN$23,0),FALSE)</f>
        <v>#N/A</v>
      </c>
      <c r="J346" s="1" t="e">
        <f>VLOOKUP(K346,$W$23:$AN$40,MATCH(M346,$W$23:$AN$23,0),FALSE)</f>
        <v>#N/A</v>
      </c>
      <c r="K346" s="1" t="str">
        <f>MID(A346,1,1)</f>
        <v/>
      </c>
      <c r="L346" s="1" t="str">
        <f>MID(A346,2,1)</f>
        <v/>
      </c>
      <c r="M346" s="1" t="str">
        <f>MID(A346,4,1)</f>
        <v/>
      </c>
      <c r="N346" s="1" t="e">
        <f>VLOOKUP(K346,$W:$X,2,0)</f>
        <v>#N/A</v>
      </c>
      <c r="O346" s="1" t="e">
        <f>VLOOKUP(L346,$Z:$AA,2,0)</f>
        <v>#N/A</v>
      </c>
      <c r="P346" s="1" t="e">
        <f>VLOOKUP(M346,$AC:$AD,2,0)</f>
        <v>#N/A</v>
      </c>
      <c r="Q346" s="1">
        <f>IF(A346&lt;&gt;"",P346+O346+N346+H346+I346+J346,0)</f>
        <v>0</v>
      </c>
    </row>
    <row r="347" spans="1:17" x14ac:dyDescent="0.25">
      <c r="A347" s="41"/>
      <c r="C347" s="41"/>
      <c r="E347" s="1" t="str">
        <f>MID(A347,1,2)</f>
        <v/>
      </c>
      <c r="F347" s="1" t="str">
        <f>MID(C347,3,2)</f>
        <v/>
      </c>
      <c r="G347" s="1" t="str">
        <f>CONCATENATE(K347,M347)</f>
        <v/>
      </c>
      <c r="H347" s="1" t="e">
        <f>VLOOKUP(K347,$W$23:$AN$40,MATCH(L347,$W$23:$AN$23,0),FALSE)</f>
        <v>#N/A</v>
      </c>
      <c r="I347" s="1" t="e">
        <f>VLOOKUP(L347,$W$23:$AN$40,MATCH(M347,$W$23:$AN$23,0),FALSE)</f>
        <v>#N/A</v>
      </c>
      <c r="J347" s="1" t="e">
        <f>VLOOKUP(K347,$W$23:$AN$40,MATCH(M347,$W$23:$AN$23,0),FALSE)</f>
        <v>#N/A</v>
      </c>
      <c r="K347" s="1" t="str">
        <f>MID(A347,1,1)</f>
        <v/>
      </c>
      <c r="L347" s="1" t="str">
        <f>MID(A347,2,1)</f>
        <v/>
      </c>
      <c r="M347" s="1" t="str">
        <f>MID(A347,4,1)</f>
        <v/>
      </c>
      <c r="N347" s="1" t="e">
        <f>VLOOKUP(K347,$W:$X,2,0)</f>
        <v>#N/A</v>
      </c>
      <c r="O347" s="1" t="e">
        <f>VLOOKUP(L347,$Z:$AA,2,0)</f>
        <v>#N/A</v>
      </c>
      <c r="P347" s="1" t="e">
        <f>VLOOKUP(M347,$AC:$AD,2,0)</f>
        <v>#N/A</v>
      </c>
      <c r="Q347" s="1">
        <f>IF(A347&lt;&gt;"",P347+O347+N347+H347+I347+J347,0)</f>
        <v>0</v>
      </c>
    </row>
    <row r="348" spans="1:17" x14ac:dyDescent="0.25">
      <c r="A348" s="41"/>
      <c r="C348" s="41"/>
      <c r="E348" s="1" t="str">
        <f>MID(A348,1,2)</f>
        <v/>
      </c>
      <c r="F348" s="1" t="str">
        <f>MID(C348,3,2)</f>
        <v/>
      </c>
      <c r="G348" s="1" t="str">
        <f>CONCATENATE(K348,M348)</f>
        <v/>
      </c>
      <c r="H348" s="1" t="e">
        <f>VLOOKUP(K348,$W$23:$AN$40,MATCH(L348,$W$23:$AN$23,0),FALSE)</f>
        <v>#N/A</v>
      </c>
      <c r="I348" s="1" t="e">
        <f>VLOOKUP(L348,$W$23:$AN$40,MATCH(M348,$W$23:$AN$23,0),FALSE)</f>
        <v>#N/A</v>
      </c>
      <c r="J348" s="1" t="e">
        <f>VLOOKUP(K348,$W$23:$AN$40,MATCH(M348,$W$23:$AN$23,0),FALSE)</f>
        <v>#N/A</v>
      </c>
      <c r="K348" s="1" t="str">
        <f>MID(A348,1,1)</f>
        <v/>
      </c>
      <c r="L348" s="1" t="str">
        <f>MID(A348,2,1)</f>
        <v/>
      </c>
      <c r="M348" s="1" t="str">
        <f>MID(A348,4,1)</f>
        <v/>
      </c>
      <c r="N348" s="1" t="e">
        <f>VLOOKUP(K348,$W:$X,2,0)</f>
        <v>#N/A</v>
      </c>
      <c r="O348" s="1" t="e">
        <f>VLOOKUP(L348,$Z:$AA,2,0)</f>
        <v>#N/A</v>
      </c>
      <c r="P348" s="1" t="e">
        <f>VLOOKUP(M348,$AC:$AD,2,0)</f>
        <v>#N/A</v>
      </c>
      <c r="Q348" s="1">
        <f>IF(A348&lt;&gt;"",P348+O348+N348+H348+I348+J348,0)</f>
        <v>0</v>
      </c>
    </row>
    <row r="349" spans="1:17" x14ac:dyDescent="0.25">
      <c r="A349" s="41"/>
      <c r="C349" s="41"/>
      <c r="E349" s="1" t="str">
        <f>MID(A349,1,2)</f>
        <v/>
      </c>
      <c r="F349" s="1" t="str">
        <f>MID(C349,3,2)</f>
        <v/>
      </c>
      <c r="G349" s="1" t="str">
        <f>CONCATENATE(K349,M349)</f>
        <v/>
      </c>
      <c r="H349" s="1" t="e">
        <f>VLOOKUP(K349,$W$23:$AN$40,MATCH(L349,$W$23:$AN$23,0),FALSE)</f>
        <v>#N/A</v>
      </c>
      <c r="I349" s="1" t="e">
        <f>VLOOKUP(L349,$W$23:$AN$40,MATCH(M349,$W$23:$AN$23,0),FALSE)</f>
        <v>#N/A</v>
      </c>
      <c r="J349" s="1" t="e">
        <f>VLOOKUP(K349,$W$23:$AN$40,MATCH(M349,$W$23:$AN$23,0),FALSE)</f>
        <v>#N/A</v>
      </c>
      <c r="K349" s="1" t="str">
        <f>MID(A349,1,1)</f>
        <v/>
      </c>
      <c r="L349" s="1" t="str">
        <f>MID(A349,2,1)</f>
        <v/>
      </c>
      <c r="M349" s="1" t="str">
        <f>MID(A349,4,1)</f>
        <v/>
      </c>
      <c r="N349" s="1" t="e">
        <f>VLOOKUP(K349,$W:$X,2,0)</f>
        <v>#N/A</v>
      </c>
      <c r="O349" s="1" t="e">
        <f>VLOOKUP(L349,$Z:$AA,2,0)</f>
        <v>#N/A</v>
      </c>
      <c r="P349" s="1" t="e">
        <f>VLOOKUP(M349,$AC:$AD,2,0)</f>
        <v>#N/A</v>
      </c>
      <c r="Q349" s="1">
        <f>IF(A349&lt;&gt;"",P349+O349+N349+H349+I349+J349,0)</f>
        <v>0</v>
      </c>
    </row>
    <row r="350" spans="1:17" x14ac:dyDescent="0.25">
      <c r="A350" s="41"/>
      <c r="C350" s="41"/>
      <c r="E350" s="1" t="str">
        <f>MID(A350,1,2)</f>
        <v/>
      </c>
      <c r="F350" s="1" t="str">
        <f>MID(C350,3,2)</f>
        <v/>
      </c>
      <c r="G350" s="1" t="str">
        <f>CONCATENATE(K350,M350)</f>
        <v/>
      </c>
      <c r="H350" s="1" t="e">
        <f>VLOOKUP(K350,$W$23:$AN$40,MATCH(L350,$W$23:$AN$23,0),FALSE)</f>
        <v>#N/A</v>
      </c>
      <c r="I350" s="1" t="e">
        <f>VLOOKUP(L350,$W$23:$AN$40,MATCH(M350,$W$23:$AN$23,0),FALSE)</f>
        <v>#N/A</v>
      </c>
      <c r="J350" s="1" t="e">
        <f>VLOOKUP(K350,$W$23:$AN$40,MATCH(M350,$W$23:$AN$23,0),FALSE)</f>
        <v>#N/A</v>
      </c>
      <c r="K350" s="1" t="str">
        <f>MID(A350,1,1)</f>
        <v/>
      </c>
      <c r="L350" s="1" t="str">
        <f>MID(A350,2,1)</f>
        <v/>
      </c>
      <c r="M350" s="1" t="str">
        <f>MID(A350,4,1)</f>
        <v/>
      </c>
      <c r="N350" s="1" t="e">
        <f>VLOOKUP(K350,$W:$X,2,0)</f>
        <v>#N/A</v>
      </c>
      <c r="O350" s="1" t="e">
        <f>VLOOKUP(L350,$Z:$AA,2,0)</f>
        <v>#N/A</v>
      </c>
      <c r="P350" s="1" t="e">
        <f>VLOOKUP(M350,$AC:$AD,2,0)</f>
        <v>#N/A</v>
      </c>
      <c r="Q350" s="1">
        <f>IF(A350&lt;&gt;"",P350+O350+N350+H350+I350+J350,0)</f>
        <v>0</v>
      </c>
    </row>
    <row r="351" spans="1:17" x14ac:dyDescent="0.25">
      <c r="A351" s="41"/>
      <c r="C351" s="41"/>
      <c r="E351" s="1" t="str">
        <f>MID(A351,1,2)</f>
        <v/>
      </c>
      <c r="F351" s="1" t="str">
        <f>MID(C351,3,2)</f>
        <v/>
      </c>
      <c r="G351" s="1" t="str">
        <f>CONCATENATE(K351,M351)</f>
        <v/>
      </c>
      <c r="H351" s="1" t="e">
        <f>VLOOKUP(K351,$W$23:$AN$40,MATCH(L351,$W$23:$AN$23,0),FALSE)</f>
        <v>#N/A</v>
      </c>
      <c r="I351" s="1" t="e">
        <f>VLOOKUP(L351,$W$23:$AN$40,MATCH(M351,$W$23:$AN$23,0),FALSE)</f>
        <v>#N/A</v>
      </c>
      <c r="J351" s="1" t="e">
        <f>VLOOKUP(K351,$W$23:$AN$40,MATCH(M351,$W$23:$AN$23,0),FALSE)</f>
        <v>#N/A</v>
      </c>
      <c r="K351" s="1" t="str">
        <f>MID(A351,1,1)</f>
        <v/>
      </c>
      <c r="L351" s="1" t="str">
        <f>MID(A351,2,1)</f>
        <v/>
      </c>
      <c r="M351" s="1" t="str">
        <f>MID(A351,4,1)</f>
        <v/>
      </c>
      <c r="N351" s="1" t="e">
        <f>VLOOKUP(K351,$W:$X,2,0)</f>
        <v>#N/A</v>
      </c>
      <c r="O351" s="1" t="e">
        <f>VLOOKUP(L351,$Z:$AA,2,0)</f>
        <v>#N/A</v>
      </c>
      <c r="P351" s="1" t="e">
        <f>VLOOKUP(M351,$AC:$AD,2,0)</f>
        <v>#N/A</v>
      </c>
      <c r="Q351" s="1">
        <f>IF(A351&lt;&gt;"",P351+O351+N351+H351+I351+J351,0)</f>
        <v>0</v>
      </c>
    </row>
    <row r="352" spans="1:17" x14ac:dyDescent="0.25">
      <c r="A352" s="41"/>
      <c r="C352" s="41"/>
      <c r="E352" s="1" t="str">
        <f>MID(A352,1,2)</f>
        <v/>
      </c>
      <c r="F352" s="1" t="str">
        <f>MID(C352,3,2)</f>
        <v/>
      </c>
      <c r="G352" s="1" t="str">
        <f>CONCATENATE(K352,M352)</f>
        <v/>
      </c>
      <c r="H352" s="1" t="e">
        <f>VLOOKUP(K352,$W$23:$AN$40,MATCH(L352,$W$23:$AN$23,0),FALSE)</f>
        <v>#N/A</v>
      </c>
      <c r="I352" s="1" t="e">
        <f>VLOOKUP(L352,$W$23:$AN$40,MATCH(M352,$W$23:$AN$23,0),FALSE)</f>
        <v>#N/A</v>
      </c>
      <c r="J352" s="1" t="e">
        <f>VLOOKUP(K352,$W$23:$AN$40,MATCH(M352,$W$23:$AN$23,0),FALSE)</f>
        <v>#N/A</v>
      </c>
      <c r="K352" s="1" t="str">
        <f>MID(A352,1,1)</f>
        <v/>
      </c>
      <c r="L352" s="1" t="str">
        <f>MID(A352,2,1)</f>
        <v/>
      </c>
      <c r="M352" s="1" t="str">
        <f>MID(A352,4,1)</f>
        <v/>
      </c>
      <c r="N352" s="1" t="e">
        <f>VLOOKUP(K352,$W:$X,2,0)</f>
        <v>#N/A</v>
      </c>
      <c r="O352" s="1" t="e">
        <f>VLOOKUP(L352,$Z:$AA,2,0)</f>
        <v>#N/A</v>
      </c>
      <c r="P352" s="1" t="e">
        <f>VLOOKUP(M352,$AC:$AD,2,0)</f>
        <v>#N/A</v>
      </c>
      <c r="Q352" s="1">
        <f>IF(A352&lt;&gt;"",P352+O352+N352+H352+I352+J352,0)</f>
        <v>0</v>
      </c>
    </row>
    <row r="353" spans="1:17" x14ac:dyDescent="0.25">
      <c r="A353" s="41"/>
      <c r="C353" s="41"/>
      <c r="E353" s="1" t="str">
        <f>MID(A353,1,2)</f>
        <v/>
      </c>
      <c r="F353" s="1" t="str">
        <f>MID(C353,3,2)</f>
        <v/>
      </c>
      <c r="G353" s="1" t="str">
        <f>CONCATENATE(K353,M353)</f>
        <v/>
      </c>
      <c r="H353" s="1" t="e">
        <f>VLOOKUP(K353,$W$23:$AN$40,MATCH(L353,$W$23:$AN$23,0),FALSE)</f>
        <v>#N/A</v>
      </c>
      <c r="I353" s="1" t="e">
        <f>VLOOKUP(L353,$W$23:$AN$40,MATCH(M353,$W$23:$AN$23,0),FALSE)</f>
        <v>#N/A</v>
      </c>
      <c r="J353" s="1" t="e">
        <f>VLOOKUP(K353,$W$23:$AN$40,MATCH(M353,$W$23:$AN$23,0),FALSE)</f>
        <v>#N/A</v>
      </c>
      <c r="K353" s="1" t="str">
        <f>MID(A353,1,1)</f>
        <v/>
      </c>
      <c r="L353" s="1" t="str">
        <f>MID(A353,2,1)</f>
        <v/>
      </c>
      <c r="M353" s="1" t="str">
        <f>MID(A353,4,1)</f>
        <v/>
      </c>
      <c r="N353" s="1" t="e">
        <f>VLOOKUP(K353,$W:$X,2,0)</f>
        <v>#N/A</v>
      </c>
      <c r="O353" s="1" t="e">
        <f>VLOOKUP(L353,$Z:$AA,2,0)</f>
        <v>#N/A</v>
      </c>
      <c r="P353" s="1" t="e">
        <f>VLOOKUP(M353,$AC:$AD,2,0)</f>
        <v>#N/A</v>
      </c>
      <c r="Q353" s="1">
        <f>IF(A353&lt;&gt;"",P353+O353+N353+H353+I353+J353,0)</f>
        <v>0</v>
      </c>
    </row>
    <row r="354" spans="1:17" x14ac:dyDescent="0.25">
      <c r="A354" s="41"/>
      <c r="C354" s="41"/>
      <c r="E354" s="1" t="str">
        <f>MID(A354,1,2)</f>
        <v/>
      </c>
      <c r="F354" s="1" t="str">
        <f>MID(C354,3,2)</f>
        <v/>
      </c>
      <c r="G354" s="1" t="str">
        <f>CONCATENATE(K354,M354)</f>
        <v/>
      </c>
      <c r="H354" s="1" t="e">
        <f>VLOOKUP(K354,$W$23:$AN$40,MATCH(L354,$W$23:$AN$23,0),FALSE)</f>
        <v>#N/A</v>
      </c>
      <c r="I354" s="1" t="e">
        <f>VLOOKUP(L354,$W$23:$AN$40,MATCH(M354,$W$23:$AN$23,0),FALSE)</f>
        <v>#N/A</v>
      </c>
      <c r="J354" s="1" t="e">
        <f>VLOOKUP(K354,$W$23:$AN$40,MATCH(M354,$W$23:$AN$23,0),FALSE)</f>
        <v>#N/A</v>
      </c>
      <c r="K354" s="1" t="str">
        <f>MID(A354,1,1)</f>
        <v/>
      </c>
      <c r="L354" s="1" t="str">
        <f>MID(A354,2,1)</f>
        <v/>
      </c>
      <c r="M354" s="1" t="str">
        <f>MID(A354,4,1)</f>
        <v/>
      </c>
      <c r="N354" s="1" t="e">
        <f>VLOOKUP(K354,$W:$X,2,0)</f>
        <v>#N/A</v>
      </c>
      <c r="O354" s="1" t="e">
        <f>VLOOKUP(L354,$Z:$AA,2,0)</f>
        <v>#N/A</v>
      </c>
      <c r="P354" s="1" t="e">
        <f>VLOOKUP(M354,$AC:$AD,2,0)</f>
        <v>#N/A</v>
      </c>
      <c r="Q354" s="1">
        <f>IF(A354&lt;&gt;"",P354+O354+N354+H354+I354+J354,0)</f>
        <v>0</v>
      </c>
    </row>
    <row r="355" spans="1:17" x14ac:dyDescent="0.25">
      <c r="A355" s="41"/>
      <c r="C355" s="41"/>
      <c r="E355" s="1" t="str">
        <f>MID(A355,1,2)</f>
        <v/>
      </c>
      <c r="F355" s="1" t="str">
        <f>MID(C355,3,2)</f>
        <v/>
      </c>
      <c r="G355" s="1" t="str">
        <f>CONCATENATE(K355,M355)</f>
        <v/>
      </c>
      <c r="H355" s="1" t="e">
        <f>VLOOKUP(K355,$W$23:$AN$40,MATCH(L355,$W$23:$AN$23,0),FALSE)</f>
        <v>#N/A</v>
      </c>
      <c r="I355" s="1" t="e">
        <f>VLOOKUP(L355,$W$23:$AN$40,MATCH(M355,$W$23:$AN$23,0),FALSE)</f>
        <v>#N/A</v>
      </c>
      <c r="J355" s="1" t="e">
        <f>VLOOKUP(K355,$W$23:$AN$40,MATCH(M355,$W$23:$AN$23,0),FALSE)</f>
        <v>#N/A</v>
      </c>
      <c r="K355" s="1" t="str">
        <f>MID(A355,1,1)</f>
        <v/>
      </c>
      <c r="L355" s="1" t="str">
        <f>MID(A355,2,1)</f>
        <v/>
      </c>
      <c r="M355" s="1" t="str">
        <f>MID(A355,4,1)</f>
        <v/>
      </c>
      <c r="N355" s="1" t="e">
        <f>VLOOKUP(K355,$W:$X,2,0)</f>
        <v>#N/A</v>
      </c>
      <c r="O355" s="1" t="e">
        <f>VLOOKUP(L355,$Z:$AA,2,0)</f>
        <v>#N/A</v>
      </c>
      <c r="P355" s="1" t="e">
        <f>VLOOKUP(M355,$AC:$AD,2,0)</f>
        <v>#N/A</v>
      </c>
      <c r="Q355" s="1">
        <f>IF(A355&lt;&gt;"",P355+O355+N355+H355+I355+J355,0)</f>
        <v>0</v>
      </c>
    </row>
    <row r="356" spans="1:17" x14ac:dyDescent="0.25">
      <c r="A356" s="41"/>
      <c r="C356" s="41"/>
      <c r="E356" s="1" t="str">
        <f>MID(A356,1,2)</f>
        <v/>
      </c>
      <c r="F356" s="1" t="str">
        <f>MID(C356,3,2)</f>
        <v/>
      </c>
      <c r="G356" s="1" t="str">
        <f>CONCATENATE(K356,M356)</f>
        <v/>
      </c>
      <c r="H356" s="1" t="e">
        <f>VLOOKUP(K356,$W$23:$AN$40,MATCH(L356,$W$23:$AN$23,0),FALSE)</f>
        <v>#N/A</v>
      </c>
      <c r="I356" s="1" t="e">
        <f>VLOOKUP(L356,$W$23:$AN$40,MATCH(M356,$W$23:$AN$23,0),FALSE)</f>
        <v>#N/A</v>
      </c>
      <c r="J356" s="1" t="e">
        <f>VLOOKUP(K356,$W$23:$AN$40,MATCH(M356,$W$23:$AN$23,0),FALSE)</f>
        <v>#N/A</v>
      </c>
      <c r="K356" s="1" t="str">
        <f>MID(A356,1,1)</f>
        <v/>
      </c>
      <c r="L356" s="1" t="str">
        <f>MID(A356,2,1)</f>
        <v/>
      </c>
      <c r="M356" s="1" t="str">
        <f>MID(A356,4,1)</f>
        <v/>
      </c>
      <c r="N356" s="1" t="e">
        <f>VLOOKUP(K356,$W:$X,2,0)</f>
        <v>#N/A</v>
      </c>
      <c r="O356" s="1" t="e">
        <f>VLOOKUP(L356,$Z:$AA,2,0)</f>
        <v>#N/A</v>
      </c>
      <c r="P356" s="1" t="e">
        <f>VLOOKUP(M356,$AC:$AD,2,0)</f>
        <v>#N/A</v>
      </c>
      <c r="Q356" s="1">
        <f>IF(A356&lt;&gt;"",P356+O356+N356+H356+I356+J356,0)</f>
        <v>0</v>
      </c>
    </row>
    <row r="357" spans="1:17" x14ac:dyDescent="0.25">
      <c r="A357" s="41"/>
      <c r="C357" s="41"/>
      <c r="E357" s="1" t="str">
        <f>MID(A357,1,2)</f>
        <v/>
      </c>
      <c r="F357" s="1" t="str">
        <f>MID(C357,3,2)</f>
        <v/>
      </c>
      <c r="G357" s="1" t="str">
        <f>CONCATENATE(K357,M357)</f>
        <v/>
      </c>
      <c r="H357" s="1" t="e">
        <f>VLOOKUP(K357,$W$23:$AN$40,MATCH(L357,$W$23:$AN$23,0),FALSE)</f>
        <v>#N/A</v>
      </c>
      <c r="I357" s="1" t="e">
        <f>VLOOKUP(L357,$W$23:$AN$40,MATCH(M357,$W$23:$AN$23,0),FALSE)</f>
        <v>#N/A</v>
      </c>
      <c r="J357" s="1" t="e">
        <f>VLOOKUP(K357,$W$23:$AN$40,MATCH(M357,$W$23:$AN$23,0),FALSE)</f>
        <v>#N/A</v>
      </c>
      <c r="K357" s="1" t="str">
        <f>MID(A357,1,1)</f>
        <v/>
      </c>
      <c r="L357" s="1" t="str">
        <f>MID(A357,2,1)</f>
        <v/>
      </c>
      <c r="M357" s="1" t="str">
        <f>MID(A357,4,1)</f>
        <v/>
      </c>
      <c r="N357" s="1" t="e">
        <f>VLOOKUP(K357,$W:$X,2,0)</f>
        <v>#N/A</v>
      </c>
      <c r="O357" s="1" t="e">
        <f>VLOOKUP(L357,$Z:$AA,2,0)</f>
        <v>#N/A</v>
      </c>
      <c r="P357" s="1" t="e">
        <f>VLOOKUP(M357,$AC:$AD,2,0)</f>
        <v>#N/A</v>
      </c>
      <c r="Q357" s="1">
        <f>IF(A357&lt;&gt;"",P357+O357+N357+H357+I357+J357,0)</f>
        <v>0</v>
      </c>
    </row>
    <row r="358" spans="1:17" x14ac:dyDescent="0.25">
      <c r="A358" s="41"/>
      <c r="C358" s="41"/>
      <c r="E358" s="1" t="str">
        <f>MID(A358,1,2)</f>
        <v/>
      </c>
      <c r="F358" s="1" t="str">
        <f>MID(C358,3,2)</f>
        <v/>
      </c>
      <c r="G358" s="1" t="str">
        <f>CONCATENATE(K358,M358)</f>
        <v/>
      </c>
      <c r="H358" s="1" t="e">
        <f>VLOOKUP(K358,$W$23:$AN$40,MATCH(L358,$W$23:$AN$23,0),FALSE)</f>
        <v>#N/A</v>
      </c>
      <c r="I358" s="1" t="e">
        <f>VLOOKUP(L358,$W$23:$AN$40,MATCH(M358,$W$23:$AN$23,0),FALSE)</f>
        <v>#N/A</v>
      </c>
      <c r="J358" s="1" t="e">
        <f>VLOOKUP(K358,$W$23:$AN$40,MATCH(M358,$W$23:$AN$23,0),FALSE)</f>
        <v>#N/A</v>
      </c>
      <c r="K358" s="1" t="str">
        <f>MID(A358,1,1)</f>
        <v/>
      </c>
      <c r="L358" s="1" t="str">
        <f>MID(A358,2,1)</f>
        <v/>
      </c>
      <c r="M358" s="1" t="str">
        <f>MID(A358,4,1)</f>
        <v/>
      </c>
      <c r="N358" s="1" t="e">
        <f>VLOOKUP(K358,$W:$X,2,0)</f>
        <v>#N/A</v>
      </c>
      <c r="O358" s="1" t="e">
        <f>VLOOKUP(L358,$Z:$AA,2,0)</f>
        <v>#N/A</v>
      </c>
      <c r="P358" s="1" t="e">
        <f>VLOOKUP(M358,$AC:$AD,2,0)</f>
        <v>#N/A</v>
      </c>
      <c r="Q358" s="1">
        <f>IF(A358&lt;&gt;"",P358+O358+N358+H358+I358+J358,0)</f>
        <v>0</v>
      </c>
    </row>
    <row r="359" spans="1:17" x14ac:dyDescent="0.25">
      <c r="A359" s="41"/>
      <c r="C359" s="41"/>
      <c r="E359" s="1" t="str">
        <f>MID(A359,1,2)</f>
        <v/>
      </c>
      <c r="F359" s="1" t="str">
        <f>MID(C359,3,2)</f>
        <v/>
      </c>
      <c r="G359" s="1" t="str">
        <f>CONCATENATE(K359,M359)</f>
        <v/>
      </c>
      <c r="H359" s="1" t="e">
        <f>VLOOKUP(K359,$W$23:$AN$40,MATCH(L359,$W$23:$AN$23,0),FALSE)</f>
        <v>#N/A</v>
      </c>
      <c r="I359" s="1" t="e">
        <f>VLOOKUP(L359,$W$23:$AN$40,MATCH(M359,$W$23:$AN$23,0),FALSE)</f>
        <v>#N/A</v>
      </c>
      <c r="J359" s="1" t="e">
        <f>VLOOKUP(K359,$W$23:$AN$40,MATCH(M359,$W$23:$AN$23,0),FALSE)</f>
        <v>#N/A</v>
      </c>
      <c r="K359" s="1" t="str">
        <f>MID(A359,1,1)</f>
        <v/>
      </c>
      <c r="L359" s="1" t="str">
        <f>MID(A359,2,1)</f>
        <v/>
      </c>
      <c r="M359" s="1" t="str">
        <f>MID(A359,4,1)</f>
        <v/>
      </c>
      <c r="N359" s="1" t="e">
        <f>VLOOKUP(K359,$W:$X,2,0)</f>
        <v>#N/A</v>
      </c>
      <c r="O359" s="1" t="e">
        <f>VLOOKUP(L359,$Z:$AA,2,0)</f>
        <v>#N/A</v>
      </c>
      <c r="P359" s="1" t="e">
        <f>VLOOKUP(M359,$AC:$AD,2,0)</f>
        <v>#N/A</v>
      </c>
      <c r="Q359" s="1">
        <f>IF(A359&lt;&gt;"",P359+O359+N359+H359+I359+J359,0)</f>
        <v>0</v>
      </c>
    </row>
    <row r="360" spans="1:17" x14ac:dyDescent="0.25">
      <c r="A360" s="41"/>
      <c r="C360" s="41"/>
      <c r="E360" s="1" t="str">
        <f>MID(A360,1,2)</f>
        <v/>
      </c>
      <c r="F360" s="1" t="str">
        <f>MID(C360,3,2)</f>
        <v/>
      </c>
      <c r="G360" s="1" t="str">
        <f>CONCATENATE(K360,M360)</f>
        <v/>
      </c>
      <c r="H360" s="1" t="e">
        <f>VLOOKUP(K360,$W$23:$AN$40,MATCH(L360,$W$23:$AN$23,0),FALSE)</f>
        <v>#N/A</v>
      </c>
      <c r="I360" s="1" t="e">
        <f>VLOOKUP(L360,$W$23:$AN$40,MATCH(M360,$W$23:$AN$23,0),FALSE)</f>
        <v>#N/A</v>
      </c>
      <c r="J360" s="1" t="e">
        <f>VLOOKUP(K360,$W$23:$AN$40,MATCH(M360,$W$23:$AN$23,0),FALSE)</f>
        <v>#N/A</v>
      </c>
      <c r="K360" s="1" t="str">
        <f>MID(A360,1,1)</f>
        <v/>
      </c>
      <c r="L360" s="1" t="str">
        <f>MID(A360,2,1)</f>
        <v/>
      </c>
      <c r="M360" s="1" t="str">
        <f>MID(A360,4,1)</f>
        <v/>
      </c>
      <c r="N360" s="1" t="e">
        <f>VLOOKUP(K360,$W:$X,2,0)</f>
        <v>#N/A</v>
      </c>
      <c r="O360" s="1" t="e">
        <f>VLOOKUP(L360,$Z:$AA,2,0)</f>
        <v>#N/A</v>
      </c>
      <c r="P360" s="1" t="e">
        <f>VLOOKUP(M360,$AC:$AD,2,0)</f>
        <v>#N/A</v>
      </c>
      <c r="Q360" s="1">
        <f>IF(A360&lt;&gt;"",P360+O360+N360+H360+I360+J360,0)</f>
        <v>0</v>
      </c>
    </row>
    <row r="361" spans="1:17" x14ac:dyDescent="0.25">
      <c r="A361" s="41"/>
      <c r="C361" s="41"/>
      <c r="E361" s="1" t="str">
        <f>MID(A361,1,2)</f>
        <v/>
      </c>
      <c r="F361" s="1" t="str">
        <f>MID(C361,3,2)</f>
        <v/>
      </c>
      <c r="G361" s="1" t="str">
        <f>CONCATENATE(K361,M361)</f>
        <v/>
      </c>
      <c r="H361" s="1" t="e">
        <f>VLOOKUP(K361,$W$23:$AN$40,MATCH(L361,$W$23:$AN$23,0),FALSE)</f>
        <v>#N/A</v>
      </c>
      <c r="I361" s="1" t="e">
        <f>VLOOKUP(L361,$W$23:$AN$40,MATCH(M361,$W$23:$AN$23,0),FALSE)</f>
        <v>#N/A</v>
      </c>
      <c r="J361" s="1" t="e">
        <f>VLOOKUP(K361,$W$23:$AN$40,MATCH(M361,$W$23:$AN$23,0),FALSE)</f>
        <v>#N/A</v>
      </c>
      <c r="K361" s="1" t="str">
        <f>MID(A361,1,1)</f>
        <v/>
      </c>
      <c r="L361" s="1" t="str">
        <f>MID(A361,2,1)</f>
        <v/>
      </c>
      <c r="M361" s="1" t="str">
        <f>MID(A361,4,1)</f>
        <v/>
      </c>
      <c r="N361" s="1" t="e">
        <f>VLOOKUP(K361,$W:$X,2,0)</f>
        <v>#N/A</v>
      </c>
      <c r="O361" s="1" t="e">
        <f>VLOOKUP(L361,$Z:$AA,2,0)</f>
        <v>#N/A</v>
      </c>
      <c r="P361" s="1" t="e">
        <f>VLOOKUP(M361,$AC:$AD,2,0)</f>
        <v>#N/A</v>
      </c>
      <c r="Q361" s="1">
        <f>IF(A361&lt;&gt;"",P361+O361+N361+H361+I361+J361,0)</f>
        <v>0</v>
      </c>
    </row>
    <row r="362" spans="1:17" x14ac:dyDescent="0.25">
      <c r="A362" s="41"/>
      <c r="C362" s="41"/>
      <c r="E362" s="1" t="str">
        <f>MID(A362,1,2)</f>
        <v/>
      </c>
      <c r="F362" s="1" t="str">
        <f>MID(C362,3,2)</f>
        <v/>
      </c>
      <c r="G362" s="1" t="str">
        <f>CONCATENATE(K362,M362)</f>
        <v/>
      </c>
      <c r="H362" s="1" t="e">
        <f>VLOOKUP(K362,$W$23:$AN$40,MATCH(L362,$W$23:$AN$23,0),FALSE)</f>
        <v>#N/A</v>
      </c>
      <c r="I362" s="1" t="e">
        <f>VLOOKUP(L362,$W$23:$AN$40,MATCH(M362,$W$23:$AN$23,0),FALSE)</f>
        <v>#N/A</v>
      </c>
      <c r="J362" s="1" t="e">
        <f>VLOOKUP(K362,$W$23:$AN$40,MATCH(M362,$W$23:$AN$23,0),FALSE)</f>
        <v>#N/A</v>
      </c>
      <c r="K362" s="1" t="str">
        <f>MID(A362,1,1)</f>
        <v/>
      </c>
      <c r="L362" s="1" t="str">
        <f>MID(A362,2,1)</f>
        <v/>
      </c>
      <c r="M362" s="1" t="str">
        <f>MID(A362,4,1)</f>
        <v/>
      </c>
      <c r="N362" s="1" t="e">
        <f>VLOOKUP(K362,$W:$X,2,0)</f>
        <v>#N/A</v>
      </c>
      <c r="O362" s="1" t="e">
        <f>VLOOKUP(L362,$Z:$AA,2,0)</f>
        <v>#N/A</v>
      </c>
      <c r="P362" s="1" t="e">
        <f>VLOOKUP(M362,$AC:$AD,2,0)</f>
        <v>#N/A</v>
      </c>
      <c r="Q362" s="1">
        <f>IF(A362&lt;&gt;"",P362+O362+N362+H362+I362+J362,0)</f>
        <v>0</v>
      </c>
    </row>
    <row r="363" spans="1:17" x14ac:dyDescent="0.25">
      <c r="A363" s="41"/>
      <c r="C363" s="41"/>
      <c r="E363" s="1" t="str">
        <f>MID(A363,1,2)</f>
        <v/>
      </c>
      <c r="F363" s="1" t="str">
        <f>MID(C363,3,2)</f>
        <v/>
      </c>
      <c r="G363" s="1" t="str">
        <f>CONCATENATE(K363,M363)</f>
        <v/>
      </c>
      <c r="H363" s="1" t="e">
        <f>VLOOKUP(K363,$W$23:$AN$40,MATCH(L363,$W$23:$AN$23,0),FALSE)</f>
        <v>#N/A</v>
      </c>
      <c r="I363" s="1" t="e">
        <f>VLOOKUP(L363,$W$23:$AN$40,MATCH(M363,$W$23:$AN$23,0),FALSE)</f>
        <v>#N/A</v>
      </c>
      <c r="J363" s="1" t="e">
        <f>VLOOKUP(K363,$W$23:$AN$40,MATCH(M363,$W$23:$AN$23,0),FALSE)</f>
        <v>#N/A</v>
      </c>
      <c r="K363" s="1" t="str">
        <f>MID(A363,1,1)</f>
        <v/>
      </c>
      <c r="L363" s="1" t="str">
        <f>MID(A363,2,1)</f>
        <v/>
      </c>
      <c r="M363" s="1" t="str">
        <f>MID(A363,4,1)</f>
        <v/>
      </c>
      <c r="N363" s="1" t="e">
        <f>VLOOKUP(K363,$W:$X,2,0)</f>
        <v>#N/A</v>
      </c>
      <c r="O363" s="1" t="e">
        <f>VLOOKUP(L363,$Z:$AA,2,0)</f>
        <v>#N/A</v>
      </c>
      <c r="P363" s="1" t="e">
        <f>VLOOKUP(M363,$AC:$AD,2,0)</f>
        <v>#N/A</v>
      </c>
      <c r="Q363" s="1">
        <f>IF(A363&lt;&gt;"",P363+O363+N363+H363+I363+J363,0)</f>
        <v>0</v>
      </c>
    </row>
    <row r="364" spans="1:17" x14ac:dyDescent="0.25">
      <c r="A364" s="41"/>
      <c r="C364" s="41"/>
      <c r="E364" s="1" t="str">
        <f>MID(A364,1,2)</f>
        <v/>
      </c>
      <c r="F364" s="1" t="str">
        <f>MID(C364,3,2)</f>
        <v/>
      </c>
      <c r="G364" s="1" t="str">
        <f>CONCATENATE(K364,M364)</f>
        <v/>
      </c>
      <c r="H364" s="1" t="e">
        <f>VLOOKUP(K364,$W$23:$AN$40,MATCH(L364,$W$23:$AN$23,0),FALSE)</f>
        <v>#N/A</v>
      </c>
      <c r="I364" s="1" t="e">
        <f>VLOOKUP(L364,$W$23:$AN$40,MATCH(M364,$W$23:$AN$23,0),FALSE)</f>
        <v>#N/A</v>
      </c>
      <c r="J364" s="1" t="e">
        <f>VLOOKUP(K364,$W$23:$AN$40,MATCH(M364,$W$23:$AN$23,0),FALSE)</f>
        <v>#N/A</v>
      </c>
      <c r="K364" s="1" t="str">
        <f>MID(A364,1,1)</f>
        <v/>
      </c>
      <c r="L364" s="1" t="str">
        <f>MID(A364,2,1)</f>
        <v/>
      </c>
      <c r="M364" s="1" t="str">
        <f>MID(A364,4,1)</f>
        <v/>
      </c>
      <c r="N364" s="1" t="e">
        <f>VLOOKUP(K364,$W:$X,2,0)</f>
        <v>#N/A</v>
      </c>
      <c r="O364" s="1" t="e">
        <f>VLOOKUP(L364,$Z:$AA,2,0)</f>
        <v>#N/A</v>
      </c>
      <c r="P364" s="1" t="e">
        <f>VLOOKUP(M364,$AC:$AD,2,0)</f>
        <v>#N/A</v>
      </c>
      <c r="Q364" s="1">
        <f>IF(A364&lt;&gt;"",P364+O364+N364+H364+I364+J364,0)</f>
        <v>0</v>
      </c>
    </row>
    <row r="365" spans="1:17" x14ac:dyDescent="0.25">
      <c r="A365" s="41"/>
      <c r="C365" s="41"/>
      <c r="E365" s="1" t="str">
        <f>MID(A365,1,2)</f>
        <v/>
      </c>
      <c r="F365" s="1" t="str">
        <f>MID(C365,3,2)</f>
        <v/>
      </c>
      <c r="G365" s="1" t="str">
        <f>CONCATENATE(K365,M365)</f>
        <v/>
      </c>
      <c r="H365" s="1" t="e">
        <f>VLOOKUP(K365,$W$23:$AN$40,MATCH(L365,$W$23:$AN$23,0),FALSE)</f>
        <v>#N/A</v>
      </c>
      <c r="I365" s="1" t="e">
        <f>VLOOKUP(L365,$W$23:$AN$40,MATCH(M365,$W$23:$AN$23,0),FALSE)</f>
        <v>#N/A</v>
      </c>
      <c r="J365" s="1" t="e">
        <f>VLOOKUP(K365,$W$23:$AN$40,MATCH(M365,$W$23:$AN$23,0),FALSE)</f>
        <v>#N/A</v>
      </c>
      <c r="K365" s="1" t="str">
        <f>MID(A365,1,1)</f>
        <v/>
      </c>
      <c r="L365" s="1" t="str">
        <f>MID(A365,2,1)</f>
        <v/>
      </c>
      <c r="M365" s="1" t="str">
        <f>MID(A365,4,1)</f>
        <v/>
      </c>
      <c r="N365" s="1" t="e">
        <f>VLOOKUP(K365,$W:$X,2,0)</f>
        <v>#N/A</v>
      </c>
      <c r="O365" s="1" t="e">
        <f>VLOOKUP(L365,$Z:$AA,2,0)</f>
        <v>#N/A</v>
      </c>
      <c r="P365" s="1" t="e">
        <f>VLOOKUP(M365,$AC:$AD,2,0)</f>
        <v>#N/A</v>
      </c>
      <c r="Q365" s="1">
        <f>IF(A365&lt;&gt;"",P365+O365+N365+H365+I365+J365,0)</f>
        <v>0</v>
      </c>
    </row>
    <row r="366" spans="1:17" x14ac:dyDescent="0.25">
      <c r="A366" s="41"/>
      <c r="C366" s="41"/>
      <c r="E366" s="1" t="str">
        <f>MID(A366,1,2)</f>
        <v/>
      </c>
      <c r="F366" s="1" t="str">
        <f>MID(C366,3,2)</f>
        <v/>
      </c>
      <c r="G366" s="1" t="str">
        <f>CONCATENATE(K366,M366)</f>
        <v/>
      </c>
      <c r="H366" s="1" t="e">
        <f>VLOOKUP(K366,$W$23:$AN$40,MATCH(L366,$W$23:$AN$23,0),FALSE)</f>
        <v>#N/A</v>
      </c>
      <c r="I366" s="1" t="e">
        <f>VLOOKUP(L366,$W$23:$AN$40,MATCH(M366,$W$23:$AN$23,0),FALSE)</f>
        <v>#N/A</v>
      </c>
      <c r="J366" s="1" t="e">
        <f>VLOOKUP(K366,$W$23:$AN$40,MATCH(M366,$W$23:$AN$23,0),FALSE)</f>
        <v>#N/A</v>
      </c>
      <c r="K366" s="1" t="str">
        <f>MID(A366,1,1)</f>
        <v/>
      </c>
      <c r="L366" s="1" t="str">
        <f>MID(A366,2,1)</f>
        <v/>
      </c>
      <c r="M366" s="1" t="str">
        <f>MID(A366,4,1)</f>
        <v/>
      </c>
      <c r="N366" s="1" t="e">
        <f>VLOOKUP(K366,$W:$X,2,0)</f>
        <v>#N/A</v>
      </c>
      <c r="O366" s="1" t="e">
        <f>VLOOKUP(L366,$Z:$AA,2,0)</f>
        <v>#N/A</v>
      </c>
      <c r="P366" s="1" t="e">
        <f>VLOOKUP(M366,$AC:$AD,2,0)</f>
        <v>#N/A</v>
      </c>
      <c r="Q366" s="1">
        <f>IF(A366&lt;&gt;"",P366+O366+N366+H366+I366+J366,0)</f>
        <v>0</v>
      </c>
    </row>
    <row r="367" spans="1:17" x14ac:dyDescent="0.25">
      <c r="A367" s="41"/>
      <c r="C367" s="41"/>
      <c r="E367" s="1" t="str">
        <f>MID(A367,1,2)</f>
        <v/>
      </c>
      <c r="F367" s="1" t="str">
        <f>MID(C367,3,2)</f>
        <v/>
      </c>
      <c r="G367" s="1" t="str">
        <f>CONCATENATE(K367,M367)</f>
        <v/>
      </c>
      <c r="H367" s="1" t="e">
        <f>VLOOKUP(K367,$W$23:$AN$40,MATCH(L367,$W$23:$AN$23,0),FALSE)</f>
        <v>#N/A</v>
      </c>
      <c r="I367" s="1" t="e">
        <f>VLOOKUP(L367,$W$23:$AN$40,MATCH(M367,$W$23:$AN$23,0),FALSE)</f>
        <v>#N/A</v>
      </c>
      <c r="J367" s="1" t="e">
        <f>VLOOKUP(K367,$W$23:$AN$40,MATCH(M367,$W$23:$AN$23,0),FALSE)</f>
        <v>#N/A</v>
      </c>
      <c r="K367" s="1" t="str">
        <f>MID(A367,1,1)</f>
        <v/>
      </c>
      <c r="L367" s="1" t="str">
        <f>MID(A367,2,1)</f>
        <v/>
      </c>
      <c r="M367" s="1" t="str">
        <f>MID(A367,4,1)</f>
        <v/>
      </c>
      <c r="N367" s="1" t="e">
        <f>VLOOKUP(K367,$W:$X,2,0)</f>
        <v>#N/A</v>
      </c>
      <c r="O367" s="1" t="e">
        <f>VLOOKUP(L367,$Z:$AA,2,0)</f>
        <v>#N/A</v>
      </c>
      <c r="P367" s="1" t="e">
        <f>VLOOKUP(M367,$AC:$AD,2,0)</f>
        <v>#N/A</v>
      </c>
      <c r="Q367" s="1">
        <f>IF(A367&lt;&gt;"",P367+O367+N367+H367+I367+J367,0)</f>
        <v>0</v>
      </c>
    </row>
    <row r="368" spans="1:17" x14ac:dyDescent="0.25">
      <c r="A368" s="41"/>
      <c r="C368" s="41"/>
      <c r="E368" s="1" t="str">
        <f>MID(A368,1,2)</f>
        <v/>
      </c>
      <c r="F368" s="1" t="str">
        <f>MID(C368,3,2)</f>
        <v/>
      </c>
      <c r="G368" s="1" t="str">
        <f>CONCATENATE(K368,M368)</f>
        <v/>
      </c>
      <c r="H368" s="1" t="e">
        <f>VLOOKUP(K368,$W$23:$AN$40,MATCH(L368,$W$23:$AN$23,0),FALSE)</f>
        <v>#N/A</v>
      </c>
      <c r="I368" s="1" t="e">
        <f>VLOOKUP(L368,$W$23:$AN$40,MATCH(M368,$W$23:$AN$23,0),FALSE)</f>
        <v>#N/A</v>
      </c>
      <c r="J368" s="1" t="e">
        <f>VLOOKUP(K368,$W$23:$AN$40,MATCH(M368,$W$23:$AN$23,0),FALSE)</f>
        <v>#N/A</v>
      </c>
      <c r="K368" s="1" t="str">
        <f>MID(A368,1,1)</f>
        <v/>
      </c>
      <c r="L368" s="1" t="str">
        <f>MID(A368,2,1)</f>
        <v/>
      </c>
      <c r="M368" s="1" t="str">
        <f>MID(A368,4,1)</f>
        <v/>
      </c>
      <c r="N368" s="1" t="e">
        <f>VLOOKUP(K368,$W:$X,2,0)</f>
        <v>#N/A</v>
      </c>
      <c r="O368" s="1" t="e">
        <f>VLOOKUP(L368,$Z:$AA,2,0)</f>
        <v>#N/A</v>
      </c>
      <c r="P368" s="1" t="e">
        <f>VLOOKUP(M368,$AC:$AD,2,0)</f>
        <v>#N/A</v>
      </c>
      <c r="Q368" s="1">
        <f>IF(A368&lt;&gt;"",P368+O368+N368+H368+I368+J368,0)</f>
        <v>0</v>
      </c>
    </row>
    <row r="369" spans="1:17" x14ac:dyDescent="0.25">
      <c r="A369" s="41"/>
      <c r="C369" s="41"/>
      <c r="E369" s="1" t="str">
        <f>MID(A369,1,2)</f>
        <v/>
      </c>
      <c r="F369" s="1" t="str">
        <f>MID(C369,3,2)</f>
        <v/>
      </c>
      <c r="G369" s="1" t="str">
        <f>CONCATENATE(K369,M369)</f>
        <v/>
      </c>
      <c r="H369" s="1" t="e">
        <f>VLOOKUP(K369,$W$23:$AN$40,MATCH(L369,$W$23:$AN$23,0),FALSE)</f>
        <v>#N/A</v>
      </c>
      <c r="I369" s="1" t="e">
        <f>VLOOKUP(L369,$W$23:$AN$40,MATCH(M369,$W$23:$AN$23,0),FALSE)</f>
        <v>#N/A</v>
      </c>
      <c r="J369" s="1" t="e">
        <f>VLOOKUP(K369,$W$23:$AN$40,MATCH(M369,$W$23:$AN$23,0),FALSE)</f>
        <v>#N/A</v>
      </c>
      <c r="K369" s="1" t="str">
        <f>MID(A369,1,1)</f>
        <v/>
      </c>
      <c r="L369" s="1" t="str">
        <f>MID(A369,2,1)</f>
        <v/>
      </c>
      <c r="M369" s="1" t="str">
        <f>MID(A369,4,1)</f>
        <v/>
      </c>
      <c r="N369" s="1" t="e">
        <f>VLOOKUP(K369,$W:$X,2,0)</f>
        <v>#N/A</v>
      </c>
      <c r="O369" s="1" t="e">
        <f>VLOOKUP(L369,$Z:$AA,2,0)</f>
        <v>#N/A</v>
      </c>
      <c r="P369" s="1" t="e">
        <f>VLOOKUP(M369,$AC:$AD,2,0)</f>
        <v>#N/A</v>
      </c>
      <c r="Q369" s="1">
        <f>IF(A369&lt;&gt;"",P369+O369+N369+H369+I369+J369,0)</f>
        <v>0</v>
      </c>
    </row>
    <row r="370" spans="1:17" x14ac:dyDescent="0.25">
      <c r="A370" s="41"/>
      <c r="C370" s="41"/>
      <c r="E370" s="1" t="str">
        <f>MID(A370,1,2)</f>
        <v/>
      </c>
      <c r="F370" s="1" t="str">
        <f>MID(C370,3,2)</f>
        <v/>
      </c>
      <c r="G370" s="1" t="str">
        <f>CONCATENATE(K370,M370)</f>
        <v/>
      </c>
      <c r="H370" s="1" t="e">
        <f>VLOOKUP(K370,$W$23:$AN$40,MATCH(L370,$W$23:$AN$23,0),FALSE)</f>
        <v>#N/A</v>
      </c>
      <c r="I370" s="1" t="e">
        <f>VLOOKUP(L370,$W$23:$AN$40,MATCH(M370,$W$23:$AN$23,0),FALSE)</f>
        <v>#N/A</v>
      </c>
      <c r="J370" s="1" t="e">
        <f>VLOOKUP(K370,$W$23:$AN$40,MATCH(M370,$W$23:$AN$23,0),FALSE)</f>
        <v>#N/A</v>
      </c>
      <c r="K370" s="1" t="str">
        <f>MID(A370,1,1)</f>
        <v/>
      </c>
      <c r="L370" s="1" t="str">
        <f>MID(A370,2,1)</f>
        <v/>
      </c>
      <c r="M370" s="1" t="str">
        <f>MID(A370,4,1)</f>
        <v/>
      </c>
      <c r="N370" s="1" t="e">
        <f>VLOOKUP(K370,$W:$X,2,0)</f>
        <v>#N/A</v>
      </c>
      <c r="O370" s="1" t="e">
        <f>VLOOKUP(L370,$Z:$AA,2,0)</f>
        <v>#N/A</v>
      </c>
      <c r="P370" s="1" t="e">
        <f>VLOOKUP(M370,$AC:$AD,2,0)</f>
        <v>#N/A</v>
      </c>
      <c r="Q370" s="1">
        <f>IF(A370&lt;&gt;"",P370+O370+N370+H370+I370+J370,0)</f>
        <v>0</v>
      </c>
    </row>
    <row r="371" spans="1:17" x14ac:dyDescent="0.25">
      <c r="A371" s="41"/>
      <c r="C371" s="41"/>
      <c r="E371" s="1" t="str">
        <f>MID(A371,1,2)</f>
        <v/>
      </c>
      <c r="F371" s="1" t="str">
        <f>MID(C371,3,2)</f>
        <v/>
      </c>
      <c r="G371" s="1" t="str">
        <f>CONCATENATE(K371,M371)</f>
        <v/>
      </c>
      <c r="H371" s="1" t="e">
        <f>VLOOKUP(K371,$W$23:$AN$40,MATCH(L371,$W$23:$AN$23,0),FALSE)</f>
        <v>#N/A</v>
      </c>
      <c r="I371" s="1" t="e">
        <f>VLOOKUP(L371,$W$23:$AN$40,MATCH(M371,$W$23:$AN$23,0),FALSE)</f>
        <v>#N/A</v>
      </c>
      <c r="J371" s="1" t="e">
        <f>VLOOKUP(K371,$W$23:$AN$40,MATCH(M371,$W$23:$AN$23,0),FALSE)</f>
        <v>#N/A</v>
      </c>
      <c r="K371" s="1" t="str">
        <f>MID(A371,1,1)</f>
        <v/>
      </c>
      <c r="L371" s="1" t="str">
        <f>MID(A371,2,1)</f>
        <v/>
      </c>
      <c r="M371" s="1" t="str">
        <f>MID(A371,4,1)</f>
        <v/>
      </c>
      <c r="N371" s="1" t="e">
        <f>VLOOKUP(K371,$W:$X,2,0)</f>
        <v>#N/A</v>
      </c>
      <c r="O371" s="1" t="e">
        <f>VLOOKUP(L371,$Z:$AA,2,0)</f>
        <v>#N/A</v>
      </c>
      <c r="P371" s="1" t="e">
        <f>VLOOKUP(M371,$AC:$AD,2,0)</f>
        <v>#N/A</v>
      </c>
      <c r="Q371" s="1">
        <f>IF(A371&lt;&gt;"",P371+O371+N371+H371+I371+J371,0)</f>
        <v>0</v>
      </c>
    </row>
    <row r="372" spans="1:17" x14ac:dyDescent="0.25">
      <c r="A372" s="41"/>
      <c r="C372" s="41"/>
      <c r="E372" s="1" t="str">
        <f>MID(A372,1,2)</f>
        <v/>
      </c>
      <c r="F372" s="1" t="str">
        <f>MID(C372,3,2)</f>
        <v/>
      </c>
      <c r="G372" s="1" t="str">
        <f>CONCATENATE(K372,M372)</f>
        <v/>
      </c>
      <c r="H372" s="1" t="e">
        <f>VLOOKUP(K372,$W$23:$AN$40,MATCH(L372,$W$23:$AN$23,0),FALSE)</f>
        <v>#N/A</v>
      </c>
      <c r="I372" s="1" t="e">
        <f>VLOOKUP(L372,$W$23:$AN$40,MATCH(M372,$W$23:$AN$23,0),FALSE)</f>
        <v>#N/A</v>
      </c>
      <c r="J372" s="1" t="e">
        <f>VLOOKUP(K372,$W$23:$AN$40,MATCH(M372,$W$23:$AN$23,0),FALSE)</f>
        <v>#N/A</v>
      </c>
      <c r="K372" s="1" t="str">
        <f>MID(A372,1,1)</f>
        <v/>
      </c>
      <c r="L372" s="1" t="str">
        <f>MID(A372,2,1)</f>
        <v/>
      </c>
      <c r="M372" s="1" t="str">
        <f>MID(A372,4,1)</f>
        <v/>
      </c>
      <c r="N372" s="1" t="e">
        <f>VLOOKUP(K372,$W:$X,2,0)</f>
        <v>#N/A</v>
      </c>
      <c r="O372" s="1" t="e">
        <f>VLOOKUP(L372,$Z:$AA,2,0)</f>
        <v>#N/A</v>
      </c>
      <c r="P372" s="1" t="e">
        <f>VLOOKUP(M372,$AC:$AD,2,0)</f>
        <v>#N/A</v>
      </c>
      <c r="Q372" s="1">
        <f>IF(A372&lt;&gt;"",P372+O372+N372+H372+I372+J372,0)</f>
        <v>0</v>
      </c>
    </row>
    <row r="373" spans="1:17" x14ac:dyDescent="0.25">
      <c r="A373" s="41"/>
      <c r="C373" s="41"/>
      <c r="E373" s="1" t="str">
        <f>MID(A373,1,2)</f>
        <v/>
      </c>
      <c r="F373" s="1" t="str">
        <f>MID(C373,3,2)</f>
        <v/>
      </c>
      <c r="G373" s="1" t="str">
        <f>CONCATENATE(K373,M373)</f>
        <v/>
      </c>
      <c r="H373" s="1" t="e">
        <f>VLOOKUP(K373,$W$23:$AN$40,MATCH(L373,$W$23:$AN$23,0),FALSE)</f>
        <v>#N/A</v>
      </c>
      <c r="I373" s="1" t="e">
        <f>VLOOKUP(L373,$W$23:$AN$40,MATCH(M373,$W$23:$AN$23,0),FALSE)</f>
        <v>#N/A</v>
      </c>
      <c r="J373" s="1" t="e">
        <f>VLOOKUP(K373,$W$23:$AN$40,MATCH(M373,$W$23:$AN$23,0),FALSE)</f>
        <v>#N/A</v>
      </c>
      <c r="K373" s="1" t="str">
        <f>MID(A373,1,1)</f>
        <v/>
      </c>
      <c r="L373" s="1" t="str">
        <f>MID(A373,2,1)</f>
        <v/>
      </c>
      <c r="M373" s="1" t="str">
        <f>MID(A373,4,1)</f>
        <v/>
      </c>
      <c r="N373" s="1" t="e">
        <f>VLOOKUP(K373,$W:$X,2,0)</f>
        <v>#N/A</v>
      </c>
      <c r="O373" s="1" t="e">
        <f>VLOOKUP(L373,$Z:$AA,2,0)</f>
        <v>#N/A</v>
      </c>
      <c r="P373" s="1" t="e">
        <f>VLOOKUP(M373,$AC:$AD,2,0)</f>
        <v>#N/A</v>
      </c>
      <c r="Q373" s="1">
        <f>IF(A373&lt;&gt;"",P373+O373+N373+H373+I373+J373,0)</f>
        <v>0</v>
      </c>
    </row>
    <row r="374" spans="1:17" x14ac:dyDescent="0.25">
      <c r="A374" s="41"/>
      <c r="C374" s="41"/>
      <c r="E374" s="1" t="str">
        <f>MID(A374,1,2)</f>
        <v/>
      </c>
      <c r="F374" s="1" t="str">
        <f>MID(C374,3,2)</f>
        <v/>
      </c>
      <c r="G374" s="1" t="str">
        <f>CONCATENATE(K374,M374)</f>
        <v/>
      </c>
      <c r="H374" s="1" t="e">
        <f>VLOOKUP(K374,$W$23:$AN$40,MATCH(L374,$W$23:$AN$23,0),FALSE)</f>
        <v>#N/A</v>
      </c>
      <c r="I374" s="1" t="e">
        <f>VLOOKUP(L374,$W$23:$AN$40,MATCH(M374,$W$23:$AN$23,0),FALSE)</f>
        <v>#N/A</v>
      </c>
      <c r="J374" s="1" t="e">
        <f>VLOOKUP(K374,$W$23:$AN$40,MATCH(M374,$W$23:$AN$23,0),FALSE)</f>
        <v>#N/A</v>
      </c>
      <c r="K374" s="1" t="str">
        <f>MID(A374,1,1)</f>
        <v/>
      </c>
      <c r="L374" s="1" t="str">
        <f>MID(A374,2,1)</f>
        <v/>
      </c>
      <c r="M374" s="1" t="str">
        <f>MID(A374,4,1)</f>
        <v/>
      </c>
      <c r="N374" s="1" t="e">
        <f>VLOOKUP(K374,$W:$X,2,0)</f>
        <v>#N/A</v>
      </c>
      <c r="O374" s="1" t="e">
        <f>VLOOKUP(L374,$Z:$AA,2,0)</f>
        <v>#N/A</v>
      </c>
      <c r="P374" s="1" t="e">
        <f>VLOOKUP(M374,$AC:$AD,2,0)</f>
        <v>#N/A</v>
      </c>
      <c r="Q374" s="1">
        <f>IF(A374&lt;&gt;"",P374+O374+N374+H374+I374+J374,0)</f>
        <v>0</v>
      </c>
    </row>
    <row r="375" spans="1:17" x14ac:dyDescent="0.25">
      <c r="A375" s="41"/>
      <c r="C375" s="41"/>
      <c r="E375" s="1" t="str">
        <f>MID(A375,1,2)</f>
        <v/>
      </c>
      <c r="F375" s="1" t="str">
        <f>MID(C375,3,2)</f>
        <v/>
      </c>
      <c r="G375" s="1" t="str">
        <f>CONCATENATE(K375,M375)</f>
        <v/>
      </c>
      <c r="H375" s="1" t="e">
        <f>VLOOKUP(K375,$W$23:$AN$40,MATCH(L375,$W$23:$AN$23,0),FALSE)</f>
        <v>#N/A</v>
      </c>
      <c r="I375" s="1" t="e">
        <f>VLOOKUP(L375,$W$23:$AN$40,MATCH(M375,$W$23:$AN$23,0),FALSE)</f>
        <v>#N/A</v>
      </c>
      <c r="J375" s="1" t="e">
        <f>VLOOKUP(K375,$W$23:$AN$40,MATCH(M375,$W$23:$AN$23,0),FALSE)</f>
        <v>#N/A</v>
      </c>
      <c r="K375" s="1" t="str">
        <f>MID(A375,1,1)</f>
        <v/>
      </c>
      <c r="L375" s="1" t="str">
        <f>MID(A375,2,1)</f>
        <v/>
      </c>
      <c r="M375" s="1" t="str">
        <f>MID(A375,4,1)</f>
        <v/>
      </c>
      <c r="N375" s="1" t="e">
        <f>VLOOKUP(K375,$W:$X,2,0)</f>
        <v>#N/A</v>
      </c>
      <c r="O375" s="1" t="e">
        <f>VLOOKUP(L375,$Z:$AA,2,0)</f>
        <v>#N/A</v>
      </c>
      <c r="P375" s="1" t="e">
        <f>VLOOKUP(M375,$AC:$AD,2,0)</f>
        <v>#N/A</v>
      </c>
      <c r="Q375" s="1">
        <f>IF(A375&lt;&gt;"",P375+O375+N375+H375+I375+J375,0)</f>
        <v>0</v>
      </c>
    </row>
    <row r="376" spans="1:17" x14ac:dyDescent="0.25">
      <c r="A376" s="41"/>
      <c r="C376" s="41"/>
      <c r="E376" s="1" t="str">
        <f>MID(A376,1,2)</f>
        <v/>
      </c>
      <c r="F376" s="1" t="str">
        <f>MID(C376,3,2)</f>
        <v/>
      </c>
      <c r="G376" s="1" t="str">
        <f>CONCATENATE(K376,M376)</f>
        <v/>
      </c>
      <c r="H376" s="1" t="e">
        <f>VLOOKUP(K376,$W$23:$AN$40,MATCH(L376,$W$23:$AN$23,0),FALSE)</f>
        <v>#N/A</v>
      </c>
      <c r="I376" s="1" t="e">
        <f>VLOOKUP(L376,$W$23:$AN$40,MATCH(M376,$W$23:$AN$23,0),FALSE)</f>
        <v>#N/A</v>
      </c>
      <c r="J376" s="1" t="e">
        <f>VLOOKUP(K376,$W$23:$AN$40,MATCH(M376,$W$23:$AN$23,0),FALSE)</f>
        <v>#N/A</v>
      </c>
      <c r="K376" s="1" t="str">
        <f>MID(A376,1,1)</f>
        <v/>
      </c>
      <c r="L376" s="1" t="str">
        <f>MID(A376,2,1)</f>
        <v/>
      </c>
      <c r="M376" s="1" t="str">
        <f>MID(A376,4,1)</f>
        <v/>
      </c>
      <c r="N376" s="1" t="e">
        <f>VLOOKUP(K376,$W:$X,2,0)</f>
        <v>#N/A</v>
      </c>
      <c r="O376" s="1" t="e">
        <f>VLOOKUP(L376,$Z:$AA,2,0)</f>
        <v>#N/A</v>
      </c>
      <c r="P376" s="1" t="e">
        <f>VLOOKUP(M376,$AC:$AD,2,0)</f>
        <v>#N/A</v>
      </c>
      <c r="Q376" s="1">
        <f>IF(A376&lt;&gt;"",P376+O376+N376+H376+I376+J376,0)</f>
        <v>0</v>
      </c>
    </row>
    <row r="377" spans="1:17" x14ac:dyDescent="0.25">
      <c r="A377" s="41"/>
      <c r="C377" s="41"/>
      <c r="E377" s="1" t="str">
        <f>MID(A377,1,2)</f>
        <v/>
      </c>
      <c r="F377" s="1" t="str">
        <f>MID(C377,3,2)</f>
        <v/>
      </c>
      <c r="G377" s="1" t="str">
        <f>CONCATENATE(K377,M377)</f>
        <v/>
      </c>
      <c r="H377" s="1" t="e">
        <f>VLOOKUP(K377,$W$23:$AN$40,MATCH(L377,$W$23:$AN$23,0),FALSE)</f>
        <v>#N/A</v>
      </c>
      <c r="I377" s="1" t="e">
        <f>VLOOKUP(L377,$W$23:$AN$40,MATCH(M377,$W$23:$AN$23,0),FALSE)</f>
        <v>#N/A</v>
      </c>
      <c r="J377" s="1" t="e">
        <f>VLOOKUP(K377,$W$23:$AN$40,MATCH(M377,$W$23:$AN$23,0),FALSE)</f>
        <v>#N/A</v>
      </c>
      <c r="K377" s="1" t="str">
        <f>MID(A377,1,1)</f>
        <v/>
      </c>
      <c r="L377" s="1" t="str">
        <f>MID(A377,2,1)</f>
        <v/>
      </c>
      <c r="M377" s="1" t="str">
        <f>MID(A377,4,1)</f>
        <v/>
      </c>
      <c r="N377" s="1" t="e">
        <f>VLOOKUP(K377,$W:$X,2,0)</f>
        <v>#N/A</v>
      </c>
      <c r="O377" s="1" t="e">
        <f>VLOOKUP(L377,$Z:$AA,2,0)</f>
        <v>#N/A</v>
      </c>
      <c r="P377" s="1" t="e">
        <f>VLOOKUP(M377,$AC:$AD,2,0)</f>
        <v>#N/A</v>
      </c>
      <c r="Q377" s="1">
        <f>IF(A377&lt;&gt;"",P377+O377+N377+H377+I377+J377,0)</f>
        <v>0</v>
      </c>
    </row>
    <row r="378" spans="1:17" x14ac:dyDescent="0.25">
      <c r="A378" s="41"/>
      <c r="C378" s="41"/>
      <c r="E378" s="1" t="str">
        <f>MID(A378,1,2)</f>
        <v/>
      </c>
      <c r="F378" s="1" t="str">
        <f>MID(C378,3,2)</f>
        <v/>
      </c>
      <c r="G378" s="1" t="str">
        <f>CONCATENATE(K378,M378)</f>
        <v/>
      </c>
      <c r="H378" s="1" t="e">
        <f>VLOOKUP(K378,$W$23:$AN$40,MATCH(L378,$W$23:$AN$23,0),FALSE)</f>
        <v>#N/A</v>
      </c>
      <c r="I378" s="1" t="e">
        <f>VLOOKUP(L378,$W$23:$AN$40,MATCH(M378,$W$23:$AN$23,0),FALSE)</f>
        <v>#N/A</v>
      </c>
      <c r="J378" s="1" t="e">
        <f>VLOOKUP(K378,$W$23:$AN$40,MATCH(M378,$W$23:$AN$23,0),FALSE)</f>
        <v>#N/A</v>
      </c>
      <c r="K378" s="1" t="str">
        <f>MID(A378,1,1)</f>
        <v/>
      </c>
      <c r="L378" s="1" t="str">
        <f>MID(A378,2,1)</f>
        <v/>
      </c>
      <c r="M378" s="1" t="str">
        <f>MID(A378,4,1)</f>
        <v/>
      </c>
      <c r="N378" s="1" t="e">
        <f>VLOOKUP(K378,$W:$X,2,0)</f>
        <v>#N/A</v>
      </c>
      <c r="O378" s="1" t="e">
        <f>VLOOKUP(L378,$Z:$AA,2,0)</f>
        <v>#N/A</v>
      </c>
      <c r="P378" s="1" t="e">
        <f>VLOOKUP(M378,$AC:$AD,2,0)</f>
        <v>#N/A</v>
      </c>
      <c r="Q378" s="1">
        <f>IF(A378&lt;&gt;"",P378+O378+N378+H378+I378+J378,0)</f>
        <v>0</v>
      </c>
    </row>
    <row r="379" spans="1:17" x14ac:dyDescent="0.25">
      <c r="A379" s="41"/>
      <c r="C379" s="41"/>
      <c r="E379" s="1" t="str">
        <f>MID(A379,1,2)</f>
        <v/>
      </c>
      <c r="F379" s="1" t="str">
        <f>MID(C379,3,2)</f>
        <v/>
      </c>
      <c r="G379" s="1" t="str">
        <f>CONCATENATE(K379,M379)</f>
        <v/>
      </c>
      <c r="H379" s="1" t="e">
        <f>VLOOKUP(K379,$W$23:$AN$40,MATCH(L379,$W$23:$AN$23,0),FALSE)</f>
        <v>#N/A</v>
      </c>
      <c r="I379" s="1" t="e">
        <f>VLOOKUP(L379,$W$23:$AN$40,MATCH(M379,$W$23:$AN$23,0),FALSE)</f>
        <v>#N/A</v>
      </c>
      <c r="J379" s="1" t="e">
        <f>VLOOKUP(K379,$W$23:$AN$40,MATCH(M379,$W$23:$AN$23,0),FALSE)</f>
        <v>#N/A</v>
      </c>
      <c r="K379" s="1" t="str">
        <f>MID(A379,1,1)</f>
        <v/>
      </c>
      <c r="L379" s="1" t="str">
        <f>MID(A379,2,1)</f>
        <v/>
      </c>
      <c r="M379" s="1" t="str">
        <f>MID(A379,4,1)</f>
        <v/>
      </c>
      <c r="N379" s="1" t="e">
        <f>VLOOKUP(K379,$W:$X,2,0)</f>
        <v>#N/A</v>
      </c>
      <c r="O379" s="1" t="e">
        <f>VLOOKUP(L379,$Z:$AA,2,0)</f>
        <v>#N/A</v>
      </c>
      <c r="P379" s="1" t="e">
        <f>VLOOKUP(M379,$AC:$AD,2,0)</f>
        <v>#N/A</v>
      </c>
      <c r="Q379" s="1">
        <f>IF(A379&lt;&gt;"",P379+O379+N379+H379+I379+J379,0)</f>
        <v>0</v>
      </c>
    </row>
    <row r="380" spans="1:17" x14ac:dyDescent="0.25">
      <c r="A380" s="41"/>
      <c r="C380" s="41"/>
      <c r="E380" s="1" t="str">
        <f>MID(A380,1,2)</f>
        <v/>
      </c>
      <c r="F380" s="1" t="str">
        <f>MID(C380,3,2)</f>
        <v/>
      </c>
      <c r="G380" s="1" t="str">
        <f>CONCATENATE(K380,M380)</f>
        <v/>
      </c>
      <c r="H380" s="1" t="e">
        <f>VLOOKUP(K380,$W$23:$AN$40,MATCH(L380,$W$23:$AN$23,0),FALSE)</f>
        <v>#N/A</v>
      </c>
      <c r="I380" s="1" t="e">
        <f>VLOOKUP(L380,$W$23:$AN$40,MATCH(M380,$W$23:$AN$23,0),FALSE)</f>
        <v>#N/A</v>
      </c>
      <c r="J380" s="1" t="e">
        <f>VLOOKUP(K380,$W$23:$AN$40,MATCH(M380,$W$23:$AN$23,0),FALSE)</f>
        <v>#N/A</v>
      </c>
      <c r="K380" s="1" t="str">
        <f>MID(A380,1,1)</f>
        <v/>
      </c>
      <c r="L380" s="1" t="str">
        <f>MID(A380,2,1)</f>
        <v/>
      </c>
      <c r="M380" s="1" t="str">
        <f>MID(A380,4,1)</f>
        <v/>
      </c>
      <c r="N380" s="1" t="e">
        <f>VLOOKUP(K380,$W:$X,2,0)</f>
        <v>#N/A</v>
      </c>
      <c r="O380" s="1" t="e">
        <f>VLOOKUP(L380,$Z:$AA,2,0)</f>
        <v>#N/A</v>
      </c>
      <c r="P380" s="1" t="e">
        <f>VLOOKUP(M380,$AC:$AD,2,0)</f>
        <v>#N/A</v>
      </c>
      <c r="Q380" s="1">
        <f>IF(A380&lt;&gt;"",P380+O380+N380+H380+I380+J380,0)</f>
        <v>0</v>
      </c>
    </row>
    <row r="381" spans="1:17" x14ac:dyDescent="0.25">
      <c r="A381" s="41"/>
      <c r="C381" s="41"/>
      <c r="E381" s="1" t="str">
        <f>MID(A381,1,2)</f>
        <v/>
      </c>
      <c r="F381" s="1" t="str">
        <f>MID(C381,3,2)</f>
        <v/>
      </c>
      <c r="G381" s="1" t="str">
        <f>CONCATENATE(K381,M381)</f>
        <v/>
      </c>
      <c r="H381" s="1" t="e">
        <f>VLOOKUP(K381,$W$23:$AN$40,MATCH(L381,$W$23:$AN$23,0),FALSE)</f>
        <v>#N/A</v>
      </c>
      <c r="I381" s="1" t="e">
        <f>VLOOKUP(L381,$W$23:$AN$40,MATCH(M381,$W$23:$AN$23,0),FALSE)</f>
        <v>#N/A</v>
      </c>
      <c r="J381" s="1" t="e">
        <f>VLOOKUP(K381,$W$23:$AN$40,MATCH(M381,$W$23:$AN$23,0),FALSE)</f>
        <v>#N/A</v>
      </c>
      <c r="K381" s="1" t="str">
        <f>MID(A381,1,1)</f>
        <v/>
      </c>
      <c r="L381" s="1" t="str">
        <f>MID(A381,2,1)</f>
        <v/>
      </c>
      <c r="M381" s="1" t="str">
        <f>MID(A381,4,1)</f>
        <v/>
      </c>
      <c r="N381" s="1" t="e">
        <f>VLOOKUP(K381,$W:$X,2,0)</f>
        <v>#N/A</v>
      </c>
      <c r="O381" s="1" t="e">
        <f>VLOOKUP(L381,$Z:$AA,2,0)</f>
        <v>#N/A</v>
      </c>
      <c r="P381" s="1" t="e">
        <f>VLOOKUP(M381,$AC:$AD,2,0)</f>
        <v>#N/A</v>
      </c>
      <c r="Q381" s="1">
        <f>IF(A381&lt;&gt;"",P381+O381+N381+H381+I381+J381,0)</f>
        <v>0</v>
      </c>
    </row>
    <row r="382" spans="1:17" x14ac:dyDescent="0.25">
      <c r="A382" s="41"/>
      <c r="C382" s="41"/>
      <c r="E382" s="1" t="str">
        <f>MID(A382,1,2)</f>
        <v/>
      </c>
      <c r="F382" s="1" t="str">
        <f>MID(C382,3,2)</f>
        <v/>
      </c>
      <c r="G382" s="1" t="str">
        <f>CONCATENATE(K382,M382)</f>
        <v/>
      </c>
      <c r="H382" s="1" t="e">
        <f>VLOOKUP(K382,$W$23:$AN$40,MATCH(L382,$W$23:$AN$23,0),FALSE)</f>
        <v>#N/A</v>
      </c>
      <c r="I382" s="1" t="e">
        <f>VLOOKUP(L382,$W$23:$AN$40,MATCH(M382,$W$23:$AN$23,0),FALSE)</f>
        <v>#N/A</v>
      </c>
      <c r="J382" s="1" t="e">
        <f>VLOOKUP(K382,$W$23:$AN$40,MATCH(M382,$W$23:$AN$23,0),FALSE)</f>
        <v>#N/A</v>
      </c>
      <c r="K382" s="1" t="str">
        <f>MID(A382,1,1)</f>
        <v/>
      </c>
      <c r="L382" s="1" t="str">
        <f>MID(A382,2,1)</f>
        <v/>
      </c>
      <c r="M382" s="1" t="str">
        <f>MID(A382,4,1)</f>
        <v/>
      </c>
      <c r="N382" s="1" t="e">
        <f>VLOOKUP(K382,$W:$X,2,0)</f>
        <v>#N/A</v>
      </c>
      <c r="O382" s="1" t="e">
        <f>VLOOKUP(L382,$Z:$AA,2,0)</f>
        <v>#N/A</v>
      </c>
      <c r="P382" s="1" t="e">
        <f>VLOOKUP(M382,$AC:$AD,2,0)</f>
        <v>#N/A</v>
      </c>
      <c r="Q382" s="1">
        <f>IF(A382&lt;&gt;"",P382+O382+N382+H382+I382+J382,0)</f>
        <v>0</v>
      </c>
    </row>
    <row r="383" spans="1:17" x14ac:dyDescent="0.25">
      <c r="A383" s="41"/>
      <c r="C383" s="41"/>
      <c r="E383" s="1" t="str">
        <f>MID(A383,1,2)</f>
        <v/>
      </c>
      <c r="F383" s="1" t="str">
        <f>MID(C383,3,2)</f>
        <v/>
      </c>
      <c r="G383" s="1" t="str">
        <f>CONCATENATE(K383,M383)</f>
        <v/>
      </c>
      <c r="H383" s="1" t="e">
        <f>VLOOKUP(K383,$W$23:$AN$40,MATCH(L383,$W$23:$AN$23,0),FALSE)</f>
        <v>#N/A</v>
      </c>
      <c r="I383" s="1" t="e">
        <f>VLOOKUP(L383,$W$23:$AN$40,MATCH(M383,$W$23:$AN$23,0),FALSE)</f>
        <v>#N/A</v>
      </c>
      <c r="J383" s="1" t="e">
        <f>VLOOKUP(K383,$W$23:$AN$40,MATCH(M383,$W$23:$AN$23,0),FALSE)</f>
        <v>#N/A</v>
      </c>
      <c r="K383" s="1" t="str">
        <f>MID(A383,1,1)</f>
        <v/>
      </c>
      <c r="L383" s="1" t="str">
        <f>MID(A383,2,1)</f>
        <v/>
      </c>
      <c r="M383" s="1" t="str">
        <f>MID(A383,4,1)</f>
        <v/>
      </c>
      <c r="N383" s="1" t="e">
        <f>VLOOKUP(K383,$W:$X,2,0)</f>
        <v>#N/A</v>
      </c>
      <c r="O383" s="1" t="e">
        <f>VLOOKUP(L383,$Z:$AA,2,0)</f>
        <v>#N/A</v>
      </c>
      <c r="P383" s="1" t="e">
        <f>VLOOKUP(M383,$AC:$AD,2,0)</f>
        <v>#N/A</v>
      </c>
      <c r="Q383" s="1">
        <f>IF(A383&lt;&gt;"",P383+O383+N383+H383+I383+J383,0)</f>
        <v>0</v>
      </c>
    </row>
    <row r="384" spans="1:17" x14ac:dyDescent="0.25">
      <c r="A384" s="41"/>
      <c r="C384" s="41"/>
      <c r="E384" s="1" t="str">
        <f>MID(A384,1,2)</f>
        <v/>
      </c>
      <c r="F384" s="1" t="str">
        <f>MID(C384,3,2)</f>
        <v/>
      </c>
      <c r="G384" s="1" t="str">
        <f>CONCATENATE(K384,M384)</f>
        <v/>
      </c>
      <c r="H384" s="1" t="e">
        <f>VLOOKUP(K384,$W$23:$AN$40,MATCH(L384,$W$23:$AN$23,0),FALSE)</f>
        <v>#N/A</v>
      </c>
      <c r="I384" s="1" t="e">
        <f>VLOOKUP(L384,$W$23:$AN$40,MATCH(M384,$W$23:$AN$23,0),FALSE)</f>
        <v>#N/A</v>
      </c>
      <c r="J384" s="1" t="e">
        <f>VLOOKUP(K384,$W$23:$AN$40,MATCH(M384,$W$23:$AN$23,0),FALSE)</f>
        <v>#N/A</v>
      </c>
      <c r="K384" s="1" t="str">
        <f>MID(A384,1,1)</f>
        <v/>
      </c>
      <c r="L384" s="1" t="str">
        <f>MID(A384,2,1)</f>
        <v/>
      </c>
      <c r="M384" s="1" t="str">
        <f>MID(A384,4,1)</f>
        <v/>
      </c>
      <c r="N384" s="1" t="e">
        <f>VLOOKUP(K384,$W:$X,2,0)</f>
        <v>#N/A</v>
      </c>
      <c r="O384" s="1" t="e">
        <f>VLOOKUP(L384,$Z:$AA,2,0)</f>
        <v>#N/A</v>
      </c>
      <c r="P384" s="1" t="e">
        <f>VLOOKUP(M384,$AC:$AD,2,0)</f>
        <v>#N/A</v>
      </c>
      <c r="Q384" s="1">
        <f>IF(A384&lt;&gt;"",P384+O384+N384+H384+I384+J384,0)</f>
        <v>0</v>
      </c>
    </row>
    <row r="385" spans="1:17" x14ac:dyDescent="0.25">
      <c r="A385" s="41"/>
      <c r="C385" s="41"/>
      <c r="E385" s="1" t="str">
        <f>MID(A385,1,2)</f>
        <v/>
      </c>
      <c r="F385" s="1" t="str">
        <f>MID(C385,3,2)</f>
        <v/>
      </c>
      <c r="G385" s="1" t="str">
        <f>CONCATENATE(K385,M385)</f>
        <v/>
      </c>
      <c r="H385" s="1" t="e">
        <f>VLOOKUP(K385,$W$23:$AN$40,MATCH(L385,$W$23:$AN$23,0),FALSE)</f>
        <v>#N/A</v>
      </c>
      <c r="I385" s="1" t="e">
        <f>VLOOKUP(L385,$W$23:$AN$40,MATCH(M385,$W$23:$AN$23,0),FALSE)</f>
        <v>#N/A</v>
      </c>
      <c r="J385" s="1" t="e">
        <f>VLOOKUP(K385,$W$23:$AN$40,MATCH(M385,$W$23:$AN$23,0),FALSE)</f>
        <v>#N/A</v>
      </c>
      <c r="K385" s="1" t="str">
        <f>MID(A385,1,1)</f>
        <v/>
      </c>
      <c r="L385" s="1" t="str">
        <f>MID(A385,2,1)</f>
        <v/>
      </c>
      <c r="M385" s="1" t="str">
        <f>MID(A385,4,1)</f>
        <v/>
      </c>
      <c r="N385" s="1" t="e">
        <f>VLOOKUP(K385,$W:$X,2,0)</f>
        <v>#N/A</v>
      </c>
      <c r="O385" s="1" t="e">
        <f>VLOOKUP(L385,$Z:$AA,2,0)</f>
        <v>#N/A</v>
      </c>
      <c r="P385" s="1" t="e">
        <f>VLOOKUP(M385,$AC:$AD,2,0)</f>
        <v>#N/A</v>
      </c>
      <c r="Q385" s="1">
        <f>IF(A385&lt;&gt;"",P385+O385+N385+H385+I385+J385,0)</f>
        <v>0</v>
      </c>
    </row>
    <row r="386" spans="1:17" x14ac:dyDescent="0.25">
      <c r="A386" s="41"/>
      <c r="C386" s="41"/>
      <c r="E386" s="1" t="str">
        <f>MID(A386,1,2)</f>
        <v/>
      </c>
      <c r="F386" s="1" t="str">
        <f>MID(C386,3,2)</f>
        <v/>
      </c>
      <c r="G386" s="1" t="str">
        <f>CONCATENATE(K386,M386)</f>
        <v/>
      </c>
      <c r="H386" s="1" t="e">
        <f>VLOOKUP(K386,$W$23:$AN$40,MATCH(L386,$W$23:$AN$23,0),FALSE)</f>
        <v>#N/A</v>
      </c>
      <c r="I386" s="1" t="e">
        <f>VLOOKUP(L386,$W$23:$AN$40,MATCH(M386,$W$23:$AN$23,0),FALSE)</f>
        <v>#N/A</v>
      </c>
      <c r="J386" s="1" t="e">
        <f>VLOOKUP(K386,$W$23:$AN$40,MATCH(M386,$W$23:$AN$23,0),FALSE)</f>
        <v>#N/A</v>
      </c>
      <c r="K386" s="1" t="str">
        <f>MID(A386,1,1)</f>
        <v/>
      </c>
      <c r="L386" s="1" t="str">
        <f>MID(A386,2,1)</f>
        <v/>
      </c>
      <c r="M386" s="1" t="str">
        <f>MID(A386,4,1)</f>
        <v/>
      </c>
      <c r="N386" s="1" t="e">
        <f>VLOOKUP(K386,$W:$X,2,0)</f>
        <v>#N/A</v>
      </c>
      <c r="O386" s="1" t="e">
        <f>VLOOKUP(L386,$Z:$AA,2,0)</f>
        <v>#N/A</v>
      </c>
      <c r="P386" s="1" t="e">
        <f>VLOOKUP(M386,$AC:$AD,2,0)</f>
        <v>#N/A</v>
      </c>
      <c r="Q386" s="1">
        <f>IF(A386&lt;&gt;"",P386+O386+N386+H386+I386+J386,0)</f>
        <v>0</v>
      </c>
    </row>
    <row r="387" spans="1:17" x14ac:dyDescent="0.25">
      <c r="A387" s="41"/>
      <c r="C387" s="41"/>
      <c r="E387" s="1" t="str">
        <f>MID(A387,1,2)</f>
        <v/>
      </c>
      <c r="F387" s="1" t="str">
        <f>MID(C387,3,2)</f>
        <v/>
      </c>
      <c r="G387" s="1" t="str">
        <f>CONCATENATE(K387,M387)</f>
        <v/>
      </c>
      <c r="H387" s="1" t="e">
        <f>VLOOKUP(K387,$W$23:$AN$40,MATCH(L387,$W$23:$AN$23,0),FALSE)</f>
        <v>#N/A</v>
      </c>
      <c r="I387" s="1" t="e">
        <f>VLOOKUP(L387,$W$23:$AN$40,MATCH(M387,$W$23:$AN$23,0),FALSE)</f>
        <v>#N/A</v>
      </c>
      <c r="J387" s="1" t="e">
        <f>VLOOKUP(K387,$W$23:$AN$40,MATCH(M387,$W$23:$AN$23,0),FALSE)</f>
        <v>#N/A</v>
      </c>
      <c r="K387" s="1" t="str">
        <f>MID(A387,1,1)</f>
        <v/>
      </c>
      <c r="L387" s="1" t="str">
        <f>MID(A387,2,1)</f>
        <v/>
      </c>
      <c r="M387" s="1" t="str">
        <f>MID(A387,4,1)</f>
        <v/>
      </c>
      <c r="N387" s="1" t="e">
        <f>VLOOKUP(K387,$W:$X,2,0)</f>
        <v>#N/A</v>
      </c>
      <c r="O387" s="1" t="e">
        <f>VLOOKUP(L387,$Z:$AA,2,0)</f>
        <v>#N/A</v>
      </c>
      <c r="P387" s="1" t="e">
        <f>VLOOKUP(M387,$AC:$AD,2,0)</f>
        <v>#N/A</v>
      </c>
      <c r="Q387" s="1">
        <f>IF(A387&lt;&gt;"",P387+O387+N387+H387+I387+J387,0)</f>
        <v>0</v>
      </c>
    </row>
    <row r="388" spans="1:17" x14ac:dyDescent="0.25">
      <c r="A388" s="41"/>
      <c r="C388" s="41"/>
      <c r="E388" s="1" t="str">
        <f>MID(A388,1,2)</f>
        <v/>
      </c>
      <c r="F388" s="1" t="str">
        <f>MID(C388,3,2)</f>
        <v/>
      </c>
      <c r="G388" s="1" t="str">
        <f>CONCATENATE(K388,M388)</f>
        <v/>
      </c>
      <c r="H388" s="1" t="e">
        <f>VLOOKUP(K388,$W$23:$AN$40,MATCH(L388,$W$23:$AN$23,0),FALSE)</f>
        <v>#N/A</v>
      </c>
      <c r="I388" s="1" t="e">
        <f>VLOOKUP(L388,$W$23:$AN$40,MATCH(M388,$W$23:$AN$23,0),FALSE)</f>
        <v>#N/A</v>
      </c>
      <c r="J388" s="1" t="e">
        <f>VLOOKUP(K388,$W$23:$AN$40,MATCH(M388,$W$23:$AN$23,0),FALSE)</f>
        <v>#N/A</v>
      </c>
      <c r="K388" s="1" t="str">
        <f>MID(A388,1,1)</f>
        <v/>
      </c>
      <c r="L388" s="1" t="str">
        <f>MID(A388,2,1)</f>
        <v/>
      </c>
      <c r="M388" s="1" t="str">
        <f>MID(A388,4,1)</f>
        <v/>
      </c>
      <c r="N388" s="1" t="e">
        <f>VLOOKUP(K388,$W:$X,2,0)</f>
        <v>#N/A</v>
      </c>
      <c r="O388" s="1" t="e">
        <f>VLOOKUP(L388,$Z:$AA,2,0)</f>
        <v>#N/A</v>
      </c>
      <c r="P388" s="1" t="e">
        <f>VLOOKUP(M388,$AC:$AD,2,0)</f>
        <v>#N/A</v>
      </c>
      <c r="Q388" s="1">
        <f>IF(A388&lt;&gt;"",P388+O388+N388+H388+I388+J388,0)</f>
        <v>0</v>
      </c>
    </row>
    <row r="389" spans="1:17" x14ac:dyDescent="0.25">
      <c r="A389" s="41"/>
      <c r="C389" s="41"/>
      <c r="E389" s="1" t="str">
        <f>MID(A389,1,2)</f>
        <v/>
      </c>
      <c r="F389" s="1" t="str">
        <f>MID(C389,3,2)</f>
        <v/>
      </c>
      <c r="G389" s="1" t="str">
        <f>CONCATENATE(K389,M389)</f>
        <v/>
      </c>
      <c r="H389" s="1" t="e">
        <f>VLOOKUP(K389,$W$23:$AN$40,MATCH(L389,$W$23:$AN$23,0),FALSE)</f>
        <v>#N/A</v>
      </c>
      <c r="I389" s="1" t="e">
        <f>VLOOKUP(L389,$W$23:$AN$40,MATCH(M389,$W$23:$AN$23,0),FALSE)</f>
        <v>#N/A</v>
      </c>
      <c r="J389" s="1" t="e">
        <f>VLOOKUP(K389,$W$23:$AN$40,MATCH(M389,$W$23:$AN$23,0),FALSE)</f>
        <v>#N/A</v>
      </c>
      <c r="K389" s="1" t="str">
        <f>MID(A389,1,1)</f>
        <v/>
      </c>
      <c r="L389" s="1" t="str">
        <f>MID(A389,2,1)</f>
        <v/>
      </c>
      <c r="M389" s="1" t="str">
        <f>MID(A389,4,1)</f>
        <v/>
      </c>
      <c r="N389" s="1" t="e">
        <f>VLOOKUP(K389,$W:$X,2,0)</f>
        <v>#N/A</v>
      </c>
      <c r="O389" s="1" t="e">
        <f>VLOOKUP(L389,$Z:$AA,2,0)</f>
        <v>#N/A</v>
      </c>
      <c r="P389" s="1" t="e">
        <f>VLOOKUP(M389,$AC:$AD,2,0)</f>
        <v>#N/A</v>
      </c>
      <c r="Q389" s="1">
        <f>IF(A389&lt;&gt;"",P389+O389+N389+H389+I389+J389,0)</f>
        <v>0</v>
      </c>
    </row>
    <row r="390" spans="1:17" x14ac:dyDescent="0.25">
      <c r="A390" s="41"/>
      <c r="C390" s="41"/>
      <c r="E390" s="1" t="str">
        <f>MID(A390,1,2)</f>
        <v/>
      </c>
      <c r="F390" s="1" t="str">
        <f>MID(C390,3,2)</f>
        <v/>
      </c>
      <c r="G390" s="1" t="str">
        <f>CONCATENATE(K390,M390)</f>
        <v/>
      </c>
      <c r="H390" s="1" t="e">
        <f>VLOOKUP(K390,$W$23:$AN$40,MATCH(L390,$W$23:$AN$23,0),FALSE)</f>
        <v>#N/A</v>
      </c>
      <c r="I390" s="1" t="e">
        <f>VLOOKUP(L390,$W$23:$AN$40,MATCH(M390,$W$23:$AN$23,0),FALSE)</f>
        <v>#N/A</v>
      </c>
      <c r="J390" s="1" t="e">
        <f>VLOOKUP(K390,$W$23:$AN$40,MATCH(M390,$W$23:$AN$23,0),FALSE)</f>
        <v>#N/A</v>
      </c>
      <c r="K390" s="1" t="str">
        <f>MID(A390,1,1)</f>
        <v/>
      </c>
      <c r="L390" s="1" t="str">
        <f>MID(A390,2,1)</f>
        <v/>
      </c>
      <c r="M390" s="1" t="str">
        <f>MID(A390,4,1)</f>
        <v/>
      </c>
      <c r="N390" s="1" t="e">
        <f>VLOOKUP(K390,$W:$X,2,0)</f>
        <v>#N/A</v>
      </c>
      <c r="O390" s="1" t="e">
        <f>VLOOKUP(L390,$Z:$AA,2,0)</f>
        <v>#N/A</v>
      </c>
      <c r="P390" s="1" t="e">
        <f>VLOOKUP(M390,$AC:$AD,2,0)</f>
        <v>#N/A</v>
      </c>
      <c r="Q390" s="1">
        <f>IF(A390&lt;&gt;"",P390+O390+N390+H390+I390+J390,0)</f>
        <v>0</v>
      </c>
    </row>
    <row r="391" spans="1:17" x14ac:dyDescent="0.25">
      <c r="A391" s="41"/>
      <c r="C391" s="41"/>
      <c r="E391" s="1" t="str">
        <f>MID(A391,1,2)</f>
        <v/>
      </c>
      <c r="F391" s="1" t="str">
        <f>MID(C391,3,2)</f>
        <v/>
      </c>
      <c r="G391" s="1" t="str">
        <f>CONCATENATE(K391,M391)</f>
        <v/>
      </c>
      <c r="H391" s="1" t="e">
        <f>VLOOKUP(K391,$W$23:$AN$40,MATCH(L391,$W$23:$AN$23,0),FALSE)</f>
        <v>#N/A</v>
      </c>
      <c r="I391" s="1" t="e">
        <f>VLOOKUP(L391,$W$23:$AN$40,MATCH(M391,$W$23:$AN$23,0),FALSE)</f>
        <v>#N/A</v>
      </c>
      <c r="J391" s="1" t="e">
        <f>VLOOKUP(K391,$W$23:$AN$40,MATCH(M391,$W$23:$AN$23,0),FALSE)</f>
        <v>#N/A</v>
      </c>
      <c r="K391" s="1" t="str">
        <f>MID(A391,1,1)</f>
        <v/>
      </c>
      <c r="L391" s="1" t="str">
        <f>MID(A391,2,1)</f>
        <v/>
      </c>
      <c r="M391" s="1" t="str">
        <f>MID(A391,4,1)</f>
        <v/>
      </c>
      <c r="N391" s="1" t="e">
        <f>VLOOKUP(K391,$W:$X,2,0)</f>
        <v>#N/A</v>
      </c>
      <c r="O391" s="1" t="e">
        <f>VLOOKUP(L391,$Z:$AA,2,0)</f>
        <v>#N/A</v>
      </c>
      <c r="P391" s="1" t="e">
        <f>VLOOKUP(M391,$AC:$AD,2,0)</f>
        <v>#N/A</v>
      </c>
      <c r="Q391" s="1">
        <f>IF(A391&lt;&gt;"",P391+O391+N391+H391+I391+J391,0)</f>
        <v>0</v>
      </c>
    </row>
    <row r="392" spans="1:17" x14ac:dyDescent="0.25">
      <c r="A392" s="41"/>
      <c r="C392" s="41"/>
      <c r="E392" s="1" t="str">
        <f>MID(A392,1,2)</f>
        <v/>
      </c>
      <c r="F392" s="1" t="str">
        <f>MID(C392,3,2)</f>
        <v/>
      </c>
      <c r="G392" s="1" t="str">
        <f>CONCATENATE(K392,M392)</f>
        <v/>
      </c>
      <c r="H392" s="1" t="e">
        <f>VLOOKUP(K392,$W$23:$AN$40,MATCH(L392,$W$23:$AN$23,0),FALSE)</f>
        <v>#N/A</v>
      </c>
      <c r="I392" s="1" t="e">
        <f>VLOOKUP(L392,$W$23:$AN$40,MATCH(M392,$W$23:$AN$23,0),FALSE)</f>
        <v>#N/A</v>
      </c>
      <c r="J392" s="1" t="e">
        <f>VLOOKUP(K392,$W$23:$AN$40,MATCH(M392,$W$23:$AN$23,0),FALSE)</f>
        <v>#N/A</v>
      </c>
      <c r="K392" s="1" t="str">
        <f>MID(A392,1,1)</f>
        <v/>
      </c>
      <c r="L392" s="1" t="str">
        <f>MID(A392,2,1)</f>
        <v/>
      </c>
      <c r="M392" s="1" t="str">
        <f>MID(A392,4,1)</f>
        <v/>
      </c>
      <c r="N392" s="1" t="e">
        <f>VLOOKUP(K392,$W:$X,2,0)</f>
        <v>#N/A</v>
      </c>
      <c r="O392" s="1" t="e">
        <f>VLOOKUP(L392,$Z:$AA,2,0)</f>
        <v>#N/A</v>
      </c>
      <c r="P392" s="1" t="e">
        <f>VLOOKUP(M392,$AC:$AD,2,0)</f>
        <v>#N/A</v>
      </c>
      <c r="Q392" s="1">
        <f>IF(A392&lt;&gt;"",P392+O392+N392+H392+I392+J392,0)</f>
        <v>0</v>
      </c>
    </row>
    <row r="393" spans="1:17" x14ac:dyDescent="0.25">
      <c r="A393" s="41"/>
      <c r="C393" s="41"/>
      <c r="E393" s="1" t="str">
        <f>MID(A393,1,2)</f>
        <v/>
      </c>
      <c r="F393" s="1" t="str">
        <f>MID(C393,3,2)</f>
        <v/>
      </c>
      <c r="G393" s="1" t="str">
        <f>CONCATENATE(K393,M393)</f>
        <v/>
      </c>
      <c r="H393" s="1" t="e">
        <f>VLOOKUP(K393,$W$23:$AN$40,MATCH(L393,$W$23:$AN$23,0),FALSE)</f>
        <v>#N/A</v>
      </c>
      <c r="I393" s="1" t="e">
        <f>VLOOKUP(L393,$W$23:$AN$40,MATCH(M393,$W$23:$AN$23,0),FALSE)</f>
        <v>#N/A</v>
      </c>
      <c r="J393" s="1" t="e">
        <f>VLOOKUP(K393,$W$23:$AN$40,MATCH(M393,$W$23:$AN$23,0),FALSE)</f>
        <v>#N/A</v>
      </c>
      <c r="K393" s="1" t="str">
        <f>MID(A393,1,1)</f>
        <v/>
      </c>
      <c r="L393" s="1" t="str">
        <f>MID(A393,2,1)</f>
        <v/>
      </c>
      <c r="M393" s="1" t="str">
        <f>MID(A393,4,1)</f>
        <v/>
      </c>
      <c r="N393" s="1" t="e">
        <f>VLOOKUP(K393,$W:$X,2,0)</f>
        <v>#N/A</v>
      </c>
      <c r="O393" s="1" t="e">
        <f>VLOOKUP(L393,$Z:$AA,2,0)</f>
        <v>#N/A</v>
      </c>
      <c r="P393" s="1" t="e">
        <f>VLOOKUP(M393,$AC:$AD,2,0)</f>
        <v>#N/A</v>
      </c>
      <c r="Q393" s="1">
        <f>IF(A393&lt;&gt;"",P393+O393+N393+H393+I393+J393,0)</f>
        <v>0</v>
      </c>
    </row>
    <row r="394" spans="1:17" x14ac:dyDescent="0.25">
      <c r="A394" s="41"/>
      <c r="C394" s="41"/>
      <c r="E394" s="1" t="str">
        <f>MID(A394,1,2)</f>
        <v/>
      </c>
      <c r="F394" s="1" t="str">
        <f>MID(C394,3,2)</f>
        <v/>
      </c>
      <c r="G394" s="1" t="str">
        <f>CONCATENATE(K394,M394)</f>
        <v/>
      </c>
      <c r="H394" s="1" t="e">
        <f>VLOOKUP(K394,$W$23:$AN$40,MATCH(L394,$W$23:$AN$23,0),FALSE)</f>
        <v>#N/A</v>
      </c>
      <c r="I394" s="1" t="e">
        <f>VLOOKUP(L394,$W$23:$AN$40,MATCH(M394,$W$23:$AN$23,0),FALSE)</f>
        <v>#N/A</v>
      </c>
      <c r="J394" s="1" t="e">
        <f>VLOOKUP(K394,$W$23:$AN$40,MATCH(M394,$W$23:$AN$23,0),FALSE)</f>
        <v>#N/A</v>
      </c>
      <c r="K394" s="1" t="str">
        <f>MID(A394,1,1)</f>
        <v/>
      </c>
      <c r="L394" s="1" t="str">
        <f>MID(A394,2,1)</f>
        <v/>
      </c>
      <c r="M394" s="1" t="str">
        <f>MID(A394,4,1)</f>
        <v/>
      </c>
      <c r="N394" s="1" t="e">
        <f>VLOOKUP(K394,$W:$X,2,0)</f>
        <v>#N/A</v>
      </c>
      <c r="O394" s="1" t="e">
        <f>VLOOKUP(L394,$Z:$AA,2,0)</f>
        <v>#N/A</v>
      </c>
      <c r="P394" s="1" t="e">
        <f>VLOOKUP(M394,$AC:$AD,2,0)</f>
        <v>#N/A</v>
      </c>
      <c r="Q394" s="1">
        <f>IF(A394&lt;&gt;"",P394+O394+N394+H394+I394+J394,0)</f>
        <v>0</v>
      </c>
    </row>
    <row r="395" spans="1:17" x14ac:dyDescent="0.25">
      <c r="A395" s="41"/>
      <c r="C395" s="41"/>
      <c r="E395" s="1" t="str">
        <f>MID(A395,1,2)</f>
        <v/>
      </c>
      <c r="F395" s="1" t="str">
        <f>MID(C395,3,2)</f>
        <v/>
      </c>
      <c r="G395" s="1" t="str">
        <f>CONCATENATE(K395,M395)</f>
        <v/>
      </c>
      <c r="H395" s="1" t="e">
        <f>VLOOKUP(K395,$W$23:$AN$40,MATCH(L395,$W$23:$AN$23,0),FALSE)</f>
        <v>#N/A</v>
      </c>
      <c r="I395" s="1" t="e">
        <f>VLOOKUP(L395,$W$23:$AN$40,MATCH(M395,$W$23:$AN$23,0),FALSE)</f>
        <v>#N/A</v>
      </c>
      <c r="J395" s="1" t="e">
        <f>VLOOKUP(K395,$W$23:$AN$40,MATCH(M395,$W$23:$AN$23,0),FALSE)</f>
        <v>#N/A</v>
      </c>
      <c r="K395" s="1" t="str">
        <f>MID(A395,1,1)</f>
        <v/>
      </c>
      <c r="L395" s="1" t="str">
        <f>MID(A395,2,1)</f>
        <v/>
      </c>
      <c r="M395" s="1" t="str">
        <f>MID(A395,4,1)</f>
        <v/>
      </c>
      <c r="N395" s="1" t="e">
        <f>VLOOKUP(K395,$W:$X,2,0)</f>
        <v>#N/A</v>
      </c>
      <c r="O395" s="1" t="e">
        <f>VLOOKUP(L395,$Z:$AA,2,0)</f>
        <v>#N/A</v>
      </c>
      <c r="P395" s="1" t="e">
        <f>VLOOKUP(M395,$AC:$AD,2,0)</f>
        <v>#N/A</v>
      </c>
      <c r="Q395" s="1">
        <f>IF(A395&lt;&gt;"",P395+O395+N395+H395+I395+J395,0)</f>
        <v>0</v>
      </c>
    </row>
    <row r="396" spans="1:17" x14ac:dyDescent="0.25">
      <c r="A396" s="41"/>
      <c r="C396" s="41"/>
      <c r="E396" s="1" t="str">
        <f>MID(A396,1,2)</f>
        <v/>
      </c>
      <c r="F396" s="1" t="str">
        <f>MID(C396,3,2)</f>
        <v/>
      </c>
      <c r="G396" s="1" t="str">
        <f>CONCATENATE(K396,M396)</f>
        <v/>
      </c>
      <c r="H396" s="1" t="e">
        <f>VLOOKUP(K396,$W$23:$AN$40,MATCH(L396,$W$23:$AN$23,0),FALSE)</f>
        <v>#N/A</v>
      </c>
      <c r="I396" s="1" t="e">
        <f>VLOOKUP(L396,$W$23:$AN$40,MATCH(M396,$W$23:$AN$23,0),FALSE)</f>
        <v>#N/A</v>
      </c>
      <c r="J396" s="1" t="e">
        <f>VLOOKUP(K396,$W$23:$AN$40,MATCH(M396,$W$23:$AN$23,0),FALSE)</f>
        <v>#N/A</v>
      </c>
      <c r="K396" s="1" t="str">
        <f>MID(A396,1,1)</f>
        <v/>
      </c>
      <c r="L396" s="1" t="str">
        <f>MID(A396,2,1)</f>
        <v/>
      </c>
      <c r="M396" s="1" t="str">
        <f>MID(A396,4,1)</f>
        <v/>
      </c>
      <c r="N396" s="1" t="e">
        <f>VLOOKUP(K396,$W:$X,2,0)</f>
        <v>#N/A</v>
      </c>
      <c r="O396" s="1" t="e">
        <f>VLOOKUP(L396,$Z:$AA,2,0)</f>
        <v>#N/A</v>
      </c>
      <c r="P396" s="1" t="e">
        <f>VLOOKUP(M396,$AC:$AD,2,0)</f>
        <v>#N/A</v>
      </c>
      <c r="Q396" s="1">
        <f>IF(A396&lt;&gt;"",P396+O396+N396+H396+I396+J396,0)</f>
        <v>0</v>
      </c>
    </row>
    <row r="397" spans="1:17" x14ac:dyDescent="0.25">
      <c r="A397" s="41"/>
      <c r="C397" s="41"/>
      <c r="E397" s="1" t="str">
        <f>MID(A397,1,2)</f>
        <v/>
      </c>
      <c r="F397" s="1" t="str">
        <f>MID(C397,3,2)</f>
        <v/>
      </c>
      <c r="G397" s="1" t="str">
        <f>CONCATENATE(K397,M397)</f>
        <v/>
      </c>
      <c r="H397" s="1" t="e">
        <f>VLOOKUP(K397,$W$23:$AN$40,MATCH(L397,$W$23:$AN$23,0),FALSE)</f>
        <v>#N/A</v>
      </c>
      <c r="I397" s="1" t="e">
        <f>VLOOKUP(L397,$W$23:$AN$40,MATCH(M397,$W$23:$AN$23,0),FALSE)</f>
        <v>#N/A</v>
      </c>
      <c r="J397" s="1" t="e">
        <f>VLOOKUP(K397,$W$23:$AN$40,MATCH(M397,$W$23:$AN$23,0),FALSE)</f>
        <v>#N/A</v>
      </c>
      <c r="K397" s="1" t="str">
        <f>MID(A397,1,1)</f>
        <v/>
      </c>
      <c r="L397" s="1" t="str">
        <f>MID(A397,2,1)</f>
        <v/>
      </c>
      <c r="M397" s="1" t="str">
        <f>MID(A397,4,1)</f>
        <v/>
      </c>
      <c r="N397" s="1" t="e">
        <f>VLOOKUP(K397,$W:$X,2,0)</f>
        <v>#N/A</v>
      </c>
      <c r="O397" s="1" t="e">
        <f>VLOOKUP(L397,$Z:$AA,2,0)</f>
        <v>#N/A</v>
      </c>
      <c r="P397" s="1" t="e">
        <f>VLOOKUP(M397,$AC:$AD,2,0)</f>
        <v>#N/A</v>
      </c>
      <c r="Q397" s="1">
        <f>IF(A397&lt;&gt;"",P397+O397+N397+H397+I397+J397,0)</f>
        <v>0</v>
      </c>
    </row>
    <row r="398" spans="1:17" x14ac:dyDescent="0.25">
      <c r="A398" s="41"/>
      <c r="C398" s="41"/>
      <c r="E398" s="1" t="str">
        <f>MID(A398,1,2)</f>
        <v/>
      </c>
      <c r="F398" s="1" t="str">
        <f>MID(C398,3,2)</f>
        <v/>
      </c>
      <c r="G398" s="1" t="str">
        <f>CONCATENATE(K398,M398)</f>
        <v/>
      </c>
      <c r="H398" s="1" t="e">
        <f>VLOOKUP(K398,$W$23:$AN$40,MATCH(L398,$W$23:$AN$23,0),FALSE)</f>
        <v>#N/A</v>
      </c>
      <c r="I398" s="1" t="e">
        <f>VLOOKUP(L398,$W$23:$AN$40,MATCH(M398,$W$23:$AN$23,0),FALSE)</f>
        <v>#N/A</v>
      </c>
      <c r="J398" s="1" t="e">
        <f>VLOOKUP(K398,$W$23:$AN$40,MATCH(M398,$W$23:$AN$23,0),FALSE)</f>
        <v>#N/A</v>
      </c>
      <c r="K398" s="1" t="str">
        <f>MID(A398,1,1)</f>
        <v/>
      </c>
      <c r="L398" s="1" t="str">
        <f>MID(A398,2,1)</f>
        <v/>
      </c>
      <c r="M398" s="1" t="str">
        <f>MID(A398,4,1)</f>
        <v/>
      </c>
      <c r="N398" s="1" t="e">
        <f>VLOOKUP(K398,$W:$X,2,0)</f>
        <v>#N/A</v>
      </c>
      <c r="O398" s="1" t="e">
        <f>VLOOKUP(L398,$Z:$AA,2,0)</f>
        <v>#N/A</v>
      </c>
      <c r="P398" s="1" t="e">
        <f>VLOOKUP(M398,$AC:$AD,2,0)</f>
        <v>#N/A</v>
      </c>
      <c r="Q398" s="1">
        <f>IF(A398&lt;&gt;"",P398+O398+N398+H398+I398+J398,0)</f>
        <v>0</v>
      </c>
    </row>
    <row r="399" spans="1:17" x14ac:dyDescent="0.25">
      <c r="A399" s="41"/>
      <c r="C399" s="41"/>
      <c r="E399" s="1" t="str">
        <f>MID(A399,1,2)</f>
        <v/>
      </c>
      <c r="F399" s="1" t="str">
        <f>MID(C399,3,2)</f>
        <v/>
      </c>
      <c r="G399" s="1" t="str">
        <f>CONCATENATE(K399,M399)</f>
        <v/>
      </c>
      <c r="H399" s="1" t="e">
        <f>VLOOKUP(K399,$W$23:$AN$40,MATCH(L399,$W$23:$AN$23,0),FALSE)</f>
        <v>#N/A</v>
      </c>
      <c r="I399" s="1" t="e">
        <f>VLOOKUP(L399,$W$23:$AN$40,MATCH(M399,$W$23:$AN$23,0),FALSE)</f>
        <v>#N/A</v>
      </c>
      <c r="J399" s="1" t="e">
        <f>VLOOKUP(K399,$W$23:$AN$40,MATCH(M399,$W$23:$AN$23,0),FALSE)</f>
        <v>#N/A</v>
      </c>
      <c r="K399" s="1" t="str">
        <f>MID(A399,1,1)</f>
        <v/>
      </c>
      <c r="L399" s="1" t="str">
        <f>MID(A399,2,1)</f>
        <v/>
      </c>
      <c r="M399" s="1" t="str">
        <f>MID(A399,4,1)</f>
        <v/>
      </c>
      <c r="N399" s="1" t="e">
        <f>VLOOKUP(K399,$W:$X,2,0)</f>
        <v>#N/A</v>
      </c>
      <c r="O399" s="1" t="e">
        <f>VLOOKUP(L399,$Z:$AA,2,0)</f>
        <v>#N/A</v>
      </c>
      <c r="P399" s="1" t="e">
        <f>VLOOKUP(M399,$AC:$AD,2,0)</f>
        <v>#N/A</v>
      </c>
      <c r="Q399" s="1">
        <f>IF(A399&lt;&gt;"",P399+O399+N399+H399+I399+J399,0)</f>
        <v>0</v>
      </c>
    </row>
    <row r="400" spans="1:17" x14ac:dyDescent="0.25">
      <c r="A400" s="41"/>
      <c r="C400" s="41"/>
      <c r="E400" s="1" t="str">
        <f>MID(A400,1,2)</f>
        <v/>
      </c>
      <c r="F400" s="1" t="str">
        <f>MID(C400,3,2)</f>
        <v/>
      </c>
      <c r="G400" s="1" t="str">
        <f>CONCATENATE(K400,M400)</f>
        <v/>
      </c>
      <c r="H400" s="1" t="e">
        <f>VLOOKUP(K400,$W$23:$AN$40,MATCH(L400,$W$23:$AN$23,0),FALSE)</f>
        <v>#N/A</v>
      </c>
      <c r="I400" s="1" t="e">
        <f>VLOOKUP(L400,$W$23:$AN$40,MATCH(M400,$W$23:$AN$23,0),FALSE)</f>
        <v>#N/A</v>
      </c>
      <c r="J400" s="1" t="e">
        <f>VLOOKUP(K400,$W$23:$AN$40,MATCH(M400,$W$23:$AN$23,0),FALSE)</f>
        <v>#N/A</v>
      </c>
      <c r="K400" s="1" t="str">
        <f>MID(A400,1,1)</f>
        <v/>
      </c>
      <c r="L400" s="1" t="str">
        <f>MID(A400,2,1)</f>
        <v/>
      </c>
      <c r="M400" s="1" t="str">
        <f>MID(A400,4,1)</f>
        <v/>
      </c>
      <c r="N400" s="1" t="e">
        <f>VLOOKUP(K400,$W:$X,2,0)</f>
        <v>#N/A</v>
      </c>
      <c r="O400" s="1" t="e">
        <f>VLOOKUP(L400,$Z:$AA,2,0)</f>
        <v>#N/A</v>
      </c>
      <c r="P400" s="1" t="e">
        <f>VLOOKUP(M400,$AC:$AD,2,0)</f>
        <v>#N/A</v>
      </c>
      <c r="Q400" s="1">
        <f>IF(A400&lt;&gt;"",P400+O400+N400+H400+I400+J400,0)</f>
        <v>0</v>
      </c>
    </row>
    <row r="401" spans="1:17" x14ac:dyDescent="0.25">
      <c r="A401" s="41"/>
      <c r="C401" s="41"/>
      <c r="E401" s="1" t="str">
        <f>MID(A401,1,2)</f>
        <v/>
      </c>
      <c r="F401" s="1" t="str">
        <f>MID(C401,3,2)</f>
        <v/>
      </c>
      <c r="G401" s="1" t="str">
        <f>CONCATENATE(K401,M401)</f>
        <v/>
      </c>
      <c r="H401" s="1" t="e">
        <f>VLOOKUP(K401,$W$23:$AN$40,MATCH(L401,$W$23:$AN$23,0),FALSE)</f>
        <v>#N/A</v>
      </c>
      <c r="I401" s="1" t="e">
        <f>VLOOKUP(L401,$W$23:$AN$40,MATCH(M401,$W$23:$AN$23,0),FALSE)</f>
        <v>#N/A</v>
      </c>
      <c r="J401" s="1" t="e">
        <f>VLOOKUP(K401,$W$23:$AN$40,MATCH(M401,$W$23:$AN$23,0),FALSE)</f>
        <v>#N/A</v>
      </c>
      <c r="K401" s="1" t="str">
        <f>MID(A401,1,1)</f>
        <v/>
      </c>
      <c r="L401" s="1" t="str">
        <f>MID(A401,2,1)</f>
        <v/>
      </c>
      <c r="M401" s="1" t="str">
        <f>MID(A401,4,1)</f>
        <v/>
      </c>
      <c r="N401" s="1" t="e">
        <f>VLOOKUP(K401,$W:$X,2,0)</f>
        <v>#N/A</v>
      </c>
      <c r="O401" s="1" t="e">
        <f>VLOOKUP(L401,$Z:$AA,2,0)</f>
        <v>#N/A</v>
      </c>
      <c r="P401" s="1" t="e">
        <f>VLOOKUP(M401,$AC:$AD,2,0)</f>
        <v>#N/A</v>
      </c>
      <c r="Q401" s="1">
        <f>IF(A401&lt;&gt;"",P401+O401+N401+H401+I401+J401,0)</f>
        <v>0</v>
      </c>
    </row>
    <row r="402" spans="1:17" x14ac:dyDescent="0.25">
      <c r="A402" s="41"/>
      <c r="C402" s="41"/>
      <c r="E402" s="1" t="str">
        <f>MID(A402,1,2)</f>
        <v/>
      </c>
      <c r="F402" s="1" t="str">
        <f>MID(C402,3,2)</f>
        <v/>
      </c>
      <c r="G402" s="1" t="str">
        <f>CONCATENATE(K402,M402)</f>
        <v/>
      </c>
      <c r="H402" s="1" t="e">
        <f>VLOOKUP(K402,$W$23:$AN$40,MATCH(L402,$W$23:$AN$23,0),FALSE)</f>
        <v>#N/A</v>
      </c>
      <c r="I402" s="1" t="e">
        <f>VLOOKUP(L402,$W$23:$AN$40,MATCH(M402,$W$23:$AN$23,0),FALSE)</f>
        <v>#N/A</v>
      </c>
      <c r="J402" s="1" t="e">
        <f>VLOOKUP(K402,$W$23:$AN$40,MATCH(M402,$W$23:$AN$23,0),FALSE)</f>
        <v>#N/A</v>
      </c>
      <c r="K402" s="1" t="str">
        <f>MID(A402,1,1)</f>
        <v/>
      </c>
      <c r="L402" s="1" t="str">
        <f>MID(A402,2,1)</f>
        <v/>
      </c>
      <c r="M402" s="1" t="str">
        <f>MID(A402,4,1)</f>
        <v/>
      </c>
      <c r="N402" s="1" t="e">
        <f>VLOOKUP(K402,$W:$X,2,0)</f>
        <v>#N/A</v>
      </c>
      <c r="O402" s="1" t="e">
        <f>VLOOKUP(L402,$Z:$AA,2,0)</f>
        <v>#N/A</v>
      </c>
      <c r="P402" s="1" t="e">
        <f>VLOOKUP(M402,$AC:$AD,2,0)</f>
        <v>#N/A</v>
      </c>
      <c r="Q402" s="1">
        <f>IF(A402&lt;&gt;"",P402+O402+N402+H402+I402+J402,0)</f>
        <v>0</v>
      </c>
    </row>
    <row r="403" spans="1:17" x14ac:dyDescent="0.25">
      <c r="A403" s="41"/>
      <c r="C403" s="41"/>
      <c r="E403" s="1" t="str">
        <f>MID(A403,1,2)</f>
        <v/>
      </c>
      <c r="F403" s="1" t="str">
        <f>MID(C403,3,2)</f>
        <v/>
      </c>
      <c r="G403" s="1" t="str">
        <f>CONCATENATE(K403,M403)</f>
        <v/>
      </c>
      <c r="H403" s="1" t="e">
        <f>VLOOKUP(K403,$W$23:$AN$40,MATCH(L403,$W$23:$AN$23,0),FALSE)</f>
        <v>#N/A</v>
      </c>
      <c r="I403" s="1" t="e">
        <f>VLOOKUP(L403,$W$23:$AN$40,MATCH(M403,$W$23:$AN$23,0),FALSE)</f>
        <v>#N/A</v>
      </c>
      <c r="J403" s="1" t="e">
        <f>VLOOKUP(K403,$W$23:$AN$40,MATCH(M403,$W$23:$AN$23,0),FALSE)</f>
        <v>#N/A</v>
      </c>
      <c r="K403" s="1" t="str">
        <f>MID(A403,1,1)</f>
        <v/>
      </c>
      <c r="L403" s="1" t="str">
        <f>MID(A403,2,1)</f>
        <v/>
      </c>
      <c r="M403" s="1" t="str">
        <f>MID(A403,4,1)</f>
        <v/>
      </c>
      <c r="N403" s="1" t="e">
        <f>VLOOKUP(K403,$W:$X,2,0)</f>
        <v>#N/A</v>
      </c>
      <c r="O403" s="1" t="e">
        <f>VLOOKUP(L403,$Z:$AA,2,0)</f>
        <v>#N/A</v>
      </c>
      <c r="P403" s="1" t="e">
        <f>VLOOKUP(M403,$AC:$AD,2,0)</f>
        <v>#N/A</v>
      </c>
      <c r="Q403" s="1">
        <f>IF(A403&lt;&gt;"",P403+O403+N403+H403+I403+J403,0)</f>
        <v>0</v>
      </c>
    </row>
    <row r="404" spans="1:17" x14ac:dyDescent="0.25">
      <c r="A404" s="41"/>
      <c r="C404" s="41"/>
      <c r="E404" s="1" t="str">
        <f>MID(A404,1,2)</f>
        <v/>
      </c>
      <c r="F404" s="1" t="str">
        <f>MID(C404,3,2)</f>
        <v/>
      </c>
      <c r="G404" s="1" t="str">
        <f>CONCATENATE(K404,M404)</f>
        <v/>
      </c>
      <c r="H404" s="1" t="e">
        <f>VLOOKUP(K404,$W$23:$AN$40,MATCH(L404,$W$23:$AN$23,0),FALSE)</f>
        <v>#N/A</v>
      </c>
      <c r="I404" s="1" t="e">
        <f>VLOOKUP(L404,$W$23:$AN$40,MATCH(M404,$W$23:$AN$23,0),FALSE)</f>
        <v>#N/A</v>
      </c>
      <c r="J404" s="1" t="e">
        <f>VLOOKUP(K404,$W$23:$AN$40,MATCH(M404,$W$23:$AN$23,0),FALSE)</f>
        <v>#N/A</v>
      </c>
      <c r="K404" s="1" t="str">
        <f>MID(A404,1,1)</f>
        <v/>
      </c>
      <c r="L404" s="1" t="str">
        <f>MID(A404,2,1)</f>
        <v/>
      </c>
      <c r="M404" s="1" t="str">
        <f>MID(A404,4,1)</f>
        <v/>
      </c>
      <c r="N404" s="1" t="e">
        <f>VLOOKUP(K404,$W:$X,2,0)</f>
        <v>#N/A</v>
      </c>
      <c r="O404" s="1" t="e">
        <f>VLOOKUP(L404,$Z:$AA,2,0)</f>
        <v>#N/A</v>
      </c>
      <c r="P404" s="1" t="e">
        <f>VLOOKUP(M404,$AC:$AD,2,0)</f>
        <v>#N/A</v>
      </c>
      <c r="Q404" s="1">
        <f>IF(A404&lt;&gt;"",P404+O404+N404+H404+I404+J404,0)</f>
        <v>0</v>
      </c>
    </row>
    <row r="405" spans="1:17" x14ac:dyDescent="0.25">
      <c r="A405" s="41"/>
      <c r="C405" s="41"/>
      <c r="E405" s="1" t="str">
        <f>MID(A405,1,2)</f>
        <v/>
      </c>
      <c r="F405" s="1" t="str">
        <f>MID(C405,3,2)</f>
        <v/>
      </c>
      <c r="G405" s="1" t="str">
        <f>CONCATENATE(K405,M405)</f>
        <v/>
      </c>
      <c r="H405" s="1" t="e">
        <f>VLOOKUP(K405,$W$23:$AN$40,MATCH(L405,$W$23:$AN$23,0),FALSE)</f>
        <v>#N/A</v>
      </c>
      <c r="I405" s="1" t="e">
        <f>VLOOKUP(L405,$W$23:$AN$40,MATCH(M405,$W$23:$AN$23,0),FALSE)</f>
        <v>#N/A</v>
      </c>
      <c r="J405" s="1" t="e">
        <f>VLOOKUP(K405,$W$23:$AN$40,MATCH(M405,$W$23:$AN$23,0),FALSE)</f>
        <v>#N/A</v>
      </c>
      <c r="K405" s="1" t="str">
        <f>MID(A405,1,1)</f>
        <v/>
      </c>
      <c r="L405" s="1" t="str">
        <f>MID(A405,2,1)</f>
        <v/>
      </c>
      <c r="M405" s="1" t="str">
        <f>MID(A405,4,1)</f>
        <v/>
      </c>
      <c r="N405" s="1" t="e">
        <f>VLOOKUP(K405,$W:$X,2,0)</f>
        <v>#N/A</v>
      </c>
      <c r="O405" s="1" t="e">
        <f>VLOOKUP(L405,$Z:$AA,2,0)</f>
        <v>#N/A</v>
      </c>
      <c r="P405" s="1" t="e">
        <f>VLOOKUP(M405,$AC:$AD,2,0)</f>
        <v>#N/A</v>
      </c>
      <c r="Q405" s="1">
        <f>IF(A405&lt;&gt;"",P405+O405+N405+H405+I405+J405,0)</f>
        <v>0</v>
      </c>
    </row>
    <row r="406" spans="1:17" x14ac:dyDescent="0.25">
      <c r="A406" s="41"/>
      <c r="C406" s="41"/>
      <c r="E406" s="1" t="str">
        <f>MID(A406,1,2)</f>
        <v/>
      </c>
      <c r="F406" s="1" t="str">
        <f>MID(C406,3,2)</f>
        <v/>
      </c>
      <c r="G406" s="1" t="str">
        <f>CONCATENATE(K406,M406)</f>
        <v/>
      </c>
      <c r="H406" s="1" t="e">
        <f>VLOOKUP(K406,$W$23:$AN$40,MATCH(L406,$W$23:$AN$23,0),FALSE)</f>
        <v>#N/A</v>
      </c>
      <c r="I406" s="1" t="e">
        <f>VLOOKUP(L406,$W$23:$AN$40,MATCH(M406,$W$23:$AN$23,0),FALSE)</f>
        <v>#N/A</v>
      </c>
      <c r="J406" s="1" t="e">
        <f>VLOOKUP(K406,$W$23:$AN$40,MATCH(M406,$W$23:$AN$23,0),FALSE)</f>
        <v>#N/A</v>
      </c>
      <c r="K406" s="1" t="str">
        <f>MID(A406,1,1)</f>
        <v/>
      </c>
      <c r="L406" s="1" t="str">
        <f>MID(A406,2,1)</f>
        <v/>
      </c>
      <c r="M406" s="1" t="str">
        <f>MID(A406,4,1)</f>
        <v/>
      </c>
      <c r="N406" s="1" t="e">
        <f>VLOOKUP(K406,$W:$X,2,0)</f>
        <v>#N/A</v>
      </c>
      <c r="O406" s="1" t="e">
        <f>VLOOKUP(L406,$Z:$AA,2,0)</f>
        <v>#N/A</v>
      </c>
      <c r="P406" s="1" t="e">
        <f>VLOOKUP(M406,$AC:$AD,2,0)</f>
        <v>#N/A</v>
      </c>
      <c r="Q406" s="1">
        <f>IF(A406&lt;&gt;"",P406+O406+N406+H406+I406+J406,0)</f>
        <v>0</v>
      </c>
    </row>
    <row r="407" spans="1:17" x14ac:dyDescent="0.25">
      <c r="A407" s="41"/>
      <c r="C407" s="41"/>
      <c r="E407" s="1" t="str">
        <f>MID(A407,1,2)</f>
        <v/>
      </c>
      <c r="F407" s="1" t="str">
        <f>MID(C407,3,2)</f>
        <v/>
      </c>
      <c r="G407" s="1" t="str">
        <f>CONCATENATE(K407,M407)</f>
        <v/>
      </c>
      <c r="H407" s="1" t="e">
        <f>VLOOKUP(K407,$W$23:$AN$40,MATCH(L407,$W$23:$AN$23,0),FALSE)</f>
        <v>#N/A</v>
      </c>
      <c r="I407" s="1" t="e">
        <f>VLOOKUP(L407,$W$23:$AN$40,MATCH(M407,$W$23:$AN$23,0),FALSE)</f>
        <v>#N/A</v>
      </c>
      <c r="J407" s="1" t="e">
        <f>VLOOKUP(K407,$W$23:$AN$40,MATCH(M407,$W$23:$AN$23,0),FALSE)</f>
        <v>#N/A</v>
      </c>
      <c r="K407" s="1" t="str">
        <f>MID(A407,1,1)</f>
        <v/>
      </c>
      <c r="L407" s="1" t="str">
        <f>MID(A407,2,1)</f>
        <v/>
      </c>
      <c r="M407" s="1" t="str">
        <f>MID(A407,4,1)</f>
        <v/>
      </c>
      <c r="N407" s="1" t="e">
        <f>VLOOKUP(K407,$W:$X,2,0)</f>
        <v>#N/A</v>
      </c>
      <c r="O407" s="1" t="e">
        <f>VLOOKUP(L407,$Z:$AA,2,0)</f>
        <v>#N/A</v>
      </c>
      <c r="P407" s="1" t="e">
        <f>VLOOKUP(M407,$AC:$AD,2,0)</f>
        <v>#N/A</v>
      </c>
      <c r="Q407" s="1">
        <f>IF(A407&lt;&gt;"",P407+O407+N407+H407+I407+J407,0)</f>
        <v>0</v>
      </c>
    </row>
    <row r="408" spans="1:17" x14ac:dyDescent="0.25">
      <c r="A408" s="41"/>
      <c r="C408" s="41"/>
      <c r="E408" s="1" t="str">
        <f>MID(A408,1,2)</f>
        <v/>
      </c>
      <c r="F408" s="1" t="str">
        <f>MID(C408,3,2)</f>
        <v/>
      </c>
      <c r="G408" s="1" t="str">
        <f>CONCATENATE(K408,M408)</f>
        <v/>
      </c>
      <c r="H408" s="1" t="e">
        <f>VLOOKUP(K408,$W$23:$AN$40,MATCH(L408,$W$23:$AN$23,0),FALSE)</f>
        <v>#N/A</v>
      </c>
      <c r="I408" s="1" t="e">
        <f>VLOOKUP(L408,$W$23:$AN$40,MATCH(M408,$W$23:$AN$23,0),FALSE)</f>
        <v>#N/A</v>
      </c>
      <c r="J408" s="1" t="e">
        <f>VLOOKUP(K408,$W$23:$AN$40,MATCH(M408,$W$23:$AN$23,0),FALSE)</f>
        <v>#N/A</v>
      </c>
      <c r="K408" s="1" t="str">
        <f>MID(A408,1,1)</f>
        <v/>
      </c>
      <c r="L408" s="1" t="str">
        <f>MID(A408,2,1)</f>
        <v/>
      </c>
      <c r="M408" s="1" t="str">
        <f>MID(A408,4,1)</f>
        <v/>
      </c>
      <c r="N408" s="1" t="e">
        <f>VLOOKUP(K408,$W:$X,2,0)</f>
        <v>#N/A</v>
      </c>
      <c r="O408" s="1" t="e">
        <f>VLOOKUP(L408,$Z:$AA,2,0)</f>
        <v>#N/A</v>
      </c>
      <c r="P408" s="1" t="e">
        <f>VLOOKUP(M408,$AC:$AD,2,0)</f>
        <v>#N/A</v>
      </c>
      <c r="Q408" s="1">
        <f>IF(A408&lt;&gt;"",P408+O408+N408+H408+I408+J408,0)</f>
        <v>0</v>
      </c>
    </row>
    <row r="409" spans="1:17" x14ac:dyDescent="0.25">
      <c r="A409" s="41"/>
      <c r="C409" s="41"/>
      <c r="E409" s="1" t="str">
        <f>MID(A409,1,2)</f>
        <v/>
      </c>
      <c r="F409" s="1" t="str">
        <f>MID(C409,3,2)</f>
        <v/>
      </c>
      <c r="G409" s="1" t="str">
        <f>CONCATENATE(K409,M409)</f>
        <v/>
      </c>
      <c r="H409" s="1" t="e">
        <f>VLOOKUP(K409,$W$23:$AN$40,MATCH(L409,$W$23:$AN$23,0),FALSE)</f>
        <v>#N/A</v>
      </c>
      <c r="I409" s="1" t="e">
        <f>VLOOKUP(L409,$W$23:$AN$40,MATCH(M409,$W$23:$AN$23,0),FALSE)</f>
        <v>#N/A</v>
      </c>
      <c r="J409" s="1" t="e">
        <f>VLOOKUP(K409,$W$23:$AN$40,MATCH(M409,$W$23:$AN$23,0),FALSE)</f>
        <v>#N/A</v>
      </c>
      <c r="K409" s="1" t="str">
        <f>MID(A409,1,1)</f>
        <v/>
      </c>
      <c r="L409" s="1" t="str">
        <f>MID(A409,2,1)</f>
        <v/>
      </c>
      <c r="M409" s="1" t="str">
        <f>MID(A409,4,1)</f>
        <v/>
      </c>
      <c r="N409" s="1" t="e">
        <f>VLOOKUP(K409,$W:$X,2,0)</f>
        <v>#N/A</v>
      </c>
      <c r="O409" s="1" t="e">
        <f>VLOOKUP(L409,$Z:$AA,2,0)</f>
        <v>#N/A</v>
      </c>
      <c r="P409" s="1" t="e">
        <f>VLOOKUP(M409,$AC:$AD,2,0)</f>
        <v>#N/A</v>
      </c>
      <c r="Q409" s="1">
        <f>IF(A409&lt;&gt;"",P409+O409+N409+H409+I409+J409,0)</f>
        <v>0</v>
      </c>
    </row>
    <row r="410" spans="1:17" x14ac:dyDescent="0.25">
      <c r="A410" s="41"/>
      <c r="C410" s="41"/>
      <c r="E410" s="1" t="str">
        <f>MID(A410,1,2)</f>
        <v/>
      </c>
      <c r="F410" s="1" t="str">
        <f>MID(C410,3,2)</f>
        <v/>
      </c>
      <c r="G410" s="1" t="str">
        <f>CONCATENATE(K410,M410)</f>
        <v/>
      </c>
      <c r="H410" s="1" t="e">
        <f>VLOOKUP(K410,$W$23:$AN$40,MATCH(L410,$W$23:$AN$23,0),FALSE)</f>
        <v>#N/A</v>
      </c>
      <c r="I410" s="1" t="e">
        <f>VLOOKUP(L410,$W$23:$AN$40,MATCH(M410,$W$23:$AN$23,0),FALSE)</f>
        <v>#N/A</v>
      </c>
      <c r="J410" s="1" t="e">
        <f>VLOOKUP(K410,$W$23:$AN$40,MATCH(M410,$W$23:$AN$23,0),FALSE)</f>
        <v>#N/A</v>
      </c>
      <c r="K410" s="1" t="str">
        <f>MID(A410,1,1)</f>
        <v/>
      </c>
      <c r="L410" s="1" t="str">
        <f>MID(A410,2,1)</f>
        <v/>
      </c>
      <c r="M410" s="1" t="str">
        <f>MID(A410,4,1)</f>
        <v/>
      </c>
      <c r="N410" s="1" t="e">
        <f>VLOOKUP(K410,$W:$X,2,0)</f>
        <v>#N/A</v>
      </c>
      <c r="O410" s="1" t="e">
        <f>VLOOKUP(L410,$Z:$AA,2,0)</f>
        <v>#N/A</v>
      </c>
      <c r="P410" s="1" t="e">
        <f>VLOOKUP(M410,$AC:$AD,2,0)</f>
        <v>#N/A</v>
      </c>
      <c r="Q410" s="1">
        <f>IF(A410&lt;&gt;"",P410+O410+N410+H410+I410+J410,0)</f>
        <v>0</v>
      </c>
    </row>
    <row r="411" spans="1:17" x14ac:dyDescent="0.25">
      <c r="A411" s="41"/>
      <c r="C411" s="41"/>
      <c r="E411" s="1" t="str">
        <f>MID(A411,1,2)</f>
        <v/>
      </c>
      <c r="F411" s="1" t="str">
        <f>MID(C411,3,2)</f>
        <v/>
      </c>
      <c r="G411" s="1" t="str">
        <f>CONCATENATE(K411,M411)</f>
        <v/>
      </c>
      <c r="H411" s="1" t="e">
        <f>VLOOKUP(K411,$W$23:$AN$40,MATCH(L411,$W$23:$AN$23,0),FALSE)</f>
        <v>#N/A</v>
      </c>
      <c r="I411" s="1" t="e">
        <f>VLOOKUP(L411,$W$23:$AN$40,MATCH(M411,$W$23:$AN$23,0),FALSE)</f>
        <v>#N/A</v>
      </c>
      <c r="J411" s="1" t="e">
        <f>VLOOKUP(K411,$W$23:$AN$40,MATCH(M411,$W$23:$AN$23,0),FALSE)</f>
        <v>#N/A</v>
      </c>
      <c r="K411" s="1" t="str">
        <f>MID(A411,1,1)</f>
        <v/>
      </c>
      <c r="L411" s="1" t="str">
        <f>MID(A411,2,1)</f>
        <v/>
      </c>
      <c r="M411" s="1" t="str">
        <f>MID(A411,4,1)</f>
        <v/>
      </c>
      <c r="N411" s="1" t="e">
        <f>VLOOKUP(K411,$W:$X,2,0)</f>
        <v>#N/A</v>
      </c>
      <c r="O411" s="1" t="e">
        <f>VLOOKUP(L411,$Z:$AA,2,0)</f>
        <v>#N/A</v>
      </c>
      <c r="P411" s="1" t="e">
        <f>VLOOKUP(M411,$AC:$AD,2,0)</f>
        <v>#N/A</v>
      </c>
      <c r="Q411" s="1">
        <f>IF(A411&lt;&gt;"",P411+O411+N411+H411+I411+J411,0)</f>
        <v>0</v>
      </c>
    </row>
    <row r="412" spans="1:17" x14ac:dyDescent="0.25">
      <c r="A412" s="41"/>
      <c r="C412" s="41"/>
      <c r="E412" s="1" t="str">
        <f>MID(A412,1,2)</f>
        <v/>
      </c>
      <c r="F412" s="1" t="str">
        <f>MID(C412,3,2)</f>
        <v/>
      </c>
      <c r="G412" s="1" t="str">
        <f>CONCATENATE(K412,M412)</f>
        <v/>
      </c>
      <c r="H412" s="1" t="e">
        <f>VLOOKUP(K412,$W$23:$AN$40,MATCH(L412,$W$23:$AN$23,0),FALSE)</f>
        <v>#N/A</v>
      </c>
      <c r="I412" s="1" t="e">
        <f>VLOOKUP(L412,$W$23:$AN$40,MATCH(M412,$W$23:$AN$23,0),FALSE)</f>
        <v>#N/A</v>
      </c>
      <c r="J412" s="1" t="e">
        <f>VLOOKUP(K412,$W$23:$AN$40,MATCH(M412,$W$23:$AN$23,0),FALSE)</f>
        <v>#N/A</v>
      </c>
      <c r="K412" s="1" t="str">
        <f>MID(A412,1,1)</f>
        <v/>
      </c>
      <c r="L412" s="1" t="str">
        <f>MID(A412,2,1)</f>
        <v/>
      </c>
      <c r="M412" s="1" t="str">
        <f>MID(A412,4,1)</f>
        <v/>
      </c>
      <c r="N412" s="1" t="e">
        <f>VLOOKUP(K412,$W:$X,2,0)</f>
        <v>#N/A</v>
      </c>
      <c r="O412" s="1" t="e">
        <f>VLOOKUP(L412,$Z:$AA,2,0)</f>
        <v>#N/A</v>
      </c>
      <c r="P412" s="1" t="e">
        <f>VLOOKUP(M412,$AC:$AD,2,0)</f>
        <v>#N/A</v>
      </c>
      <c r="Q412" s="1">
        <f>IF(A412&lt;&gt;"",P412+O412+N412+H412+I412+J412,0)</f>
        <v>0</v>
      </c>
    </row>
    <row r="413" spans="1:17" x14ac:dyDescent="0.25">
      <c r="A413" s="41"/>
      <c r="C413" s="41"/>
      <c r="E413" s="1" t="str">
        <f>MID(A413,1,2)</f>
        <v/>
      </c>
      <c r="F413" s="1" t="str">
        <f>MID(C413,3,2)</f>
        <v/>
      </c>
      <c r="G413" s="1" t="str">
        <f>CONCATENATE(K413,M413)</f>
        <v/>
      </c>
      <c r="H413" s="1" t="e">
        <f>VLOOKUP(K413,$W$23:$AN$40,MATCH(L413,$W$23:$AN$23,0),FALSE)</f>
        <v>#N/A</v>
      </c>
      <c r="I413" s="1" t="e">
        <f>VLOOKUP(L413,$W$23:$AN$40,MATCH(M413,$W$23:$AN$23,0),FALSE)</f>
        <v>#N/A</v>
      </c>
      <c r="J413" s="1" t="e">
        <f>VLOOKUP(K413,$W$23:$AN$40,MATCH(M413,$W$23:$AN$23,0),FALSE)</f>
        <v>#N/A</v>
      </c>
      <c r="K413" s="1" t="str">
        <f>MID(A413,1,1)</f>
        <v/>
      </c>
      <c r="L413" s="1" t="str">
        <f>MID(A413,2,1)</f>
        <v/>
      </c>
      <c r="M413" s="1" t="str">
        <f>MID(A413,4,1)</f>
        <v/>
      </c>
      <c r="N413" s="1" t="e">
        <f>VLOOKUP(K413,$W:$X,2,0)</f>
        <v>#N/A</v>
      </c>
      <c r="O413" s="1" t="e">
        <f>VLOOKUP(L413,$Z:$AA,2,0)</f>
        <v>#N/A</v>
      </c>
      <c r="P413" s="1" t="e">
        <f>VLOOKUP(M413,$AC:$AD,2,0)</f>
        <v>#N/A</v>
      </c>
      <c r="Q413" s="1">
        <f>IF(A413&lt;&gt;"",P413+O413+N413+H413+I413+J413,0)</f>
        <v>0</v>
      </c>
    </row>
    <row r="414" spans="1:17" x14ac:dyDescent="0.25">
      <c r="A414" s="41"/>
      <c r="C414" s="41"/>
      <c r="E414" s="1" t="str">
        <f>MID(A414,1,2)</f>
        <v/>
      </c>
      <c r="F414" s="1" t="str">
        <f>MID(C414,3,2)</f>
        <v/>
      </c>
      <c r="G414" s="1" t="str">
        <f>CONCATENATE(K414,M414)</f>
        <v/>
      </c>
      <c r="H414" s="1" t="e">
        <f>VLOOKUP(K414,$W$23:$AN$40,MATCH(L414,$W$23:$AN$23,0),FALSE)</f>
        <v>#N/A</v>
      </c>
      <c r="I414" s="1" t="e">
        <f>VLOOKUP(L414,$W$23:$AN$40,MATCH(M414,$W$23:$AN$23,0),FALSE)</f>
        <v>#N/A</v>
      </c>
      <c r="J414" s="1" t="e">
        <f>VLOOKUP(K414,$W$23:$AN$40,MATCH(M414,$W$23:$AN$23,0),FALSE)</f>
        <v>#N/A</v>
      </c>
      <c r="K414" s="1" t="str">
        <f>MID(A414,1,1)</f>
        <v/>
      </c>
      <c r="L414" s="1" t="str">
        <f>MID(A414,2,1)</f>
        <v/>
      </c>
      <c r="M414" s="1" t="str">
        <f>MID(A414,4,1)</f>
        <v/>
      </c>
      <c r="N414" s="1" t="e">
        <f>VLOOKUP(K414,$W:$X,2,0)</f>
        <v>#N/A</v>
      </c>
      <c r="O414" s="1" t="e">
        <f>VLOOKUP(L414,$Z:$AA,2,0)</f>
        <v>#N/A</v>
      </c>
      <c r="P414" s="1" t="e">
        <f>VLOOKUP(M414,$AC:$AD,2,0)</f>
        <v>#N/A</v>
      </c>
      <c r="Q414" s="1">
        <f>IF(A414&lt;&gt;"",P414+O414+N414+H414+I414+J414,0)</f>
        <v>0</v>
      </c>
    </row>
    <row r="415" spans="1:17" x14ac:dyDescent="0.25">
      <c r="A415" s="41"/>
      <c r="C415" s="41"/>
      <c r="E415" s="1" t="str">
        <f>MID(A415,1,2)</f>
        <v/>
      </c>
      <c r="F415" s="1" t="str">
        <f>MID(C415,3,2)</f>
        <v/>
      </c>
      <c r="G415" s="1" t="str">
        <f>CONCATENATE(K415,M415)</f>
        <v/>
      </c>
      <c r="H415" s="1" t="e">
        <f>VLOOKUP(K415,$W$23:$AN$40,MATCH(L415,$W$23:$AN$23,0),FALSE)</f>
        <v>#N/A</v>
      </c>
      <c r="I415" s="1" t="e">
        <f>VLOOKUP(L415,$W$23:$AN$40,MATCH(M415,$W$23:$AN$23,0),FALSE)</f>
        <v>#N/A</v>
      </c>
      <c r="J415" s="1" t="e">
        <f>VLOOKUP(K415,$W$23:$AN$40,MATCH(M415,$W$23:$AN$23,0),FALSE)</f>
        <v>#N/A</v>
      </c>
      <c r="K415" s="1" t="str">
        <f>MID(A415,1,1)</f>
        <v/>
      </c>
      <c r="L415" s="1" t="str">
        <f>MID(A415,2,1)</f>
        <v/>
      </c>
      <c r="M415" s="1" t="str">
        <f>MID(A415,4,1)</f>
        <v/>
      </c>
      <c r="N415" s="1" t="e">
        <f>VLOOKUP(K415,$W:$X,2,0)</f>
        <v>#N/A</v>
      </c>
      <c r="O415" s="1" t="e">
        <f>VLOOKUP(L415,$Z:$AA,2,0)</f>
        <v>#N/A</v>
      </c>
      <c r="P415" s="1" t="e">
        <f>VLOOKUP(M415,$AC:$AD,2,0)</f>
        <v>#N/A</v>
      </c>
      <c r="Q415" s="1">
        <f>IF(A415&lt;&gt;"",P415+O415+N415+H415+I415+J415,0)</f>
        <v>0</v>
      </c>
    </row>
    <row r="416" spans="1:17" x14ac:dyDescent="0.25">
      <c r="A416" s="41"/>
      <c r="C416" s="41"/>
      <c r="E416" s="1" t="str">
        <f>MID(A416,1,2)</f>
        <v/>
      </c>
      <c r="F416" s="1" t="str">
        <f>MID(C416,3,2)</f>
        <v/>
      </c>
      <c r="G416" s="1" t="str">
        <f>CONCATENATE(K416,M416)</f>
        <v/>
      </c>
      <c r="H416" s="1" t="e">
        <f>VLOOKUP(K416,$W$23:$AN$40,MATCH(L416,$W$23:$AN$23,0),FALSE)</f>
        <v>#N/A</v>
      </c>
      <c r="I416" s="1" t="e">
        <f>VLOOKUP(L416,$W$23:$AN$40,MATCH(M416,$W$23:$AN$23,0),FALSE)</f>
        <v>#N/A</v>
      </c>
      <c r="J416" s="1" t="e">
        <f>VLOOKUP(K416,$W$23:$AN$40,MATCH(M416,$W$23:$AN$23,0),FALSE)</f>
        <v>#N/A</v>
      </c>
      <c r="K416" s="1" t="str">
        <f>MID(A416,1,1)</f>
        <v/>
      </c>
      <c r="L416" s="1" t="str">
        <f>MID(A416,2,1)</f>
        <v/>
      </c>
      <c r="M416" s="1" t="str">
        <f>MID(A416,4,1)</f>
        <v/>
      </c>
      <c r="N416" s="1" t="e">
        <f>VLOOKUP(K416,$W:$X,2,0)</f>
        <v>#N/A</v>
      </c>
      <c r="O416" s="1" t="e">
        <f>VLOOKUP(L416,$Z:$AA,2,0)</f>
        <v>#N/A</v>
      </c>
      <c r="P416" s="1" t="e">
        <f>VLOOKUP(M416,$AC:$AD,2,0)</f>
        <v>#N/A</v>
      </c>
      <c r="Q416" s="1">
        <f>IF(A416&lt;&gt;"",P416+O416+N416+H416+I416+J416,0)</f>
        <v>0</v>
      </c>
    </row>
    <row r="417" spans="1:17" x14ac:dyDescent="0.25">
      <c r="A417" s="41"/>
      <c r="C417" s="41"/>
      <c r="E417" s="1" t="str">
        <f>MID(A417,1,2)</f>
        <v/>
      </c>
      <c r="F417" s="1" t="str">
        <f>MID(C417,3,2)</f>
        <v/>
      </c>
      <c r="G417" s="1" t="str">
        <f>CONCATENATE(K417,M417)</f>
        <v/>
      </c>
      <c r="H417" s="1" t="e">
        <f>VLOOKUP(K417,$W$23:$AN$40,MATCH(L417,$W$23:$AN$23,0),FALSE)</f>
        <v>#N/A</v>
      </c>
      <c r="I417" s="1" t="e">
        <f>VLOOKUP(L417,$W$23:$AN$40,MATCH(M417,$W$23:$AN$23,0),FALSE)</f>
        <v>#N/A</v>
      </c>
      <c r="J417" s="1" t="e">
        <f>VLOOKUP(K417,$W$23:$AN$40,MATCH(M417,$W$23:$AN$23,0),FALSE)</f>
        <v>#N/A</v>
      </c>
      <c r="K417" s="1" t="str">
        <f>MID(A417,1,1)</f>
        <v/>
      </c>
      <c r="L417" s="1" t="str">
        <f>MID(A417,2,1)</f>
        <v/>
      </c>
      <c r="M417" s="1" t="str">
        <f>MID(A417,4,1)</f>
        <v/>
      </c>
      <c r="N417" s="1" t="e">
        <f>VLOOKUP(K417,$W:$X,2,0)</f>
        <v>#N/A</v>
      </c>
      <c r="O417" s="1" t="e">
        <f>VLOOKUP(L417,$Z:$AA,2,0)</f>
        <v>#N/A</v>
      </c>
      <c r="P417" s="1" t="e">
        <f>VLOOKUP(M417,$AC:$AD,2,0)</f>
        <v>#N/A</v>
      </c>
      <c r="Q417" s="1">
        <f>IF(A417&lt;&gt;"",P417+O417+N417+H417+I417+J417,0)</f>
        <v>0</v>
      </c>
    </row>
    <row r="418" spans="1:17" x14ac:dyDescent="0.25">
      <c r="A418" s="41"/>
      <c r="C418" s="41"/>
      <c r="E418" s="1" t="str">
        <f>MID(A418,1,2)</f>
        <v/>
      </c>
      <c r="F418" s="1" t="str">
        <f>MID(C418,3,2)</f>
        <v/>
      </c>
      <c r="G418" s="1" t="str">
        <f>CONCATENATE(K418,M418)</f>
        <v/>
      </c>
      <c r="H418" s="1" t="e">
        <f>VLOOKUP(K418,$W$23:$AN$40,MATCH(L418,$W$23:$AN$23,0),FALSE)</f>
        <v>#N/A</v>
      </c>
      <c r="I418" s="1" t="e">
        <f>VLOOKUP(L418,$W$23:$AN$40,MATCH(M418,$W$23:$AN$23,0),FALSE)</f>
        <v>#N/A</v>
      </c>
      <c r="J418" s="1" t="e">
        <f>VLOOKUP(K418,$W$23:$AN$40,MATCH(M418,$W$23:$AN$23,0),FALSE)</f>
        <v>#N/A</v>
      </c>
      <c r="K418" s="1" t="str">
        <f>MID(A418,1,1)</f>
        <v/>
      </c>
      <c r="L418" s="1" t="str">
        <f>MID(A418,2,1)</f>
        <v/>
      </c>
      <c r="M418" s="1" t="str">
        <f>MID(A418,4,1)</f>
        <v/>
      </c>
      <c r="N418" s="1" t="e">
        <f>VLOOKUP(K418,$W:$X,2,0)</f>
        <v>#N/A</v>
      </c>
      <c r="O418" s="1" t="e">
        <f>VLOOKUP(L418,$Z:$AA,2,0)</f>
        <v>#N/A</v>
      </c>
      <c r="P418" s="1" t="e">
        <f>VLOOKUP(M418,$AC:$AD,2,0)</f>
        <v>#N/A</v>
      </c>
      <c r="Q418" s="1">
        <f>IF(A418&lt;&gt;"",P418+O418+N418+H418+I418+J418,0)</f>
        <v>0</v>
      </c>
    </row>
    <row r="419" spans="1:17" x14ac:dyDescent="0.25">
      <c r="A419" s="41"/>
      <c r="C419" s="41"/>
      <c r="E419" s="1" t="str">
        <f>MID(A419,1,2)</f>
        <v/>
      </c>
      <c r="F419" s="1" t="str">
        <f>MID(C419,3,2)</f>
        <v/>
      </c>
      <c r="G419" s="1" t="str">
        <f>CONCATENATE(K419,M419)</f>
        <v/>
      </c>
      <c r="H419" s="1" t="e">
        <f>VLOOKUP(K419,$W$23:$AN$40,MATCH(L419,$W$23:$AN$23,0),FALSE)</f>
        <v>#N/A</v>
      </c>
      <c r="I419" s="1" t="e">
        <f>VLOOKUP(L419,$W$23:$AN$40,MATCH(M419,$W$23:$AN$23,0),FALSE)</f>
        <v>#N/A</v>
      </c>
      <c r="J419" s="1" t="e">
        <f>VLOOKUP(K419,$W$23:$AN$40,MATCH(M419,$W$23:$AN$23,0),FALSE)</f>
        <v>#N/A</v>
      </c>
      <c r="K419" s="1" t="str">
        <f>MID(A419,1,1)</f>
        <v/>
      </c>
      <c r="L419" s="1" t="str">
        <f>MID(A419,2,1)</f>
        <v/>
      </c>
      <c r="M419" s="1" t="str">
        <f>MID(A419,4,1)</f>
        <v/>
      </c>
      <c r="N419" s="1" t="e">
        <f>VLOOKUP(K419,$W:$X,2,0)</f>
        <v>#N/A</v>
      </c>
      <c r="O419" s="1" t="e">
        <f>VLOOKUP(L419,$Z:$AA,2,0)</f>
        <v>#N/A</v>
      </c>
      <c r="P419" s="1" t="e">
        <f>VLOOKUP(M419,$AC:$AD,2,0)</f>
        <v>#N/A</v>
      </c>
      <c r="Q419" s="1">
        <f>IF(A419&lt;&gt;"",P419+O419+N419+H419+I419+J419,0)</f>
        <v>0</v>
      </c>
    </row>
    <row r="420" spans="1:17" x14ac:dyDescent="0.25">
      <c r="A420" s="41"/>
      <c r="C420" s="41"/>
      <c r="E420" s="1" t="str">
        <f>MID(A420,1,2)</f>
        <v/>
      </c>
      <c r="F420" s="1" t="str">
        <f>MID(C420,3,2)</f>
        <v/>
      </c>
      <c r="G420" s="1" t="str">
        <f>CONCATENATE(K420,M420)</f>
        <v/>
      </c>
      <c r="H420" s="1" t="e">
        <f>VLOOKUP(K420,$W$23:$AN$40,MATCH(L420,$W$23:$AN$23,0),FALSE)</f>
        <v>#N/A</v>
      </c>
      <c r="I420" s="1" t="e">
        <f>VLOOKUP(L420,$W$23:$AN$40,MATCH(M420,$W$23:$AN$23,0),FALSE)</f>
        <v>#N/A</v>
      </c>
      <c r="J420" s="1" t="e">
        <f>VLOOKUP(K420,$W$23:$AN$40,MATCH(M420,$W$23:$AN$23,0),FALSE)</f>
        <v>#N/A</v>
      </c>
      <c r="K420" s="1" t="str">
        <f>MID(A420,1,1)</f>
        <v/>
      </c>
      <c r="L420" s="1" t="str">
        <f>MID(A420,2,1)</f>
        <v/>
      </c>
      <c r="M420" s="1" t="str">
        <f>MID(A420,4,1)</f>
        <v/>
      </c>
      <c r="N420" s="1" t="e">
        <f>VLOOKUP(K420,$W:$X,2,0)</f>
        <v>#N/A</v>
      </c>
      <c r="O420" s="1" t="e">
        <f>VLOOKUP(L420,$Z:$AA,2,0)</f>
        <v>#N/A</v>
      </c>
      <c r="P420" s="1" t="e">
        <f>VLOOKUP(M420,$AC:$AD,2,0)</f>
        <v>#N/A</v>
      </c>
      <c r="Q420" s="1">
        <f>IF(A420&lt;&gt;"",P420+O420+N420+H420+I420+J420,0)</f>
        <v>0</v>
      </c>
    </row>
    <row r="421" spans="1:17" x14ac:dyDescent="0.25">
      <c r="A421" s="41"/>
      <c r="C421" s="41"/>
      <c r="E421" s="1" t="str">
        <f>MID(A421,1,2)</f>
        <v/>
      </c>
      <c r="F421" s="1" t="str">
        <f>MID(C421,3,2)</f>
        <v/>
      </c>
      <c r="G421" s="1" t="str">
        <f>CONCATENATE(K421,M421)</f>
        <v/>
      </c>
      <c r="H421" s="1" t="e">
        <f>VLOOKUP(K421,$W$23:$AN$40,MATCH(L421,$W$23:$AN$23,0),FALSE)</f>
        <v>#N/A</v>
      </c>
      <c r="I421" s="1" t="e">
        <f>VLOOKUP(L421,$W$23:$AN$40,MATCH(M421,$W$23:$AN$23,0),FALSE)</f>
        <v>#N/A</v>
      </c>
      <c r="J421" s="1" t="e">
        <f>VLOOKUP(K421,$W$23:$AN$40,MATCH(M421,$W$23:$AN$23,0),FALSE)</f>
        <v>#N/A</v>
      </c>
      <c r="K421" s="1" t="str">
        <f>MID(A421,1,1)</f>
        <v/>
      </c>
      <c r="L421" s="1" t="str">
        <f>MID(A421,2,1)</f>
        <v/>
      </c>
      <c r="M421" s="1" t="str">
        <f>MID(A421,4,1)</f>
        <v/>
      </c>
      <c r="N421" s="1" t="e">
        <f>VLOOKUP(K421,$W:$X,2,0)</f>
        <v>#N/A</v>
      </c>
      <c r="O421" s="1" t="e">
        <f>VLOOKUP(L421,$Z:$AA,2,0)</f>
        <v>#N/A</v>
      </c>
      <c r="P421" s="1" t="e">
        <f>VLOOKUP(M421,$AC:$AD,2,0)</f>
        <v>#N/A</v>
      </c>
      <c r="Q421" s="1">
        <f>IF(A421&lt;&gt;"",P421+O421+N421+H421+I421+J421,0)</f>
        <v>0</v>
      </c>
    </row>
    <row r="422" spans="1:17" x14ac:dyDescent="0.25">
      <c r="A422" s="41"/>
      <c r="C422" s="41"/>
      <c r="E422" s="1" t="str">
        <f>MID(A422,1,2)</f>
        <v/>
      </c>
      <c r="F422" s="1" t="str">
        <f>MID(C422,3,2)</f>
        <v/>
      </c>
      <c r="G422" s="1" t="str">
        <f>CONCATENATE(K422,M422)</f>
        <v/>
      </c>
      <c r="H422" s="1" t="e">
        <f>VLOOKUP(K422,$W$23:$AN$40,MATCH(L422,$W$23:$AN$23,0),FALSE)</f>
        <v>#N/A</v>
      </c>
      <c r="I422" s="1" t="e">
        <f>VLOOKUP(L422,$W$23:$AN$40,MATCH(M422,$W$23:$AN$23,0),FALSE)</f>
        <v>#N/A</v>
      </c>
      <c r="J422" s="1" t="e">
        <f>VLOOKUP(K422,$W$23:$AN$40,MATCH(M422,$W$23:$AN$23,0),FALSE)</f>
        <v>#N/A</v>
      </c>
      <c r="K422" s="1" t="str">
        <f>MID(A422,1,1)</f>
        <v/>
      </c>
      <c r="L422" s="1" t="str">
        <f>MID(A422,2,1)</f>
        <v/>
      </c>
      <c r="M422" s="1" t="str">
        <f>MID(A422,4,1)</f>
        <v/>
      </c>
      <c r="N422" s="1" t="e">
        <f>VLOOKUP(K422,$W:$X,2,0)</f>
        <v>#N/A</v>
      </c>
      <c r="O422" s="1" t="e">
        <f>VLOOKUP(L422,$Z:$AA,2,0)</f>
        <v>#N/A</v>
      </c>
      <c r="P422" s="1" t="e">
        <f>VLOOKUP(M422,$AC:$AD,2,0)</f>
        <v>#N/A</v>
      </c>
      <c r="Q422" s="1">
        <f>IF(A422&lt;&gt;"",P422+O422+N422+H422+I422+J422,0)</f>
        <v>0</v>
      </c>
    </row>
    <row r="423" spans="1:17" x14ac:dyDescent="0.25">
      <c r="A423" s="41"/>
      <c r="C423" s="41"/>
      <c r="E423" s="1" t="str">
        <f>MID(A423,1,2)</f>
        <v/>
      </c>
      <c r="F423" s="1" t="str">
        <f>MID(C423,3,2)</f>
        <v/>
      </c>
      <c r="G423" s="1" t="str">
        <f>CONCATENATE(K423,M423)</f>
        <v/>
      </c>
      <c r="H423" s="1" t="e">
        <f>VLOOKUP(K423,$W$23:$AN$40,MATCH(L423,$W$23:$AN$23,0),FALSE)</f>
        <v>#N/A</v>
      </c>
      <c r="I423" s="1" t="e">
        <f>VLOOKUP(L423,$W$23:$AN$40,MATCH(M423,$W$23:$AN$23,0),FALSE)</f>
        <v>#N/A</v>
      </c>
      <c r="J423" s="1" t="e">
        <f>VLOOKUP(K423,$W$23:$AN$40,MATCH(M423,$W$23:$AN$23,0),FALSE)</f>
        <v>#N/A</v>
      </c>
      <c r="K423" s="1" t="str">
        <f>MID(A423,1,1)</f>
        <v/>
      </c>
      <c r="L423" s="1" t="str">
        <f>MID(A423,2,1)</f>
        <v/>
      </c>
      <c r="M423" s="1" t="str">
        <f>MID(A423,4,1)</f>
        <v/>
      </c>
      <c r="N423" s="1" t="e">
        <f>VLOOKUP(K423,$W:$X,2,0)</f>
        <v>#N/A</v>
      </c>
      <c r="O423" s="1" t="e">
        <f>VLOOKUP(L423,$Z:$AA,2,0)</f>
        <v>#N/A</v>
      </c>
      <c r="P423" s="1" t="e">
        <f>VLOOKUP(M423,$AC:$AD,2,0)</f>
        <v>#N/A</v>
      </c>
      <c r="Q423" s="1">
        <f>IF(A423&lt;&gt;"",P423+O423+N423+H423+I423+J423,0)</f>
        <v>0</v>
      </c>
    </row>
    <row r="424" spans="1:17" x14ac:dyDescent="0.25">
      <c r="A424" s="41"/>
      <c r="C424" s="41"/>
      <c r="E424" s="1" t="str">
        <f>MID(A424,1,2)</f>
        <v/>
      </c>
      <c r="F424" s="1" t="str">
        <f>MID(C424,3,2)</f>
        <v/>
      </c>
      <c r="G424" s="1" t="str">
        <f>CONCATENATE(K424,M424)</f>
        <v/>
      </c>
      <c r="H424" s="1" t="e">
        <f>VLOOKUP(K424,$W$23:$AN$40,MATCH(L424,$W$23:$AN$23,0),FALSE)</f>
        <v>#N/A</v>
      </c>
      <c r="I424" s="1" t="e">
        <f>VLOOKUP(L424,$W$23:$AN$40,MATCH(M424,$W$23:$AN$23,0),FALSE)</f>
        <v>#N/A</v>
      </c>
      <c r="J424" s="1" t="e">
        <f>VLOOKUP(K424,$W$23:$AN$40,MATCH(M424,$W$23:$AN$23,0),FALSE)</f>
        <v>#N/A</v>
      </c>
      <c r="K424" s="1" t="str">
        <f>MID(A424,1,1)</f>
        <v/>
      </c>
      <c r="L424" s="1" t="str">
        <f>MID(A424,2,1)</f>
        <v/>
      </c>
      <c r="M424" s="1" t="str">
        <f>MID(A424,4,1)</f>
        <v/>
      </c>
      <c r="N424" s="1" t="e">
        <f>VLOOKUP(K424,$W:$X,2,0)</f>
        <v>#N/A</v>
      </c>
      <c r="O424" s="1" t="e">
        <f>VLOOKUP(L424,$Z:$AA,2,0)</f>
        <v>#N/A</v>
      </c>
      <c r="P424" s="1" t="e">
        <f>VLOOKUP(M424,$AC:$AD,2,0)</f>
        <v>#N/A</v>
      </c>
      <c r="Q424" s="1">
        <f>IF(A424&lt;&gt;"",P424+O424+N424+H424+I424+J424,0)</f>
        <v>0</v>
      </c>
    </row>
    <row r="425" spans="1:17" x14ac:dyDescent="0.25">
      <c r="A425" s="41"/>
      <c r="C425" s="41"/>
      <c r="E425" s="1" t="str">
        <f>MID(A425,1,2)</f>
        <v/>
      </c>
      <c r="F425" s="1" t="str">
        <f>MID(C425,3,2)</f>
        <v/>
      </c>
      <c r="G425" s="1" t="str">
        <f>CONCATENATE(K425,M425)</f>
        <v/>
      </c>
      <c r="H425" s="1" t="e">
        <f>VLOOKUP(K425,$W$23:$AN$40,MATCH(L425,$W$23:$AN$23,0),FALSE)</f>
        <v>#N/A</v>
      </c>
      <c r="I425" s="1" t="e">
        <f>VLOOKUP(L425,$W$23:$AN$40,MATCH(M425,$W$23:$AN$23,0),FALSE)</f>
        <v>#N/A</v>
      </c>
      <c r="J425" s="1" t="e">
        <f>VLOOKUP(K425,$W$23:$AN$40,MATCH(M425,$W$23:$AN$23,0),FALSE)</f>
        <v>#N/A</v>
      </c>
      <c r="K425" s="1" t="str">
        <f>MID(A425,1,1)</f>
        <v/>
      </c>
      <c r="L425" s="1" t="str">
        <f>MID(A425,2,1)</f>
        <v/>
      </c>
      <c r="M425" s="1" t="str">
        <f>MID(A425,4,1)</f>
        <v/>
      </c>
      <c r="N425" s="1" t="e">
        <f>VLOOKUP(K425,$W:$X,2,0)</f>
        <v>#N/A</v>
      </c>
      <c r="O425" s="1" t="e">
        <f>VLOOKUP(L425,$Z:$AA,2,0)</f>
        <v>#N/A</v>
      </c>
      <c r="P425" s="1" t="e">
        <f>VLOOKUP(M425,$AC:$AD,2,0)</f>
        <v>#N/A</v>
      </c>
      <c r="Q425" s="1">
        <f>IF(A425&lt;&gt;"",P425+O425+N425+H425+I425+J425,0)</f>
        <v>0</v>
      </c>
    </row>
    <row r="426" spans="1:17" x14ac:dyDescent="0.25">
      <c r="A426" s="41"/>
      <c r="C426" s="41"/>
      <c r="E426" s="1" t="str">
        <f>MID(A426,1,2)</f>
        <v/>
      </c>
      <c r="F426" s="1" t="str">
        <f>MID(C426,3,2)</f>
        <v/>
      </c>
      <c r="G426" s="1" t="str">
        <f>CONCATENATE(K426,M426)</f>
        <v/>
      </c>
      <c r="H426" s="1" t="e">
        <f>VLOOKUP(K426,$W$23:$AN$40,MATCH(L426,$W$23:$AN$23,0),FALSE)</f>
        <v>#N/A</v>
      </c>
      <c r="I426" s="1" t="e">
        <f>VLOOKUP(L426,$W$23:$AN$40,MATCH(M426,$W$23:$AN$23,0),FALSE)</f>
        <v>#N/A</v>
      </c>
      <c r="J426" s="1" t="e">
        <f>VLOOKUP(K426,$W$23:$AN$40,MATCH(M426,$W$23:$AN$23,0),FALSE)</f>
        <v>#N/A</v>
      </c>
      <c r="K426" s="1" t="str">
        <f>MID(A426,1,1)</f>
        <v/>
      </c>
      <c r="L426" s="1" t="str">
        <f>MID(A426,2,1)</f>
        <v/>
      </c>
      <c r="M426" s="1" t="str">
        <f>MID(A426,4,1)</f>
        <v/>
      </c>
      <c r="N426" s="1" t="e">
        <f>VLOOKUP(K426,$W:$X,2,0)</f>
        <v>#N/A</v>
      </c>
      <c r="O426" s="1" t="e">
        <f>VLOOKUP(L426,$Z:$AA,2,0)</f>
        <v>#N/A</v>
      </c>
      <c r="P426" s="1" t="e">
        <f>VLOOKUP(M426,$AC:$AD,2,0)</f>
        <v>#N/A</v>
      </c>
      <c r="Q426" s="1">
        <f>IF(A426&lt;&gt;"",P426+O426+N426+H426+I426+J426,0)</f>
        <v>0</v>
      </c>
    </row>
    <row r="427" spans="1:17" x14ac:dyDescent="0.25">
      <c r="A427" s="41"/>
      <c r="C427" s="41"/>
      <c r="E427" s="1" t="str">
        <f>MID(A427,1,2)</f>
        <v/>
      </c>
      <c r="F427" s="1" t="str">
        <f>MID(C427,3,2)</f>
        <v/>
      </c>
      <c r="G427" s="1" t="str">
        <f>CONCATENATE(K427,M427)</f>
        <v/>
      </c>
      <c r="H427" s="1" t="e">
        <f>VLOOKUP(K427,$W$23:$AN$40,MATCH(L427,$W$23:$AN$23,0),FALSE)</f>
        <v>#N/A</v>
      </c>
      <c r="I427" s="1" t="e">
        <f>VLOOKUP(L427,$W$23:$AN$40,MATCH(M427,$W$23:$AN$23,0),FALSE)</f>
        <v>#N/A</v>
      </c>
      <c r="J427" s="1" t="e">
        <f>VLOOKUP(K427,$W$23:$AN$40,MATCH(M427,$W$23:$AN$23,0),FALSE)</f>
        <v>#N/A</v>
      </c>
      <c r="K427" s="1" t="str">
        <f>MID(A427,1,1)</f>
        <v/>
      </c>
      <c r="L427" s="1" t="str">
        <f>MID(A427,2,1)</f>
        <v/>
      </c>
      <c r="M427" s="1" t="str">
        <f>MID(A427,4,1)</f>
        <v/>
      </c>
      <c r="N427" s="1" t="e">
        <f>VLOOKUP(K427,$W:$X,2,0)</f>
        <v>#N/A</v>
      </c>
      <c r="O427" s="1" t="e">
        <f>VLOOKUP(L427,$Z:$AA,2,0)</f>
        <v>#N/A</v>
      </c>
      <c r="P427" s="1" t="e">
        <f>VLOOKUP(M427,$AC:$AD,2,0)</f>
        <v>#N/A</v>
      </c>
      <c r="Q427" s="1">
        <f>IF(A427&lt;&gt;"",P427+O427+N427+H427+I427+J427,0)</f>
        <v>0</v>
      </c>
    </row>
    <row r="428" spans="1:17" x14ac:dyDescent="0.25">
      <c r="A428" s="41"/>
      <c r="C428" s="41"/>
      <c r="E428" s="1" t="str">
        <f>MID(A428,1,2)</f>
        <v/>
      </c>
      <c r="F428" s="1" t="str">
        <f>MID(C428,3,2)</f>
        <v/>
      </c>
      <c r="G428" s="1" t="str">
        <f>CONCATENATE(K428,M428)</f>
        <v/>
      </c>
      <c r="H428" s="1" t="e">
        <f>VLOOKUP(K428,$W$23:$AN$40,MATCH(L428,$W$23:$AN$23,0),FALSE)</f>
        <v>#N/A</v>
      </c>
      <c r="I428" s="1" t="e">
        <f>VLOOKUP(L428,$W$23:$AN$40,MATCH(M428,$W$23:$AN$23,0),FALSE)</f>
        <v>#N/A</v>
      </c>
      <c r="J428" s="1" t="e">
        <f>VLOOKUP(K428,$W$23:$AN$40,MATCH(M428,$W$23:$AN$23,0),FALSE)</f>
        <v>#N/A</v>
      </c>
      <c r="K428" s="1" t="str">
        <f>MID(A428,1,1)</f>
        <v/>
      </c>
      <c r="L428" s="1" t="str">
        <f>MID(A428,2,1)</f>
        <v/>
      </c>
      <c r="M428" s="1" t="str">
        <f>MID(A428,4,1)</f>
        <v/>
      </c>
      <c r="N428" s="1" t="e">
        <f>VLOOKUP(K428,$W:$X,2,0)</f>
        <v>#N/A</v>
      </c>
      <c r="O428" s="1" t="e">
        <f>VLOOKUP(L428,$Z:$AA,2,0)</f>
        <v>#N/A</v>
      </c>
      <c r="P428" s="1" t="e">
        <f>VLOOKUP(M428,$AC:$AD,2,0)</f>
        <v>#N/A</v>
      </c>
      <c r="Q428" s="1">
        <f>IF(A428&lt;&gt;"",P428+O428+N428+H428+I428+J428,0)</f>
        <v>0</v>
      </c>
    </row>
    <row r="429" spans="1:17" x14ac:dyDescent="0.25">
      <c r="A429" s="41"/>
      <c r="C429" s="41"/>
      <c r="E429" s="1" t="str">
        <f>MID(A429,1,2)</f>
        <v/>
      </c>
      <c r="F429" s="1" t="str">
        <f>MID(C429,3,2)</f>
        <v/>
      </c>
      <c r="G429" s="1" t="str">
        <f>CONCATENATE(K429,M429)</f>
        <v/>
      </c>
      <c r="H429" s="1" t="e">
        <f>VLOOKUP(K429,$W$23:$AN$40,MATCH(L429,$W$23:$AN$23,0),FALSE)</f>
        <v>#N/A</v>
      </c>
      <c r="I429" s="1" t="e">
        <f>VLOOKUP(L429,$W$23:$AN$40,MATCH(M429,$W$23:$AN$23,0),FALSE)</f>
        <v>#N/A</v>
      </c>
      <c r="J429" s="1" t="e">
        <f>VLOOKUP(K429,$W$23:$AN$40,MATCH(M429,$W$23:$AN$23,0),FALSE)</f>
        <v>#N/A</v>
      </c>
      <c r="K429" s="1" t="str">
        <f>MID(A429,1,1)</f>
        <v/>
      </c>
      <c r="L429" s="1" t="str">
        <f>MID(A429,2,1)</f>
        <v/>
      </c>
      <c r="M429" s="1" t="str">
        <f>MID(A429,4,1)</f>
        <v/>
      </c>
      <c r="N429" s="1" t="e">
        <f>VLOOKUP(K429,$W:$X,2,0)</f>
        <v>#N/A</v>
      </c>
      <c r="O429" s="1" t="e">
        <f>VLOOKUP(L429,$Z:$AA,2,0)</f>
        <v>#N/A</v>
      </c>
      <c r="P429" s="1" t="e">
        <f>VLOOKUP(M429,$AC:$AD,2,0)</f>
        <v>#N/A</v>
      </c>
      <c r="Q429" s="1">
        <f>IF(A429&lt;&gt;"",P429+O429+N429+H429+I429+J429,0)</f>
        <v>0</v>
      </c>
    </row>
    <row r="430" spans="1:17" x14ac:dyDescent="0.25">
      <c r="A430" s="41"/>
      <c r="C430" s="41"/>
      <c r="E430" s="1" t="str">
        <f>MID(A430,1,2)</f>
        <v/>
      </c>
      <c r="F430" s="1" t="str">
        <f>MID(C430,3,2)</f>
        <v/>
      </c>
      <c r="G430" s="1" t="str">
        <f>CONCATENATE(K430,M430)</f>
        <v/>
      </c>
      <c r="H430" s="1" t="e">
        <f>VLOOKUP(K430,$W$23:$AN$40,MATCH(L430,$W$23:$AN$23,0),FALSE)</f>
        <v>#N/A</v>
      </c>
      <c r="I430" s="1" t="e">
        <f>VLOOKUP(L430,$W$23:$AN$40,MATCH(M430,$W$23:$AN$23,0),FALSE)</f>
        <v>#N/A</v>
      </c>
      <c r="J430" s="1" t="e">
        <f>VLOOKUP(K430,$W$23:$AN$40,MATCH(M430,$W$23:$AN$23,0),FALSE)</f>
        <v>#N/A</v>
      </c>
      <c r="K430" s="1" t="str">
        <f>MID(A430,1,1)</f>
        <v/>
      </c>
      <c r="L430" s="1" t="str">
        <f>MID(A430,2,1)</f>
        <v/>
      </c>
      <c r="M430" s="1" t="str">
        <f>MID(A430,4,1)</f>
        <v/>
      </c>
      <c r="N430" s="1" t="e">
        <f>VLOOKUP(K430,$W:$X,2,0)</f>
        <v>#N/A</v>
      </c>
      <c r="O430" s="1" t="e">
        <f>VLOOKUP(L430,$Z:$AA,2,0)</f>
        <v>#N/A</v>
      </c>
      <c r="P430" s="1" t="e">
        <f>VLOOKUP(M430,$AC:$AD,2,0)</f>
        <v>#N/A</v>
      </c>
      <c r="Q430" s="1">
        <f>IF(A430&lt;&gt;"",P430+O430+N430+H430+I430+J430,0)</f>
        <v>0</v>
      </c>
    </row>
    <row r="431" spans="1:17" x14ac:dyDescent="0.25">
      <c r="A431" s="41"/>
      <c r="C431" s="41"/>
      <c r="E431" s="1" t="str">
        <f>MID(A431,1,2)</f>
        <v/>
      </c>
      <c r="F431" s="1" t="str">
        <f>MID(C431,3,2)</f>
        <v/>
      </c>
      <c r="G431" s="1" t="str">
        <f>CONCATENATE(K431,M431)</f>
        <v/>
      </c>
      <c r="H431" s="1" t="e">
        <f>VLOOKUP(K431,$W$23:$AN$40,MATCH(L431,$W$23:$AN$23,0),FALSE)</f>
        <v>#N/A</v>
      </c>
      <c r="I431" s="1" t="e">
        <f>VLOOKUP(L431,$W$23:$AN$40,MATCH(M431,$W$23:$AN$23,0),FALSE)</f>
        <v>#N/A</v>
      </c>
      <c r="J431" s="1" t="e">
        <f>VLOOKUP(K431,$W$23:$AN$40,MATCH(M431,$W$23:$AN$23,0),FALSE)</f>
        <v>#N/A</v>
      </c>
      <c r="K431" s="1" t="str">
        <f>MID(A431,1,1)</f>
        <v/>
      </c>
      <c r="L431" s="1" t="str">
        <f>MID(A431,2,1)</f>
        <v/>
      </c>
      <c r="M431" s="1" t="str">
        <f>MID(A431,4,1)</f>
        <v/>
      </c>
      <c r="N431" s="1" t="e">
        <f>VLOOKUP(K431,$W:$X,2,0)</f>
        <v>#N/A</v>
      </c>
      <c r="O431" s="1" t="e">
        <f>VLOOKUP(L431,$Z:$AA,2,0)</f>
        <v>#N/A</v>
      </c>
      <c r="P431" s="1" t="e">
        <f>VLOOKUP(M431,$AC:$AD,2,0)</f>
        <v>#N/A</v>
      </c>
      <c r="Q431" s="1">
        <f>IF(A431&lt;&gt;"",P431+O431+N431+H431+I431+J431,0)</f>
        <v>0</v>
      </c>
    </row>
    <row r="432" spans="1:17" x14ac:dyDescent="0.25">
      <c r="A432" s="41"/>
      <c r="C432" s="41"/>
      <c r="E432" s="1" t="str">
        <f>MID(A432,1,2)</f>
        <v/>
      </c>
      <c r="F432" s="1" t="str">
        <f>MID(C432,3,2)</f>
        <v/>
      </c>
      <c r="G432" s="1" t="str">
        <f>CONCATENATE(K432,M432)</f>
        <v/>
      </c>
      <c r="H432" s="1" t="e">
        <f>VLOOKUP(K432,$W$23:$AN$40,MATCH(L432,$W$23:$AN$23,0),FALSE)</f>
        <v>#N/A</v>
      </c>
      <c r="I432" s="1" t="e">
        <f>VLOOKUP(L432,$W$23:$AN$40,MATCH(M432,$W$23:$AN$23,0),FALSE)</f>
        <v>#N/A</v>
      </c>
      <c r="J432" s="1" t="e">
        <f>VLOOKUP(K432,$W$23:$AN$40,MATCH(M432,$W$23:$AN$23,0),FALSE)</f>
        <v>#N/A</v>
      </c>
      <c r="K432" s="1" t="str">
        <f>MID(A432,1,1)</f>
        <v/>
      </c>
      <c r="L432" s="1" t="str">
        <f>MID(A432,2,1)</f>
        <v/>
      </c>
      <c r="M432" s="1" t="str">
        <f>MID(A432,4,1)</f>
        <v/>
      </c>
      <c r="N432" s="1" t="e">
        <f>VLOOKUP(K432,$W:$X,2,0)</f>
        <v>#N/A</v>
      </c>
      <c r="O432" s="1" t="e">
        <f>VLOOKUP(L432,$Z:$AA,2,0)</f>
        <v>#N/A</v>
      </c>
      <c r="P432" s="1" t="e">
        <f>VLOOKUP(M432,$AC:$AD,2,0)</f>
        <v>#N/A</v>
      </c>
      <c r="Q432" s="1">
        <f>IF(A432&lt;&gt;"",P432+O432+N432+H432+I432+J432,0)</f>
        <v>0</v>
      </c>
    </row>
    <row r="433" spans="1:17" x14ac:dyDescent="0.25">
      <c r="A433" s="41"/>
      <c r="C433" s="41"/>
      <c r="E433" s="1" t="str">
        <f>MID(A433,1,2)</f>
        <v/>
      </c>
      <c r="F433" s="1" t="str">
        <f>MID(C433,3,2)</f>
        <v/>
      </c>
      <c r="G433" s="1" t="str">
        <f>CONCATENATE(K433,M433)</f>
        <v/>
      </c>
      <c r="H433" s="1" t="e">
        <f>VLOOKUP(K433,$W$23:$AN$40,MATCH(L433,$W$23:$AN$23,0),FALSE)</f>
        <v>#N/A</v>
      </c>
      <c r="I433" s="1" t="e">
        <f>VLOOKUP(L433,$W$23:$AN$40,MATCH(M433,$W$23:$AN$23,0),FALSE)</f>
        <v>#N/A</v>
      </c>
      <c r="J433" s="1" t="e">
        <f>VLOOKUP(K433,$W$23:$AN$40,MATCH(M433,$W$23:$AN$23,0),FALSE)</f>
        <v>#N/A</v>
      </c>
      <c r="K433" s="1" t="str">
        <f>MID(A433,1,1)</f>
        <v/>
      </c>
      <c r="L433" s="1" t="str">
        <f>MID(A433,2,1)</f>
        <v/>
      </c>
      <c r="M433" s="1" t="str">
        <f>MID(A433,4,1)</f>
        <v/>
      </c>
      <c r="N433" s="1" t="e">
        <f>VLOOKUP(K433,$W:$X,2,0)</f>
        <v>#N/A</v>
      </c>
      <c r="O433" s="1" t="e">
        <f>VLOOKUP(L433,$Z:$AA,2,0)</f>
        <v>#N/A</v>
      </c>
      <c r="P433" s="1" t="e">
        <f>VLOOKUP(M433,$AC:$AD,2,0)</f>
        <v>#N/A</v>
      </c>
      <c r="Q433" s="1">
        <f>IF(A433&lt;&gt;"",P433+O433+N433+H433+I433+J433,0)</f>
        <v>0</v>
      </c>
    </row>
    <row r="434" spans="1:17" x14ac:dyDescent="0.25">
      <c r="A434" s="41"/>
      <c r="C434" s="41"/>
      <c r="E434" s="1" t="str">
        <f>MID(A434,1,2)</f>
        <v/>
      </c>
      <c r="F434" s="1" t="str">
        <f>MID(C434,3,2)</f>
        <v/>
      </c>
      <c r="G434" s="1" t="str">
        <f>CONCATENATE(K434,M434)</f>
        <v/>
      </c>
      <c r="H434" s="1" t="e">
        <f>VLOOKUP(K434,$W$23:$AN$40,MATCH(L434,$W$23:$AN$23,0),FALSE)</f>
        <v>#N/A</v>
      </c>
      <c r="I434" s="1" t="e">
        <f>VLOOKUP(L434,$W$23:$AN$40,MATCH(M434,$W$23:$AN$23,0),FALSE)</f>
        <v>#N/A</v>
      </c>
      <c r="J434" s="1" t="e">
        <f>VLOOKUP(K434,$W$23:$AN$40,MATCH(M434,$W$23:$AN$23,0),FALSE)</f>
        <v>#N/A</v>
      </c>
      <c r="K434" s="1" t="str">
        <f>MID(A434,1,1)</f>
        <v/>
      </c>
      <c r="L434" s="1" t="str">
        <f>MID(A434,2,1)</f>
        <v/>
      </c>
      <c r="M434" s="1" t="str">
        <f>MID(A434,4,1)</f>
        <v/>
      </c>
      <c r="N434" s="1" t="e">
        <f>VLOOKUP(K434,$W:$X,2,0)</f>
        <v>#N/A</v>
      </c>
      <c r="O434" s="1" t="e">
        <f>VLOOKUP(L434,$Z:$AA,2,0)</f>
        <v>#N/A</v>
      </c>
      <c r="P434" s="1" t="e">
        <f>VLOOKUP(M434,$AC:$AD,2,0)</f>
        <v>#N/A</v>
      </c>
      <c r="Q434" s="1">
        <f>IF(A434&lt;&gt;"",P434+O434+N434+H434+I434+J434,0)</f>
        <v>0</v>
      </c>
    </row>
    <row r="435" spans="1:17" x14ac:dyDescent="0.25">
      <c r="A435" s="41"/>
      <c r="C435" s="41"/>
      <c r="E435" s="1" t="str">
        <f>MID(A435,1,2)</f>
        <v/>
      </c>
      <c r="F435" s="1" t="str">
        <f>MID(C435,3,2)</f>
        <v/>
      </c>
      <c r="G435" s="1" t="str">
        <f>CONCATENATE(K435,M435)</f>
        <v/>
      </c>
      <c r="H435" s="1" t="e">
        <f>VLOOKUP(K435,$W$23:$AN$40,MATCH(L435,$W$23:$AN$23,0),FALSE)</f>
        <v>#N/A</v>
      </c>
      <c r="I435" s="1" t="e">
        <f>VLOOKUP(L435,$W$23:$AN$40,MATCH(M435,$W$23:$AN$23,0),FALSE)</f>
        <v>#N/A</v>
      </c>
      <c r="J435" s="1" t="e">
        <f>VLOOKUP(K435,$W$23:$AN$40,MATCH(M435,$W$23:$AN$23,0),FALSE)</f>
        <v>#N/A</v>
      </c>
      <c r="K435" s="1" t="str">
        <f>MID(A435,1,1)</f>
        <v/>
      </c>
      <c r="L435" s="1" t="str">
        <f>MID(A435,2,1)</f>
        <v/>
      </c>
      <c r="M435" s="1" t="str">
        <f>MID(A435,4,1)</f>
        <v/>
      </c>
      <c r="N435" s="1" t="e">
        <f>VLOOKUP(K435,$W:$X,2,0)</f>
        <v>#N/A</v>
      </c>
      <c r="O435" s="1" t="e">
        <f>VLOOKUP(L435,$Z:$AA,2,0)</f>
        <v>#N/A</v>
      </c>
      <c r="P435" s="1" t="e">
        <f>VLOOKUP(M435,$AC:$AD,2,0)</f>
        <v>#N/A</v>
      </c>
      <c r="Q435" s="1">
        <f>IF(A435&lt;&gt;"",P435+O435+N435+H435+I435+J435,0)</f>
        <v>0</v>
      </c>
    </row>
    <row r="436" spans="1:17" x14ac:dyDescent="0.25">
      <c r="A436" s="41"/>
      <c r="C436" s="41"/>
      <c r="E436" s="1" t="str">
        <f>MID(A436,1,2)</f>
        <v/>
      </c>
      <c r="F436" s="1" t="str">
        <f>MID(C436,3,2)</f>
        <v/>
      </c>
      <c r="G436" s="1" t="str">
        <f>CONCATENATE(K436,M436)</f>
        <v/>
      </c>
      <c r="H436" s="1" t="e">
        <f>VLOOKUP(K436,$W$23:$AN$40,MATCH(L436,$W$23:$AN$23,0),FALSE)</f>
        <v>#N/A</v>
      </c>
      <c r="I436" s="1" t="e">
        <f>VLOOKUP(L436,$W$23:$AN$40,MATCH(M436,$W$23:$AN$23,0),FALSE)</f>
        <v>#N/A</v>
      </c>
      <c r="J436" s="1" t="e">
        <f>VLOOKUP(K436,$W$23:$AN$40,MATCH(M436,$W$23:$AN$23,0),FALSE)</f>
        <v>#N/A</v>
      </c>
      <c r="K436" s="1" t="str">
        <f>MID(A436,1,1)</f>
        <v/>
      </c>
      <c r="L436" s="1" t="str">
        <f>MID(A436,2,1)</f>
        <v/>
      </c>
      <c r="M436" s="1" t="str">
        <f>MID(A436,4,1)</f>
        <v/>
      </c>
      <c r="N436" s="1" t="e">
        <f>VLOOKUP(K436,$W:$X,2,0)</f>
        <v>#N/A</v>
      </c>
      <c r="O436" s="1" t="e">
        <f>VLOOKUP(L436,$Z:$AA,2,0)</f>
        <v>#N/A</v>
      </c>
      <c r="P436" s="1" t="e">
        <f>VLOOKUP(M436,$AC:$AD,2,0)</f>
        <v>#N/A</v>
      </c>
      <c r="Q436" s="1">
        <f>IF(A436&lt;&gt;"",P436+O436+N436+H436+I436+J436,0)</f>
        <v>0</v>
      </c>
    </row>
    <row r="437" spans="1:17" x14ac:dyDescent="0.25">
      <c r="A437" s="41"/>
      <c r="C437" s="41"/>
      <c r="E437" s="1" t="str">
        <f>MID(A437,1,2)</f>
        <v/>
      </c>
      <c r="F437" s="1" t="str">
        <f>MID(C437,3,2)</f>
        <v/>
      </c>
      <c r="G437" s="1" t="str">
        <f>CONCATENATE(K437,M437)</f>
        <v/>
      </c>
      <c r="H437" s="1" t="e">
        <f>VLOOKUP(K437,$W$23:$AN$40,MATCH(L437,$W$23:$AN$23,0),FALSE)</f>
        <v>#N/A</v>
      </c>
      <c r="I437" s="1" t="e">
        <f>VLOOKUP(L437,$W$23:$AN$40,MATCH(M437,$W$23:$AN$23,0),FALSE)</f>
        <v>#N/A</v>
      </c>
      <c r="J437" s="1" t="e">
        <f>VLOOKUP(K437,$W$23:$AN$40,MATCH(M437,$W$23:$AN$23,0),FALSE)</f>
        <v>#N/A</v>
      </c>
      <c r="K437" s="1" t="str">
        <f>MID(A437,1,1)</f>
        <v/>
      </c>
      <c r="L437" s="1" t="str">
        <f>MID(A437,2,1)</f>
        <v/>
      </c>
      <c r="M437" s="1" t="str">
        <f>MID(A437,4,1)</f>
        <v/>
      </c>
      <c r="N437" s="1" t="e">
        <f>VLOOKUP(K437,$W:$X,2,0)</f>
        <v>#N/A</v>
      </c>
      <c r="O437" s="1" t="e">
        <f>VLOOKUP(L437,$Z:$AA,2,0)</f>
        <v>#N/A</v>
      </c>
      <c r="P437" s="1" t="e">
        <f>VLOOKUP(M437,$AC:$AD,2,0)</f>
        <v>#N/A</v>
      </c>
      <c r="Q437" s="1">
        <f>IF(A437&lt;&gt;"",P437+O437+N437+H437+I437+J437,0)</f>
        <v>0</v>
      </c>
    </row>
    <row r="438" spans="1:17" x14ac:dyDescent="0.25">
      <c r="A438" s="41"/>
      <c r="C438" s="41"/>
      <c r="E438" s="1" t="str">
        <f>MID(A438,1,2)</f>
        <v/>
      </c>
      <c r="F438" s="1" t="str">
        <f>MID(C438,3,2)</f>
        <v/>
      </c>
      <c r="G438" s="1" t="str">
        <f>CONCATENATE(K438,M438)</f>
        <v/>
      </c>
      <c r="H438" s="1" t="e">
        <f>VLOOKUP(K438,$W$23:$AN$40,MATCH(L438,$W$23:$AN$23,0),FALSE)</f>
        <v>#N/A</v>
      </c>
      <c r="I438" s="1" t="e">
        <f>VLOOKUP(L438,$W$23:$AN$40,MATCH(M438,$W$23:$AN$23,0),FALSE)</f>
        <v>#N/A</v>
      </c>
      <c r="J438" s="1" t="e">
        <f>VLOOKUP(K438,$W$23:$AN$40,MATCH(M438,$W$23:$AN$23,0),FALSE)</f>
        <v>#N/A</v>
      </c>
      <c r="K438" s="1" t="str">
        <f>MID(A438,1,1)</f>
        <v/>
      </c>
      <c r="L438" s="1" t="str">
        <f>MID(A438,2,1)</f>
        <v/>
      </c>
      <c r="M438" s="1" t="str">
        <f>MID(A438,4,1)</f>
        <v/>
      </c>
      <c r="N438" s="1" t="e">
        <f>VLOOKUP(K438,$W:$X,2,0)</f>
        <v>#N/A</v>
      </c>
      <c r="O438" s="1" t="e">
        <f>VLOOKUP(L438,$Z:$AA,2,0)</f>
        <v>#N/A</v>
      </c>
      <c r="P438" s="1" t="e">
        <f>VLOOKUP(M438,$AC:$AD,2,0)</f>
        <v>#N/A</v>
      </c>
      <c r="Q438" s="1">
        <f>IF(A438&lt;&gt;"",P438+O438+N438+H438+I438+J438,0)</f>
        <v>0</v>
      </c>
    </row>
    <row r="439" spans="1:17" x14ac:dyDescent="0.25">
      <c r="A439" s="41"/>
      <c r="C439" s="41"/>
      <c r="E439" s="1" t="str">
        <f>MID(A439,1,2)</f>
        <v/>
      </c>
      <c r="F439" s="1" t="str">
        <f>MID(C439,3,2)</f>
        <v/>
      </c>
      <c r="G439" s="1" t="str">
        <f>CONCATENATE(K439,M439)</f>
        <v/>
      </c>
      <c r="H439" s="1" t="e">
        <f>VLOOKUP(K439,$W$23:$AN$40,MATCH(L439,$W$23:$AN$23,0),FALSE)</f>
        <v>#N/A</v>
      </c>
      <c r="I439" s="1" t="e">
        <f>VLOOKUP(L439,$W$23:$AN$40,MATCH(M439,$W$23:$AN$23,0),FALSE)</f>
        <v>#N/A</v>
      </c>
      <c r="J439" s="1" t="e">
        <f>VLOOKUP(K439,$W$23:$AN$40,MATCH(M439,$W$23:$AN$23,0),FALSE)</f>
        <v>#N/A</v>
      </c>
      <c r="K439" s="1" t="str">
        <f>MID(A439,1,1)</f>
        <v/>
      </c>
      <c r="L439" s="1" t="str">
        <f>MID(A439,2,1)</f>
        <v/>
      </c>
      <c r="M439" s="1" t="str">
        <f>MID(A439,4,1)</f>
        <v/>
      </c>
      <c r="N439" s="1" t="e">
        <f>VLOOKUP(K439,$W:$X,2,0)</f>
        <v>#N/A</v>
      </c>
      <c r="O439" s="1" t="e">
        <f>VLOOKUP(L439,$Z:$AA,2,0)</f>
        <v>#N/A</v>
      </c>
      <c r="P439" s="1" t="e">
        <f>VLOOKUP(M439,$AC:$AD,2,0)</f>
        <v>#N/A</v>
      </c>
      <c r="Q439" s="1">
        <f>IF(A439&lt;&gt;"",P439+O439+N439+H439+I439+J439,0)</f>
        <v>0</v>
      </c>
    </row>
    <row r="440" spans="1:17" x14ac:dyDescent="0.25">
      <c r="A440" s="41"/>
      <c r="C440" s="41"/>
      <c r="E440" s="1" t="str">
        <f>MID(A440,1,2)</f>
        <v/>
      </c>
      <c r="F440" s="1" t="str">
        <f>MID(C440,3,2)</f>
        <v/>
      </c>
      <c r="G440" s="1" t="str">
        <f>CONCATENATE(K440,M440)</f>
        <v/>
      </c>
      <c r="H440" s="1" t="e">
        <f>VLOOKUP(K440,$W$23:$AN$40,MATCH(L440,$W$23:$AN$23,0),FALSE)</f>
        <v>#N/A</v>
      </c>
      <c r="I440" s="1" t="e">
        <f>VLOOKUP(L440,$W$23:$AN$40,MATCH(M440,$W$23:$AN$23,0),FALSE)</f>
        <v>#N/A</v>
      </c>
      <c r="J440" s="1" t="e">
        <f>VLOOKUP(K440,$W$23:$AN$40,MATCH(M440,$W$23:$AN$23,0),FALSE)</f>
        <v>#N/A</v>
      </c>
      <c r="K440" s="1" t="str">
        <f>MID(A440,1,1)</f>
        <v/>
      </c>
      <c r="L440" s="1" t="str">
        <f>MID(A440,2,1)</f>
        <v/>
      </c>
      <c r="M440" s="1" t="str">
        <f>MID(A440,4,1)</f>
        <v/>
      </c>
      <c r="N440" s="1" t="e">
        <f>VLOOKUP(K440,$W:$X,2,0)</f>
        <v>#N/A</v>
      </c>
      <c r="O440" s="1" t="e">
        <f>VLOOKUP(L440,$Z:$AA,2,0)</f>
        <v>#N/A</v>
      </c>
      <c r="P440" s="1" t="e">
        <f>VLOOKUP(M440,$AC:$AD,2,0)</f>
        <v>#N/A</v>
      </c>
      <c r="Q440" s="1">
        <f>IF(A440&lt;&gt;"",P440+O440+N440+H440+I440+J440,0)</f>
        <v>0</v>
      </c>
    </row>
    <row r="441" spans="1:17" x14ac:dyDescent="0.25">
      <c r="A441" s="41"/>
      <c r="C441" s="41"/>
      <c r="E441" s="1" t="str">
        <f>MID(A441,1,2)</f>
        <v/>
      </c>
      <c r="F441" s="1" t="str">
        <f>MID(C441,3,2)</f>
        <v/>
      </c>
      <c r="G441" s="1" t="str">
        <f>CONCATENATE(K441,M441)</f>
        <v/>
      </c>
      <c r="H441" s="1" t="e">
        <f>VLOOKUP(K441,$W$23:$AN$40,MATCH(L441,$W$23:$AN$23,0),FALSE)</f>
        <v>#N/A</v>
      </c>
      <c r="I441" s="1" t="e">
        <f>VLOOKUP(L441,$W$23:$AN$40,MATCH(M441,$W$23:$AN$23,0),FALSE)</f>
        <v>#N/A</v>
      </c>
      <c r="J441" s="1" t="e">
        <f>VLOOKUP(K441,$W$23:$AN$40,MATCH(M441,$W$23:$AN$23,0),FALSE)</f>
        <v>#N/A</v>
      </c>
      <c r="K441" s="1" t="str">
        <f>MID(A441,1,1)</f>
        <v/>
      </c>
      <c r="L441" s="1" t="str">
        <f>MID(A441,2,1)</f>
        <v/>
      </c>
      <c r="M441" s="1" t="str">
        <f>MID(A441,4,1)</f>
        <v/>
      </c>
      <c r="N441" s="1" t="e">
        <f>VLOOKUP(K441,$W:$X,2,0)</f>
        <v>#N/A</v>
      </c>
      <c r="O441" s="1" t="e">
        <f>VLOOKUP(L441,$Z:$AA,2,0)</f>
        <v>#N/A</v>
      </c>
      <c r="P441" s="1" t="e">
        <f>VLOOKUP(M441,$AC:$AD,2,0)</f>
        <v>#N/A</v>
      </c>
      <c r="Q441" s="1">
        <f>IF(A441&lt;&gt;"",P441+O441+N441+H441+I441+J441,0)</f>
        <v>0</v>
      </c>
    </row>
    <row r="442" spans="1:17" x14ac:dyDescent="0.25">
      <c r="A442" s="41"/>
      <c r="C442" s="41"/>
      <c r="E442" s="1" t="str">
        <f>MID(A442,1,2)</f>
        <v/>
      </c>
      <c r="F442" s="1" t="str">
        <f>MID(C442,3,2)</f>
        <v/>
      </c>
      <c r="G442" s="1" t="str">
        <f>CONCATENATE(K442,M442)</f>
        <v/>
      </c>
      <c r="H442" s="1" t="e">
        <f>VLOOKUP(K442,$W$23:$AN$40,MATCH(L442,$W$23:$AN$23,0),FALSE)</f>
        <v>#N/A</v>
      </c>
      <c r="I442" s="1" t="e">
        <f>VLOOKUP(L442,$W$23:$AN$40,MATCH(M442,$W$23:$AN$23,0),FALSE)</f>
        <v>#N/A</v>
      </c>
      <c r="J442" s="1" t="e">
        <f>VLOOKUP(K442,$W$23:$AN$40,MATCH(M442,$W$23:$AN$23,0),FALSE)</f>
        <v>#N/A</v>
      </c>
      <c r="K442" s="1" t="str">
        <f>MID(A442,1,1)</f>
        <v/>
      </c>
      <c r="L442" s="1" t="str">
        <f>MID(A442,2,1)</f>
        <v/>
      </c>
      <c r="M442" s="1" t="str">
        <f>MID(A442,4,1)</f>
        <v/>
      </c>
      <c r="N442" s="1" t="e">
        <f>VLOOKUP(K442,$W:$X,2,0)</f>
        <v>#N/A</v>
      </c>
      <c r="O442" s="1" t="e">
        <f>VLOOKUP(L442,$Z:$AA,2,0)</f>
        <v>#N/A</v>
      </c>
      <c r="P442" s="1" t="e">
        <f>VLOOKUP(M442,$AC:$AD,2,0)</f>
        <v>#N/A</v>
      </c>
      <c r="Q442" s="1">
        <f>IF(A442&lt;&gt;"",P442+O442+N442+H442+I442+J442,0)</f>
        <v>0</v>
      </c>
    </row>
    <row r="443" spans="1:17" x14ac:dyDescent="0.25">
      <c r="A443" s="41"/>
      <c r="C443" s="41"/>
      <c r="E443" s="1" t="str">
        <f>MID(A443,1,2)</f>
        <v/>
      </c>
      <c r="F443" s="1" t="str">
        <f>MID(C443,3,2)</f>
        <v/>
      </c>
      <c r="G443" s="1" t="str">
        <f>CONCATENATE(K443,M443)</f>
        <v/>
      </c>
      <c r="H443" s="1" t="e">
        <f>VLOOKUP(K443,$W$23:$AN$40,MATCH(L443,$W$23:$AN$23,0),FALSE)</f>
        <v>#N/A</v>
      </c>
      <c r="I443" s="1" t="e">
        <f>VLOOKUP(L443,$W$23:$AN$40,MATCH(M443,$W$23:$AN$23,0),FALSE)</f>
        <v>#N/A</v>
      </c>
      <c r="J443" s="1" t="e">
        <f>VLOOKUP(K443,$W$23:$AN$40,MATCH(M443,$W$23:$AN$23,0),FALSE)</f>
        <v>#N/A</v>
      </c>
      <c r="K443" s="1" t="str">
        <f>MID(A443,1,1)</f>
        <v/>
      </c>
      <c r="L443" s="1" t="str">
        <f>MID(A443,2,1)</f>
        <v/>
      </c>
      <c r="M443" s="1" t="str">
        <f>MID(A443,4,1)</f>
        <v/>
      </c>
      <c r="N443" s="1" t="e">
        <f>VLOOKUP(K443,$W:$X,2,0)</f>
        <v>#N/A</v>
      </c>
      <c r="O443" s="1" t="e">
        <f>VLOOKUP(L443,$Z:$AA,2,0)</f>
        <v>#N/A</v>
      </c>
      <c r="P443" s="1" t="e">
        <f>VLOOKUP(M443,$AC:$AD,2,0)</f>
        <v>#N/A</v>
      </c>
      <c r="Q443" s="1">
        <f>IF(A443&lt;&gt;"",P443+O443+N443+H443+I443+J443,0)</f>
        <v>0</v>
      </c>
    </row>
    <row r="444" spans="1:17" x14ac:dyDescent="0.25">
      <c r="A444" s="41"/>
      <c r="C444" s="41"/>
      <c r="E444" s="1" t="str">
        <f>MID(A444,1,2)</f>
        <v/>
      </c>
      <c r="F444" s="1" t="str">
        <f>MID(C444,3,2)</f>
        <v/>
      </c>
      <c r="G444" s="1" t="str">
        <f>CONCATENATE(K444,M444)</f>
        <v/>
      </c>
      <c r="H444" s="1" t="e">
        <f>VLOOKUP(K444,$W$23:$AN$40,MATCH(L444,$W$23:$AN$23,0),FALSE)</f>
        <v>#N/A</v>
      </c>
      <c r="I444" s="1" t="e">
        <f>VLOOKUP(L444,$W$23:$AN$40,MATCH(M444,$W$23:$AN$23,0),FALSE)</f>
        <v>#N/A</v>
      </c>
      <c r="J444" s="1" t="e">
        <f>VLOOKUP(K444,$W$23:$AN$40,MATCH(M444,$W$23:$AN$23,0),FALSE)</f>
        <v>#N/A</v>
      </c>
      <c r="K444" s="1" t="str">
        <f>MID(A444,1,1)</f>
        <v/>
      </c>
      <c r="L444" s="1" t="str">
        <f>MID(A444,2,1)</f>
        <v/>
      </c>
      <c r="M444" s="1" t="str">
        <f>MID(A444,4,1)</f>
        <v/>
      </c>
      <c r="N444" s="1" t="e">
        <f>VLOOKUP(K444,$W:$X,2,0)</f>
        <v>#N/A</v>
      </c>
      <c r="O444" s="1" t="e">
        <f>VLOOKUP(L444,$Z:$AA,2,0)</f>
        <v>#N/A</v>
      </c>
      <c r="P444" s="1" t="e">
        <f>VLOOKUP(M444,$AC:$AD,2,0)</f>
        <v>#N/A</v>
      </c>
      <c r="Q444" s="1">
        <f>IF(A444&lt;&gt;"",P444+O444+N444+H444+I444+J444,0)</f>
        <v>0</v>
      </c>
    </row>
    <row r="445" spans="1:17" x14ac:dyDescent="0.25">
      <c r="A445" s="41"/>
      <c r="C445" s="41"/>
      <c r="E445" s="1" t="str">
        <f>MID(A445,1,2)</f>
        <v/>
      </c>
      <c r="F445" s="1" t="str">
        <f>MID(C445,3,2)</f>
        <v/>
      </c>
      <c r="G445" s="1" t="str">
        <f>CONCATENATE(K445,M445)</f>
        <v/>
      </c>
      <c r="H445" s="1" t="e">
        <f>VLOOKUP(K445,$W$23:$AN$40,MATCH(L445,$W$23:$AN$23,0),FALSE)</f>
        <v>#N/A</v>
      </c>
      <c r="I445" s="1" t="e">
        <f>VLOOKUP(L445,$W$23:$AN$40,MATCH(M445,$W$23:$AN$23,0),FALSE)</f>
        <v>#N/A</v>
      </c>
      <c r="J445" s="1" t="e">
        <f>VLOOKUP(K445,$W$23:$AN$40,MATCH(M445,$W$23:$AN$23,0),FALSE)</f>
        <v>#N/A</v>
      </c>
      <c r="K445" s="1" t="str">
        <f>MID(A445,1,1)</f>
        <v/>
      </c>
      <c r="L445" s="1" t="str">
        <f>MID(A445,2,1)</f>
        <v/>
      </c>
      <c r="M445" s="1" t="str">
        <f>MID(A445,4,1)</f>
        <v/>
      </c>
      <c r="N445" s="1" t="e">
        <f>VLOOKUP(K445,$W:$X,2,0)</f>
        <v>#N/A</v>
      </c>
      <c r="O445" s="1" t="e">
        <f>VLOOKUP(L445,$Z:$AA,2,0)</f>
        <v>#N/A</v>
      </c>
      <c r="P445" s="1" t="e">
        <f>VLOOKUP(M445,$AC:$AD,2,0)</f>
        <v>#N/A</v>
      </c>
      <c r="Q445" s="1">
        <f>IF(A445&lt;&gt;"",P445+O445+N445+H445+I445+J445,0)</f>
        <v>0</v>
      </c>
    </row>
    <row r="446" spans="1:17" x14ac:dyDescent="0.25">
      <c r="A446" s="41"/>
      <c r="C446" s="41"/>
      <c r="E446" s="1" t="str">
        <f>MID(A446,1,2)</f>
        <v/>
      </c>
      <c r="F446" s="1" t="str">
        <f>MID(C446,3,2)</f>
        <v/>
      </c>
      <c r="G446" s="1" t="str">
        <f>CONCATENATE(K446,M446)</f>
        <v/>
      </c>
      <c r="H446" s="1" t="e">
        <f>VLOOKUP(K446,$W$23:$AN$40,MATCH(L446,$W$23:$AN$23,0),FALSE)</f>
        <v>#N/A</v>
      </c>
      <c r="I446" s="1" t="e">
        <f>VLOOKUP(L446,$W$23:$AN$40,MATCH(M446,$W$23:$AN$23,0),FALSE)</f>
        <v>#N/A</v>
      </c>
      <c r="J446" s="1" t="e">
        <f>VLOOKUP(K446,$W$23:$AN$40,MATCH(M446,$W$23:$AN$23,0),FALSE)</f>
        <v>#N/A</v>
      </c>
      <c r="K446" s="1" t="str">
        <f>MID(A446,1,1)</f>
        <v/>
      </c>
      <c r="L446" s="1" t="str">
        <f>MID(A446,2,1)</f>
        <v/>
      </c>
      <c r="M446" s="1" t="str">
        <f>MID(A446,4,1)</f>
        <v/>
      </c>
      <c r="N446" s="1" t="e">
        <f>VLOOKUP(K446,$W:$X,2,0)</f>
        <v>#N/A</v>
      </c>
      <c r="O446" s="1" t="e">
        <f>VLOOKUP(L446,$Z:$AA,2,0)</f>
        <v>#N/A</v>
      </c>
      <c r="P446" s="1" t="e">
        <f>VLOOKUP(M446,$AC:$AD,2,0)</f>
        <v>#N/A</v>
      </c>
      <c r="Q446" s="1">
        <f>IF(A446&lt;&gt;"",P446+O446+N446+H446+I446+J446,0)</f>
        <v>0</v>
      </c>
    </row>
    <row r="447" spans="1:17" x14ac:dyDescent="0.25">
      <c r="A447" s="41"/>
      <c r="C447" s="41"/>
      <c r="E447" s="1" t="str">
        <f>MID(A447,1,2)</f>
        <v/>
      </c>
      <c r="F447" s="1" t="str">
        <f>MID(C447,3,2)</f>
        <v/>
      </c>
      <c r="G447" s="1" t="str">
        <f>CONCATENATE(K447,M447)</f>
        <v/>
      </c>
      <c r="H447" s="1" t="e">
        <f>VLOOKUP(K447,$W$23:$AN$40,MATCH(L447,$W$23:$AN$23,0),FALSE)</f>
        <v>#N/A</v>
      </c>
      <c r="I447" s="1" t="e">
        <f>VLOOKUP(L447,$W$23:$AN$40,MATCH(M447,$W$23:$AN$23,0),FALSE)</f>
        <v>#N/A</v>
      </c>
      <c r="J447" s="1" t="e">
        <f>VLOOKUP(K447,$W$23:$AN$40,MATCH(M447,$W$23:$AN$23,0),FALSE)</f>
        <v>#N/A</v>
      </c>
      <c r="K447" s="1" t="str">
        <f>MID(A447,1,1)</f>
        <v/>
      </c>
      <c r="L447" s="1" t="str">
        <f>MID(A447,2,1)</f>
        <v/>
      </c>
      <c r="M447" s="1" t="str">
        <f>MID(A447,4,1)</f>
        <v/>
      </c>
      <c r="N447" s="1" t="e">
        <f>VLOOKUP(K447,$W:$X,2,0)</f>
        <v>#N/A</v>
      </c>
      <c r="O447" s="1" t="e">
        <f>VLOOKUP(L447,$Z:$AA,2,0)</f>
        <v>#N/A</v>
      </c>
      <c r="P447" s="1" t="e">
        <f>VLOOKUP(M447,$AC:$AD,2,0)</f>
        <v>#N/A</v>
      </c>
      <c r="Q447" s="1">
        <f>IF(A447&lt;&gt;"",P447+O447+N447+H447+I447+J447,0)</f>
        <v>0</v>
      </c>
    </row>
    <row r="448" spans="1:17" x14ac:dyDescent="0.25">
      <c r="A448" s="41"/>
      <c r="C448" s="41"/>
      <c r="E448" s="1" t="str">
        <f>MID(A448,1,2)</f>
        <v/>
      </c>
      <c r="F448" s="1" t="str">
        <f>MID(C448,3,2)</f>
        <v/>
      </c>
      <c r="G448" s="1" t="str">
        <f>CONCATENATE(K448,M448)</f>
        <v/>
      </c>
      <c r="H448" s="1" t="e">
        <f>VLOOKUP(K448,$W$23:$AN$40,MATCH(L448,$W$23:$AN$23,0),FALSE)</f>
        <v>#N/A</v>
      </c>
      <c r="I448" s="1" t="e">
        <f>VLOOKUP(L448,$W$23:$AN$40,MATCH(M448,$W$23:$AN$23,0),FALSE)</f>
        <v>#N/A</v>
      </c>
      <c r="J448" s="1" t="e">
        <f>VLOOKUP(K448,$W$23:$AN$40,MATCH(M448,$W$23:$AN$23,0),FALSE)</f>
        <v>#N/A</v>
      </c>
      <c r="K448" s="1" t="str">
        <f>MID(A448,1,1)</f>
        <v/>
      </c>
      <c r="L448" s="1" t="str">
        <f>MID(A448,2,1)</f>
        <v/>
      </c>
      <c r="M448" s="1" t="str">
        <f>MID(A448,4,1)</f>
        <v/>
      </c>
      <c r="N448" s="1" t="e">
        <f>VLOOKUP(K448,$W:$X,2,0)</f>
        <v>#N/A</v>
      </c>
      <c r="O448" s="1" t="e">
        <f>VLOOKUP(L448,$Z:$AA,2,0)</f>
        <v>#N/A</v>
      </c>
      <c r="P448" s="1" t="e">
        <f>VLOOKUP(M448,$AC:$AD,2,0)</f>
        <v>#N/A</v>
      </c>
      <c r="Q448" s="1">
        <f>IF(A448&lt;&gt;"",P448+O448+N448+H448+I448+J448,0)</f>
        <v>0</v>
      </c>
    </row>
    <row r="449" spans="1:17" x14ac:dyDescent="0.25">
      <c r="A449" s="41"/>
      <c r="C449" s="41"/>
      <c r="E449" s="1" t="str">
        <f>MID(A449,1,2)</f>
        <v/>
      </c>
      <c r="F449" s="1" t="str">
        <f>MID(C449,3,2)</f>
        <v/>
      </c>
      <c r="G449" s="1" t="str">
        <f>CONCATENATE(K449,M449)</f>
        <v/>
      </c>
      <c r="H449" s="1" t="e">
        <f>VLOOKUP(K449,$W$23:$AN$40,MATCH(L449,$W$23:$AN$23,0),FALSE)</f>
        <v>#N/A</v>
      </c>
      <c r="I449" s="1" t="e">
        <f>VLOOKUP(L449,$W$23:$AN$40,MATCH(M449,$W$23:$AN$23,0),FALSE)</f>
        <v>#N/A</v>
      </c>
      <c r="J449" s="1" t="e">
        <f>VLOOKUP(K449,$W$23:$AN$40,MATCH(M449,$W$23:$AN$23,0),FALSE)</f>
        <v>#N/A</v>
      </c>
      <c r="K449" s="1" t="str">
        <f>MID(A449,1,1)</f>
        <v/>
      </c>
      <c r="L449" s="1" t="str">
        <f>MID(A449,2,1)</f>
        <v/>
      </c>
      <c r="M449" s="1" t="str">
        <f>MID(A449,4,1)</f>
        <v/>
      </c>
      <c r="N449" s="1" t="e">
        <f>VLOOKUP(K449,$W:$X,2,0)</f>
        <v>#N/A</v>
      </c>
      <c r="O449" s="1" t="e">
        <f>VLOOKUP(L449,$Z:$AA,2,0)</f>
        <v>#N/A</v>
      </c>
      <c r="P449" s="1" t="e">
        <f>VLOOKUP(M449,$AC:$AD,2,0)</f>
        <v>#N/A</v>
      </c>
      <c r="Q449" s="1">
        <f>IF(A449&lt;&gt;"",P449+O449+N449+H449+I449+J449,0)</f>
        <v>0</v>
      </c>
    </row>
    <row r="450" spans="1:17" x14ac:dyDescent="0.25">
      <c r="A450" s="41"/>
      <c r="C450" s="41"/>
      <c r="E450" s="1" t="str">
        <f>MID(A450,1,2)</f>
        <v/>
      </c>
      <c r="F450" s="1" t="str">
        <f>MID(C450,3,2)</f>
        <v/>
      </c>
      <c r="G450" s="1" t="str">
        <f>CONCATENATE(K450,M450)</f>
        <v/>
      </c>
      <c r="H450" s="1" t="e">
        <f>VLOOKUP(K450,$W$23:$AN$40,MATCH(L450,$W$23:$AN$23,0),FALSE)</f>
        <v>#N/A</v>
      </c>
      <c r="I450" s="1" t="e">
        <f>VLOOKUP(L450,$W$23:$AN$40,MATCH(M450,$W$23:$AN$23,0),FALSE)</f>
        <v>#N/A</v>
      </c>
      <c r="J450" s="1" t="e">
        <f>VLOOKUP(K450,$W$23:$AN$40,MATCH(M450,$W$23:$AN$23,0),FALSE)</f>
        <v>#N/A</v>
      </c>
      <c r="K450" s="1" t="str">
        <f>MID(A450,1,1)</f>
        <v/>
      </c>
      <c r="L450" s="1" t="str">
        <f>MID(A450,2,1)</f>
        <v/>
      </c>
      <c r="M450" s="1" t="str">
        <f>MID(A450,4,1)</f>
        <v/>
      </c>
      <c r="N450" s="1" t="e">
        <f>VLOOKUP(K450,$W:$X,2,0)</f>
        <v>#N/A</v>
      </c>
      <c r="O450" s="1" t="e">
        <f>VLOOKUP(L450,$Z:$AA,2,0)</f>
        <v>#N/A</v>
      </c>
      <c r="P450" s="1" t="e">
        <f>VLOOKUP(M450,$AC:$AD,2,0)</f>
        <v>#N/A</v>
      </c>
      <c r="Q450" s="1">
        <f>IF(A450&lt;&gt;"",P450+O450+N450+H450+I450+J450,0)</f>
        <v>0</v>
      </c>
    </row>
    <row r="451" spans="1:17" x14ac:dyDescent="0.25">
      <c r="A451" s="41"/>
      <c r="C451" s="41"/>
      <c r="E451" s="1" t="str">
        <f>MID(A451,1,2)</f>
        <v/>
      </c>
      <c r="F451" s="1" t="str">
        <f>MID(C451,3,2)</f>
        <v/>
      </c>
      <c r="G451" s="1" t="str">
        <f>CONCATENATE(K451,M451)</f>
        <v/>
      </c>
      <c r="H451" s="1" t="e">
        <f>VLOOKUP(K451,$W$23:$AN$40,MATCH(L451,$W$23:$AN$23,0),FALSE)</f>
        <v>#N/A</v>
      </c>
      <c r="I451" s="1" t="e">
        <f>VLOOKUP(L451,$W$23:$AN$40,MATCH(M451,$W$23:$AN$23,0),FALSE)</f>
        <v>#N/A</v>
      </c>
      <c r="J451" s="1" t="e">
        <f>VLOOKUP(K451,$W$23:$AN$40,MATCH(M451,$W$23:$AN$23,0),FALSE)</f>
        <v>#N/A</v>
      </c>
      <c r="K451" s="1" t="str">
        <f>MID(A451,1,1)</f>
        <v/>
      </c>
      <c r="L451" s="1" t="str">
        <f>MID(A451,2,1)</f>
        <v/>
      </c>
      <c r="M451" s="1" t="str">
        <f>MID(A451,4,1)</f>
        <v/>
      </c>
      <c r="N451" s="1" t="e">
        <f>VLOOKUP(K451,$W:$X,2,0)</f>
        <v>#N/A</v>
      </c>
      <c r="O451" s="1" t="e">
        <f>VLOOKUP(L451,$Z:$AA,2,0)</f>
        <v>#N/A</v>
      </c>
      <c r="P451" s="1" t="e">
        <f>VLOOKUP(M451,$AC:$AD,2,0)</f>
        <v>#N/A</v>
      </c>
      <c r="Q451" s="1">
        <f>IF(A451&lt;&gt;"",P451+O451+N451+H451+I451+J451,0)</f>
        <v>0</v>
      </c>
    </row>
    <row r="452" spans="1:17" x14ac:dyDescent="0.25">
      <c r="A452" s="41"/>
      <c r="C452" s="41"/>
      <c r="E452" s="1" t="str">
        <f>MID(A452,1,2)</f>
        <v/>
      </c>
      <c r="F452" s="1" t="str">
        <f>MID(C452,3,2)</f>
        <v/>
      </c>
      <c r="G452" s="1" t="str">
        <f>CONCATENATE(K452,M452)</f>
        <v/>
      </c>
      <c r="H452" s="1" t="e">
        <f>VLOOKUP(K452,$W$23:$AN$40,MATCH(L452,$W$23:$AN$23,0),FALSE)</f>
        <v>#N/A</v>
      </c>
      <c r="I452" s="1" t="e">
        <f>VLOOKUP(L452,$W$23:$AN$40,MATCH(M452,$W$23:$AN$23,0),FALSE)</f>
        <v>#N/A</v>
      </c>
      <c r="J452" s="1" t="e">
        <f>VLOOKUP(K452,$W$23:$AN$40,MATCH(M452,$W$23:$AN$23,0),FALSE)</f>
        <v>#N/A</v>
      </c>
      <c r="K452" s="1" t="str">
        <f>MID(A452,1,1)</f>
        <v/>
      </c>
      <c r="L452" s="1" t="str">
        <f>MID(A452,2,1)</f>
        <v/>
      </c>
      <c r="M452" s="1" t="str">
        <f>MID(A452,4,1)</f>
        <v/>
      </c>
      <c r="N452" s="1" t="e">
        <f>VLOOKUP(K452,$W:$X,2,0)</f>
        <v>#N/A</v>
      </c>
      <c r="O452" s="1" t="e">
        <f>VLOOKUP(L452,$Z:$AA,2,0)</f>
        <v>#N/A</v>
      </c>
      <c r="P452" s="1" t="e">
        <f>VLOOKUP(M452,$AC:$AD,2,0)</f>
        <v>#N/A</v>
      </c>
      <c r="Q452" s="1">
        <f>IF(A452&lt;&gt;"",P452+O452+N452+H452+I452+J452,0)</f>
        <v>0</v>
      </c>
    </row>
    <row r="453" spans="1:17" x14ac:dyDescent="0.25">
      <c r="A453" s="41"/>
      <c r="C453" s="41"/>
      <c r="E453" s="1" t="str">
        <f>MID(A453,1,2)</f>
        <v/>
      </c>
      <c r="F453" s="1" t="str">
        <f>MID(C453,3,2)</f>
        <v/>
      </c>
      <c r="G453" s="1" t="str">
        <f>CONCATENATE(K453,M453)</f>
        <v/>
      </c>
      <c r="H453" s="1" t="e">
        <f>VLOOKUP(K453,$W$23:$AN$40,MATCH(L453,$W$23:$AN$23,0),FALSE)</f>
        <v>#N/A</v>
      </c>
      <c r="I453" s="1" t="e">
        <f>VLOOKUP(L453,$W$23:$AN$40,MATCH(M453,$W$23:$AN$23,0),FALSE)</f>
        <v>#N/A</v>
      </c>
      <c r="J453" s="1" t="e">
        <f>VLOOKUP(K453,$W$23:$AN$40,MATCH(M453,$W$23:$AN$23,0),FALSE)</f>
        <v>#N/A</v>
      </c>
      <c r="K453" s="1" t="str">
        <f>MID(A453,1,1)</f>
        <v/>
      </c>
      <c r="L453" s="1" t="str">
        <f>MID(A453,2,1)</f>
        <v/>
      </c>
      <c r="M453" s="1" t="str">
        <f>MID(A453,4,1)</f>
        <v/>
      </c>
      <c r="N453" s="1" t="e">
        <f>VLOOKUP(K453,$W:$X,2,0)</f>
        <v>#N/A</v>
      </c>
      <c r="O453" s="1" t="e">
        <f>VLOOKUP(L453,$Z:$AA,2,0)</f>
        <v>#N/A</v>
      </c>
      <c r="P453" s="1" t="e">
        <f>VLOOKUP(M453,$AC:$AD,2,0)</f>
        <v>#N/A</v>
      </c>
      <c r="Q453" s="1">
        <f>IF(A453&lt;&gt;"",P453+O453+N453+H453+I453+J453,0)</f>
        <v>0</v>
      </c>
    </row>
    <row r="454" spans="1:17" x14ac:dyDescent="0.25">
      <c r="A454" s="41"/>
      <c r="C454" s="41"/>
      <c r="E454" s="1" t="str">
        <f>MID(A454,1,2)</f>
        <v/>
      </c>
      <c r="F454" s="1" t="str">
        <f>MID(C454,3,2)</f>
        <v/>
      </c>
      <c r="G454" s="1" t="str">
        <f>CONCATENATE(K454,M454)</f>
        <v/>
      </c>
      <c r="H454" s="1" t="e">
        <f>VLOOKUP(K454,$W$23:$AN$40,MATCH(L454,$W$23:$AN$23,0),FALSE)</f>
        <v>#N/A</v>
      </c>
      <c r="I454" s="1" t="e">
        <f>VLOOKUP(L454,$W$23:$AN$40,MATCH(M454,$W$23:$AN$23,0),FALSE)</f>
        <v>#N/A</v>
      </c>
      <c r="J454" s="1" t="e">
        <f>VLOOKUP(K454,$W$23:$AN$40,MATCH(M454,$W$23:$AN$23,0),FALSE)</f>
        <v>#N/A</v>
      </c>
      <c r="K454" s="1" t="str">
        <f>MID(A454,1,1)</f>
        <v/>
      </c>
      <c r="L454" s="1" t="str">
        <f>MID(A454,2,1)</f>
        <v/>
      </c>
      <c r="M454" s="1" t="str">
        <f>MID(A454,4,1)</f>
        <v/>
      </c>
      <c r="N454" s="1" t="e">
        <f>VLOOKUP(K454,$W:$X,2,0)</f>
        <v>#N/A</v>
      </c>
      <c r="O454" s="1" t="e">
        <f>VLOOKUP(L454,$Z:$AA,2,0)</f>
        <v>#N/A</v>
      </c>
      <c r="P454" s="1" t="e">
        <f>VLOOKUP(M454,$AC:$AD,2,0)</f>
        <v>#N/A</v>
      </c>
      <c r="Q454" s="1">
        <f>IF(A454&lt;&gt;"",P454+O454+N454+H454+I454+J454,0)</f>
        <v>0</v>
      </c>
    </row>
    <row r="455" spans="1:17" x14ac:dyDescent="0.25">
      <c r="A455" s="41"/>
      <c r="C455" s="41"/>
      <c r="E455" s="1" t="str">
        <f>MID(A455,1,2)</f>
        <v/>
      </c>
      <c r="F455" s="1" t="str">
        <f>MID(C455,3,2)</f>
        <v/>
      </c>
      <c r="G455" s="1" t="str">
        <f>CONCATENATE(K455,M455)</f>
        <v/>
      </c>
      <c r="H455" s="1" t="e">
        <f>VLOOKUP(K455,$W$23:$AN$40,MATCH(L455,$W$23:$AN$23,0),FALSE)</f>
        <v>#N/A</v>
      </c>
      <c r="I455" s="1" t="e">
        <f>VLOOKUP(L455,$W$23:$AN$40,MATCH(M455,$W$23:$AN$23,0),FALSE)</f>
        <v>#N/A</v>
      </c>
      <c r="J455" s="1" t="e">
        <f>VLOOKUP(K455,$W$23:$AN$40,MATCH(M455,$W$23:$AN$23,0),FALSE)</f>
        <v>#N/A</v>
      </c>
      <c r="K455" s="1" t="str">
        <f>MID(A455,1,1)</f>
        <v/>
      </c>
      <c r="L455" s="1" t="str">
        <f>MID(A455,2,1)</f>
        <v/>
      </c>
      <c r="M455" s="1" t="str">
        <f>MID(A455,4,1)</f>
        <v/>
      </c>
      <c r="N455" s="1" t="e">
        <f>VLOOKUP(K455,$W:$X,2,0)</f>
        <v>#N/A</v>
      </c>
      <c r="O455" s="1" t="e">
        <f>VLOOKUP(L455,$Z:$AA,2,0)</f>
        <v>#N/A</v>
      </c>
      <c r="P455" s="1" t="e">
        <f>VLOOKUP(M455,$AC:$AD,2,0)</f>
        <v>#N/A</v>
      </c>
      <c r="Q455" s="1">
        <f>IF(A455&lt;&gt;"",P455+O455+N455+H455+I455+J455,0)</f>
        <v>0</v>
      </c>
    </row>
    <row r="456" spans="1:17" x14ac:dyDescent="0.25">
      <c r="A456" s="41"/>
      <c r="C456" s="41"/>
      <c r="E456" s="1" t="str">
        <f>MID(A456,1,2)</f>
        <v/>
      </c>
      <c r="F456" s="1" t="str">
        <f>MID(C456,3,2)</f>
        <v/>
      </c>
      <c r="G456" s="1" t="str">
        <f>CONCATENATE(K456,M456)</f>
        <v/>
      </c>
      <c r="H456" s="1" t="e">
        <f>VLOOKUP(K456,$W$23:$AN$40,MATCH(L456,$W$23:$AN$23,0),FALSE)</f>
        <v>#N/A</v>
      </c>
      <c r="I456" s="1" t="e">
        <f>VLOOKUP(L456,$W$23:$AN$40,MATCH(M456,$W$23:$AN$23,0),FALSE)</f>
        <v>#N/A</v>
      </c>
      <c r="J456" s="1" t="e">
        <f>VLOOKUP(K456,$W$23:$AN$40,MATCH(M456,$W$23:$AN$23,0),FALSE)</f>
        <v>#N/A</v>
      </c>
      <c r="K456" s="1" t="str">
        <f>MID(A456,1,1)</f>
        <v/>
      </c>
      <c r="L456" s="1" t="str">
        <f>MID(A456,2,1)</f>
        <v/>
      </c>
      <c r="M456" s="1" t="str">
        <f>MID(A456,4,1)</f>
        <v/>
      </c>
      <c r="N456" s="1" t="e">
        <f>VLOOKUP(K456,$W:$X,2,0)</f>
        <v>#N/A</v>
      </c>
      <c r="O456" s="1" t="e">
        <f>VLOOKUP(L456,$Z:$AA,2,0)</f>
        <v>#N/A</v>
      </c>
      <c r="P456" s="1" t="e">
        <f>VLOOKUP(M456,$AC:$AD,2,0)</f>
        <v>#N/A</v>
      </c>
      <c r="Q456" s="1">
        <f>IF(A456&lt;&gt;"",P456+O456+N456+H456+I456+J456,0)</f>
        <v>0</v>
      </c>
    </row>
    <row r="457" spans="1:17" x14ac:dyDescent="0.25">
      <c r="A457" s="41"/>
      <c r="C457" s="41"/>
      <c r="E457" s="1" t="str">
        <f>MID(A457,1,2)</f>
        <v/>
      </c>
      <c r="F457" s="1" t="str">
        <f>MID(C457,3,2)</f>
        <v/>
      </c>
      <c r="G457" s="1" t="str">
        <f>CONCATENATE(K457,M457)</f>
        <v/>
      </c>
      <c r="H457" s="1" t="e">
        <f>VLOOKUP(K457,$W$23:$AN$40,MATCH(L457,$W$23:$AN$23,0),FALSE)</f>
        <v>#N/A</v>
      </c>
      <c r="I457" s="1" t="e">
        <f>VLOOKUP(L457,$W$23:$AN$40,MATCH(M457,$W$23:$AN$23,0),FALSE)</f>
        <v>#N/A</v>
      </c>
      <c r="J457" s="1" t="e">
        <f>VLOOKUP(K457,$W$23:$AN$40,MATCH(M457,$W$23:$AN$23,0),FALSE)</f>
        <v>#N/A</v>
      </c>
      <c r="K457" s="1" t="str">
        <f>MID(A457,1,1)</f>
        <v/>
      </c>
      <c r="L457" s="1" t="str">
        <f>MID(A457,2,1)</f>
        <v/>
      </c>
      <c r="M457" s="1" t="str">
        <f>MID(A457,4,1)</f>
        <v/>
      </c>
      <c r="N457" s="1" t="e">
        <f>VLOOKUP(K457,$W:$X,2,0)</f>
        <v>#N/A</v>
      </c>
      <c r="O457" s="1" t="e">
        <f>VLOOKUP(L457,$Z:$AA,2,0)</f>
        <v>#N/A</v>
      </c>
      <c r="P457" s="1" t="e">
        <f>VLOOKUP(M457,$AC:$AD,2,0)</f>
        <v>#N/A</v>
      </c>
      <c r="Q457" s="1">
        <f>IF(A457&lt;&gt;"",P457+O457+N457+H457+I457+J457,0)</f>
        <v>0</v>
      </c>
    </row>
    <row r="458" spans="1:17" x14ac:dyDescent="0.25">
      <c r="A458" s="41"/>
      <c r="C458" s="41"/>
      <c r="E458" s="1" t="str">
        <f>MID(A458,1,2)</f>
        <v/>
      </c>
      <c r="F458" s="1" t="str">
        <f>MID(C458,3,2)</f>
        <v/>
      </c>
      <c r="G458" s="1" t="str">
        <f>CONCATENATE(K458,M458)</f>
        <v/>
      </c>
      <c r="H458" s="1" t="e">
        <f>VLOOKUP(K458,$W$23:$AN$40,MATCH(L458,$W$23:$AN$23,0),FALSE)</f>
        <v>#N/A</v>
      </c>
      <c r="I458" s="1" t="e">
        <f>VLOOKUP(L458,$W$23:$AN$40,MATCH(M458,$W$23:$AN$23,0),FALSE)</f>
        <v>#N/A</v>
      </c>
      <c r="J458" s="1" t="e">
        <f>VLOOKUP(K458,$W$23:$AN$40,MATCH(M458,$W$23:$AN$23,0),FALSE)</f>
        <v>#N/A</v>
      </c>
      <c r="K458" s="1" t="str">
        <f>MID(A458,1,1)</f>
        <v/>
      </c>
      <c r="L458" s="1" t="str">
        <f>MID(A458,2,1)</f>
        <v/>
      </c>
      <c r="M458" s="1" t="str">
        <f>MID(A458,4,1)</f>
        <v/>
      </c>
      <c r="N458" s="1" t="e">
        <f>VLOOKUP(K458,$W:$X,2,0)</f>
        <v>#N/A</v>
      </c>
      <c r="O458" s="1" t="e">
        <f>VLOOKUP(L458,$Z:$AA,2,0)</f>
        <v>#N/A</v>
      </c>
      <c r="P458" s="1" t="e">
        <f>VLOOKUP(M458,$AC:$AD,2,0)</f>
        <v>#N/A</v>
      </c>
      <c r="Q458" s="1">
        <f>IF(A458&lt;&gt;"",P458+O458+N458+H458+I458+J458,0)</f>
        <v>0</v>
      </c>
    </row>
    <row r="459" spans="1:17" x14ac:dyDescent="0.25">
      <c r="A459" s="41"/>
      <c r="C459" s="41"/>
      <c r="E459" s="1" t="str">
        <f>MID(A459,1,2)</f>
        <v/>
      </c>
      <c r="F459" s="1" t="str">
        <f>MID(C459,3,2)</f>
        <v/>
      </c>
      <c r="G459" s="1" t="str">
        <f>CONCATENATE(K459,M459)</f>
        <v/>
      </c>
      <c r="H459" s="1" t="e">
        <f>VLOOKUP(K459,$W$23:$AN$40,MATCH(L459,$W$23:$AN$23,0),FALSE)</f>
        <v>#N/A</v>
      </c>
      <c r="I459" s="1" t="e">
        <f>VLOOKUP(L459,$W$23:$AN$40,MATCH(M459,$W$23:$AN$23,0),FALSE)</f>
        <v>#N/A</v>
      </c>
      <c r="J459" s="1" t="e">
        <f>VLOOKUP(K459,$W$23:$AN$40,MATCH(M459,$W$23:$AN$23,0),FALSE)</f>
        <v>#N/A</v>
      </c>
      <c r="K459" s="1" t="str">
        <f>MID(A459,1,1)</f>
        <v/>
      </c>
      <c r="L459" s="1" t="str">
        <f>MID(A459,2,1)</f>
        <v/>
      </c>
      <c r="M459" s="1" t="str">
        <f>MID(A459,4,1)</f>
        <v/>
      </c>
      <c r="N459" s="1" t="e">
        <f>VLOOKUP(K459,$W:$X,2,0)</f>
        <v>#N/A</v>
      </c>
      <c r="O459" s="1" t="e">
        <f>VLOOKUP(L459,$Z:$AA,2,0)</f>
        <v>#N/A</v>
      </c>
      <c r="P459" s="1" t="e">
        <f>VLOOKUP(M459,$AC:$AD,2,0)</f>
        <v>#N/A</v>
      </c>
      <c r="Q459" s="1">
        <f>IF(A459&lt;&gt;"",P459+O459+N459+H459+I459+J459,0)</f>
        <v>0</v>
      </c>
    </row>
    <row r="460" spans="1:17" x14ac:dyDescent="0.25">
      <c r="A460" s="41"/>
      <c r="C460" s="41"/>
      <c r="E460" s="1" t="str">
        <f>MID(A460,1,2)</f>
        <v/>
      </c>
      <c r="F460" s="1" t="str">
        <f>MID(C460,3,2)</f>
        <v/>
      </c>
      <c r="G460" s="1" t="str">
        <f>CONCATENATE(K460,M460)</f>
        <v/>
      </c>
      <c r="H460" s="1" t="e">
        <f>VLOOKUP(K460,$W$23:$AN$40,MATCH(L460,$W$23:$AN$23,0),FALSE)</f>
        <v>#N/A</v>
      </c>
      <c r="I460" s="1" t="e">
        <f>VLOOKUP(L460,$W$23:$AN$40,MATCH(M460,$W$23:$AN$23,0),FALSE)</f>
        <v>#N/A</v>
      </c>
      <c r="J460" s="1" t="e">
        <f>VLOOKUP(K460,$W$23:$AN$40,MATCH(M460,$W$23:$AN$23,0),FALSE)</f>
        <v>#N/A</v>
      </c>
      <c r="K460" s="1" t="str">
        <f>MID(A460,1,1)</f>
        <v/>
      </c>
      <c r="L460" s="1" t="str">
        <f>MID(A460,2,1)</f>
        <v/>
      </c>
      <c r="M460" s="1" t="str">
        <f>MID(A460,4,1)</f>
        <v/>
      </c>
      <c r="N460" s="1" t="e">
        <f>VLOOKUP(K460,$W:$X,2,0)</f>
        <v>#N/A</v>
      </c>
      <c r="O460" s="1" t="e">
        <f>VLOOKUP(L460,$Z:$AA,2,0)</f>
        <v>#N/A</v>
      </c>
      <c r="P460" s="1" t="e">
        <f>VLOOKUP(M460,$AC:$AD,2,0)</f>
        <v>#N/A</v>
      </c>
      <c r="Q460" s="1">
        <f>IF(A460&lt;&gt;"",P460+O460+N460+H460+I460+J460,0)</f>
        <v>0</v>
      </c>
    </row>
    <row r="461" spans="1:17" x14ac:dyDescent="0.25">
      <c r="A461" s="41"/>
      <c r="C461" s="41"/>
      <c r="E461" s="1" t="str">
        <f>MID(A461,1,2)</f>
        <v/>
      </c>
      <c r="F461" s="1" t="str">
        <f>MID(C461,3,2)</f>
        <v/>
      </c>
      <c r="G461" s="1" t="str">
        <f>CONCATENATE(K461,M461)</f>
        <v/>
      </c>
      <c r="H461" s="1" t="e">
        <f>VLOOKUP(K461,$W$23:$AN$40,MATCH(L461,$W$23:$AN$23,0),FALSE)</f>
        <v>#N/A</v>
      </c>
      <c r="I461" s="1" t="e">
        <f>VLOOKUP(L461,$W$23:$AN$40,MATCH(M461,$W$23:$AN$23,0),FALSE)</f>
        <v>#N/A</v>
      </c>
      <c r="J461" s="1" t="e">
        <f>VLOOKUP(K461,$W$23:$AN$40,MATCH(M461,$W$23:$AN$23,0),FALSE)</f>
        <v>#N/A</v>
      </c>
      <c r="K461" s="1" t="str">
        <f>MID(A461,1,1)</f>
        <v/>
      </c>
      <c r="L461" s="1" t="str">
        <f>MID(A461,2,1)</f>
        <v/>
      </c>
      <c r="M461" s="1" t="str">
        <f>MID(A461,4,1)</f>
        <v/>
      </c>
      <c r="N461" s="1" t="e">
        <f>VLOOKUP(K461,$W:$X,2,0)</f>
        <v>#N/A</v>
      </c>
      <c r="O461" s="1" t="e">
        <f>VLOOKUP(L461,$Z:$AA,2,0)</f>
        <v>#N/A</v>
      </c>
      <c r="P461" s="1" t="e">
        <f>VLOOKUP(M461,$AC:$AD,2,0)</f>
        <v>#N/A</v>
      </c>
      <c r="Q461" s="1">
        <f>IF(A461&lt;&gt;"",P461+O461+N461+H461+I461+J461,0)</f>
        <v>0</v>
      </c>
    </row>
    <row r="462" spans="1:17" x14ac:dyDescent="0.25">
      <c r="A462" s="41"/>
      <c r="C462" s="41"/>
      <c r="E462" s="1" t="str">
        <f>MID(A462,1,2)</f>
        <v/>
      </c>
      <c r="F462" s="1" t="str">
        <f>MID(C462,3,2)</f>
        <v/>
      </c>
      <c r="G462" s="1" t="str">
        <f>CONCATENATE(K462,M462)</f>
        <v/>
      </c>
      <c r="H462" s="1" t="e">
        <f>VLOOKUP(K462,$W$23:$AN$40,MATCH(L462,$W$23:$AN$23,0),FALSE)</f>
        <v>#N/A</v>
      </c>
      <c r="I462" s="1" t="e">
        <f>VLOOKUP(L462,$W$23:$AN$40,MATCH(M462,$W$23:$AN$23,0),FALSE)</f>
        <v>#N/A</v>
      </c>
      <c r="J462" s="1" t="e">
        <f>VLOOKUP(K462,$W$23:$AN$40,MATCH(M462,$W$23:$AN$23,0),FALSE)</f>
        <v>#N/A</v>
      </c>
      <c r="K462" s="1" t="str">
        <f>MID(A462,1,1)</f>
        <v/>
      </c>
      <c r="L462" s="1" t="str">
        <f>MID(A462,2,1)</f>
        <v/>
      </c>
      <c r="M462" s="1" t="str">
        <f>MID(A462,4,1)</f>
        <v/>
      </c>
      <c r="N462" s="1" t="e">
        <f>VLOOKUP(K462,$W:$X,2,0)</f>
        <v>#N/A</v>
      </c>
      <c r="O462" s="1" t="e">
        <f>VLOOKUP(L462,$Z:$AA,2,0)</f>
        <v>#N/A</v>
      </c>
      <c r="P462" s="1" t="e">
        <f>VLOOKUP(M462,$AC:$AD,2,0)</f>
        <v>#N/A</v>
      </c>
      <c r="Q462" s="1">
        <f>IF(A462&lt;&gt;"",P462+O462+N462+H462+I462+J462,0)</f>
        <v>0</v>
      </c>
    </row>
    <row r="463" spans="1:17" x14ac:dyDescent="0.25">
      <c r="A463" s="41"/>
      <c r="C463" s="41"/>
      <c r="E463" s="1" t="str">
        <f>MID(A463,1,2)</f>
        <v/>
      </c>
      <c r="F463" s="1" t="str">
        <f>MID(C463,3,2)</f>
        <v/>
      </c>
      <c r="G463" s="1" t="str">
        <f>CONCATENATE(K463,M463)</f>
        <v/>
      </c>
      <c r="H463" s="1" t="e">
        <f>VLOOKUP(K463,$W$23:$AN$40,MATCH(L463,$W$23:$AN$23,0),FALSE)</f>
        <v>#N/A</v>
      </c>
      <c r="I463" s="1" t="e">
        <f>VLOOKUP(L463,$W$23:$AN$40,MATCH(M463,$W$23:$AN$23,0),FALSE)</f>
        <v>#N/A</v>
      </c>
      <c r="J463" s="1" t="e">
        <f>VLOOKUP(K463,$W$23:$AN$40,MATCH(M463,$W$23:$AN$23,0),FALSE)</f>
        <v>#N/A</v>
      </c>
      <c r="K463" s="1" t="str">
        <f>MID(A463,1,1)</f>
        <v/>
      </c>
      <c r="L463" s="1" t="str">
        <f>MID(A463,2,1)</f>
        <v/>
      </c>
      <c r="M463" s="1" t="str">
        <f>MID(A463,4,1)</f>
        <v/>
      </c>
      <c r="N463" s="1" t="e">
        <f>VLOOKUP(K463,$W:$X,2,0)</f>
        <v>#N/A</v>
      </c>
      <c r="O463" s="1" t="e">
        <f>VLOOKUP(L463,$Z:$AA,2,0)</f>
        <v>#N/A</v>
      </c>
      <c r="P463" s="1" t="e">
        <f>VLOOKUP(M463,$AC:$AD,2,0)</f>
        <v>#N/A</v>
      </c>
      <c r="Q463" s="1">
        <f>IF(A463&lt;&gt;"",P463+O463+N463+H463+I463+J463,0)</f>
        <v>0</v>
      </c>
    </row>
    <row r="464" spans="1:17" x14ac:dyDescent="0.25">
      <c r="A464" s="41"/>
      <c r="C464" s="41"/>
      <c r="E464" s="1" t="str">
        <f>MID(A464,1,2)</f>
        <v/>
      </c>
      <c r="F464" s="1" t="str">
        <f>MID(C464,3,2)</f>
        <v/>
      </c>
      <c r="G464" s="1" t="str">
        <f>CONCATENATE(K464,M464)</f>
        <v/>
      </c>
      <c r="H464" s="1" t="e">
        <f>VLOOKUP(K464,$W$23:$AN$40,MATCH(L464,$W$23:$AN$23,0),FALSE)</f>
        <v>#N/A</v>
      </c>
      <c r="I464" s="1" t="e">
        <f>VLOOKUP(L464,$W$23:$AN$40,MATCH(M464,$W$23:$AN$23,0),FALSE)</f>
        <v>#N/A</v>
      </c>
      <c r="J464" s="1" t="e">
        <f>VLOOKUP(K464,$W$23:$AN$40,MATCH(M464,$W$23:$AN$23,0),FALSE)</f>
        <v>#N/A</v>
      </c>
      <c r="K464" s="1" t="str">
        <f>MID(A464,1,1)</f>
        <v/>
      </c>
      <c r="L464" s="1" t="str">
        <f>MID(A464,2,1)</f>
        <v/>
      </c>
      <c r="M464" s="1" t="str">
        <f>MID(A464,4,1)</f>
        <v/>
      </c>
      <c r="N464" s="1" t="e">
        <f>VLOOKUP(K464,$W:$X,2,0)</f>
        <v>#N/A</v>
      </c>
      <c r="O464" s="1" t="e">
        <f>VLOOKUP(L464,$Z:$AA,2,0)</f>
        <v>#N/A</v>
      </c>
      <c r="P464" s="1" t="e">
        <f>VLOOKUP(M464,$AC:$AD,2,0)</f>
        <v>#N/A</v>
      </c>
      <c r="Q464" s="1">
        <f>IF(A464&lt;&gt;"",P464+O464+N464+H464+I464+J464,0)</f>
        <v>0</v>
      </c>
    </row>
    <row r="465" spans="1:17" x14ac:dyDescent="0.25">
      <c r="A465" s="41"/>
      <c r="C465" s="41"/>
      <c r="E465" s="1" t="str">
        <f>MID(A465,1,2)</f>
        <v/>
      </c>
      <c r="F465" s="1" t="str">
        <f>MID(C465,3,2)</f>
        <v/>
      </c>
      <c r="G465" s="1" t="str">
        <f>CONCATENATE(K465,M465)</f>
        <v/>
      </c>
      <c r="H465" s="1" t="e">
        <f>VLOOKUP(K465,$W$23:$AN$40,MATCH(L465,$W$23:$AN$23,0),FALSE)</f>
        <v>#N/A</v>
      </c>
      <c r="I465" s="1" t="e">
        <f>VLOOKUP(L465,$W$23:$AN$40,MATCH(M465,$W$23:$AN$23,0),FALSE)</f>
        <v>#N/A</v>
      </c>
      <c r="J465" s="1" t="e">
        <f>VLOOKUP(K465,$W$23:$AN$40,MATCH(M465,$W$23:$AN$23,0),FALSE)</f>
        <v>#N/A</v>
      </c>
      <c r="K465" s="1" t="str">
        <f>MID(A465,1,1)</f>
        <v/>
      </c>
      <c r="L465" s="1" t="str">
        <f>MID(A465,2,1)</f>
        <v/>
      </c>
      <c r="M465" s="1" t="str">
        <f>MID(A465,4,1)</f>
        <v/>
      </c>
      <c r="N465" s="1" t="e">
        <f>VLOOKUP(K465,$W:$X,2,0)</f>
        <v>#N/A</v>
      </c>
      <c r="O465" s="1" t="e">
        <f>VLOOKUP(L465,$Z:$AA,2,0)</f>
        <v>#N/A</v>
      </c>
      <c r="P465" s="1" t="e">
        <f>VLOOKUP(M465,$AC:$AD,2,0)</f>
        <v>#N/A</v>
      </c>
      <c r="Q465" s="1">
        <f>IF(A465&lt;&gt;"",P465+O465+N465+H465+I465+J465,0)</f>
        <v>0</v>
      </c>
    </row>
    <row r="466" spans="1:17" x14ac:dyDescent="0.25">
      <c r="A466" s="41"/>
      <c r="C466" s="41"/>
      <c r="E466" s="1" t="str">
        <f>MID(A466,1,2)</f>
        <v/>
      </c>
      <c r="F466" s="1" t="str">
        <f>MID(C466,3,2)</f>
        <v/>
      </c>
      <c r="G466" s="1" t="str">
        <f>CONCATENATE(K466,M466)</f>
        <v/>
      </c>
      <c r="H466" s="1" t="e">
        <f>VLOOKUP(K466,$W$23:$AN$40,MATCH(L466,$W$23:$AN$23,0),FALSE)</f>
        <v>#N/A</v>
      </c>
      <c r="I466" s="1" t="e">
        <f>VLOOKUP(L466,$W$23:$AN$40,MATCH(M466,$W$23:$AN$23,0),FALSE)</f>
        <v>#N/A</v>
      </c>
      <c r="J466" s="1" t="e">
        <f>VLOOKUP(K466,$W$23:$AN$40,MATCH(M466,$W$23:$AN$23,0),FALSE)</f>
        <v>#N/A</v>
      </c>
      <c r="K466" s="1" t="str">
        <f>MID(A466,1,1)</f>
        <v/>
      </c>
      <c r="L466" s="1" t="str">
        <f>MID(A466,2,1)</f>
        <v/>
      </c>
      <c r="M466" s="1" t="str">
        <f>MID(A466,4,1)</f>
        <v/>
      </c>
      <c r="N466" s="1" t="e">
        <f>VLOOKUP(K466,$W:$X,2,0)</f>
        <v>#N/A</v>
      </c>
      <c r="O466" s="1" t="e">
        <f>VLOOKUP(L466,$Z:$AA,2,0)</f>
        <v>#N/A</v>
      </c>
      <c r="P466" s="1" t="e">
        <f>VLOOKUP(M466,$AC:$AD,2,0)</f>
        <v>#N/A</v>
      </c>
      <c r="Q466" s="1">
        <f>IF(A466&lt;&gt;"",P466+O466+N466+H466+I466+J466,0)</f>
        <v>0</v>
      </c>
    </row>
    <row r="467" spans="1:17" x14ac:dyDescent="0.25">
      <c r="A467" s="41"/>
      <c r="C467" s="41"/>
      <c r="E467" s="1" t="str">
        <f>MID(A467,1,2)</f>
        <v/>
      </c>
      <c r="F467" s="1" t="str">
        <f>MID(C467,3,2)</f>
        <v/>
      </c>
      <c r="G467" s="1" t="str">
        <f>CONCATENATE(K467,M467)</f>
        <v/>
      </c>
      <c r="H467" s="1" t="e">
        <f>VLOOKUP(K467,$W$23:$AN$40,MATCH(L467,$W$23:$AN$23,0),FALSE)</f>
        <v>#N/A</v>
      </c>
      <c r="I467" s="1" t="e">
        <f>VLOOKUP(L467,$W$23:$AN$40,MATCH(M467,$W$23:$AN$23,0),FALSE)</f>
        <v>#N/A</v>
      </c>
      <c r="J467" s="1" t="e">
        <f>VLOOKUP(K467,$W$23:$AN$40,MATCH(M467,$W$23:$AN$23,0),FALSE)</f>
        <v>#N/A</v>
      </c>
      <c r="K467" s="1" t="str">
        <f>MID(A467,1,1)</f>
        <v/>
      </c>
      <c r="L467" s="1" t="str">
        <f>MID(A467,2,1)</f>
        <v/>
      </c>
      <c r="M467" s="1" t="str">
        <f>MID(A467,4,1)</f>
        <v/>
      </c>
      <c r="N467" s="1" t="e">
        <f>VLOOKUP(K467,$W:$X,2,0)</f>
        <v>#N/A</v>
      </c>
      <c r="O467" s="1" t="e">
        <f>VLOOKUP(L467,$Z:$AA,2,0)</f>
        <v>#N/A</v>
      </c>
      <c r="P467" s="1" t="e">
        <f>VLOOKUP(M467,$AC:$AD,2,0)</f>
        <v>#N/A</v>
      </c>
      <c r="Q467" s="1">
        <f>IF(A467&lt;&gt;"",P467+O467+N467+H467+I467+J467,0)</f>
        <v>0</v>
      </c>
    </row>
    <row r="468" spans="1:17" x14ac:dyDescent="0.25">
      <c r="A468" s="41"/>
      <c r="C468" s="41"/>
      <c r="E468" s="1" t="str">
        <f>MID(A468,1,2)</f>
        <v/>
      </c>
      <c r="F468" s="1" t="str">
        <f>MID(C468,3,2)</f>
        <v/>
      </c>
      <c r="G468" s="1" t="str">
        <f>CONCATENATE(K468,M468)</f>
        <v/>
      </c>
      <c r="H468" s="1" t="e">
        <f>VLOOKUP(K468,$W$23:$AN$40,MATCH(L468,$W$23:$AN$23,0),FALSE)</f>
        <v>#N/A</v>
      </c>
      <c r="I468" s="1" t="e">
        <f>VLOOKUP(L468,$W$23:$AN$40,MATCH(M468,$W$23:$AN$23,0),FALSE)</f>
        <v>#N/A</v>
      </c>
      <c r="J468" s="1" t="e">
        <f>VLOOKUP(K468,$W$23:$AN$40,MATCH(M468,$W$23:$AN$23,0),FALSE)</f>
        <v>#N/A</v>
      </c>
      <c r="K468" s="1" t="str">
        <f>MID(A468,1,1)</f>
        <v/>
      </c>
      <c r="L468" s="1" t="str">
        <f>MID(A468,2,1)</f>
        <v/>
      </c>
      <c r="M468" s="1" t="str">
        <f>MID(A468,4,1)</f>
        <v/>
      </c>
      <c r="N468" s="1" t="e">
        <f>VLOOKUP(K468,$W:$X,2,0)</f>
        <v>#N/A</v>
      </c>
      <c r="O468" s="1" t="e">
        <f>VLOOKUP(L468,$Z:$AA,2,0)</f>
        <v>#N/A</v>
      </c>
      <c r="P468" s="1" t="e">
        <f>VLOOKUP(M468,$AC:$AD,2,0)</f>
        <v>#N/A</v>
      </c>
      <c r="Q468" s="1">
        <f>IF(A468&lt;&gt;"",P468+O468+N468+H468+I468+J468,0)</f>
        <v>0</v>
      </c>
    </row>
    <row r="469" spans="1:17" x14ac:dyDescent="0.25">
      <c r="A469" s="41"/>
      <c r="C469" s="41"/>
      <c r="E469" s="1" t="str">
        <f>MID(A469,1,2)</f>
        <v/>
      </c>
      <c r="F469" s="1" t="str">
        <f>MID(C469,3,2)</f>
        <v/>
      </c>
      <c r="G469" s="1" t="str">
        <f>CONCATENATE(K469,M469)</f>
        <v/>
      </c>
      <c r="H469" s="1" t="e">
        <f>VLOOKUP(K469,$W$23:$AN$40,MATCH(L469,$W$23:$AN$23,0),FALSE)</f>
        <v>#N/A</v>
      </c>
      <c r="I469" s="1" t="e">
        <f>VLOOKUP(L469,$W$23:$AN$40,MATCH(M469,$W$23:$AN$23,0),FALSE)</f>
        <v>#N/A</v>
      </c>
      <c r="J469" s="1" t="e">
        <f>VLOOKUP(K469,$W$23:$AN$40,MATCH(M469,$W$23:$AN$23,0),FALSE)</f>
        <v>#N/A</v>
      </c>
      <c r="K469" s="1" t="str">
        <f>MID(A469,1,1)</f>
        <v/>
      </c>
      <c r="L469" s="1" t="str">
        <f>MID(A469,2,1)</f>
        <v/>
      </c>
      <c r="M469" s="1" t="str">
        <f>MID(A469,4,1)</f>
        <v/>
      </c>
      <c r="N469" s="1" t="e">
        <f>VLOOKUP(K469,$W:$X,2,0)</f>
        <v>#N/A</v>
      </c>
      <c r="O469" s="1" t="e">
        <f>VLOOKUP(L469,$Z:$AA,2,0)</f>
        <v>#N/A</v>
      </c>
      <c r="P469" s="1" t="e">
        <f>VLOOKUP(M469,$AC:$AD,2,0)</f>
        <v>#N/A</v>
      </c>
      <c r="Q469" s="1">
        <f>IF(A469&lt;&gt;"",P469+O469+N469+H469+I469+J469,0)</f>
        <v>0</v>
      </c>
    </row>
    <row r="470" spans="1:17" x14ac:dyDescent="0.25">
      <c r="A470" s="41"/>
      <c r="C470" s="41"/>
      <c r="E470" s="1" t="str">
        <f>MID(A470,1,2)</f>
        <v/>
      </c>
      <c r="F470" s="1" t="str">
        <f>MID(C470,3,2)</f>
        <v/>
      </c>
      <c r="G470" s="1" t="str">
        <f>CONCATENATE(K470,M470)</f>
        <v/>
      </c>
      <c r="H470" s="1" t="e">
        <f>VLOOKUP(K470,$W$23:$AN$40,MATCH(L470,$W$23:$AN$23,0),FALSE)</f>
        <v>#N/A</v>
      </c>
      <c r="I470" s="1" t="e">
        <f>VLOOKUP(L470,$W$23:$AN$40,MATCH(M470,$W$23:$AN$23,0),FALSE)</f>
        <v>#N/A</v>
      </c>
      <c r="J470" s="1" t="e">
        <f>VLOOKUP(K470,$W$23:$AN$40,MATCH(M470,$W$23:$AN$23,0),FALSE)</f>
        <v>#N/A</v>
      </c>
      <c r="K470" s="1" t="str">
        <f>MID(A470,1,1)</f>
        <v/>
      </c>
      <c r="L470" s="1" t="str">
        <f>MID(A470,2,1)</f>
        <v/>
      </c>
      <c r="M470" s="1" t="str">
        <f>MID(A470,4,1)</f>
        <v/>
      </c>
      <c r="N470" s="1" t="e">
        <f>VLOOKUP(K470,$W:$X,2,0)</f>
        <v>#N/A</v>
      </c>
      <c r="O470" s="1" t="e">
        <f>VLOOKUP(L470,$Z:$AA,2,0)</f>
        <v>#N/A</v>
      </c>
      <c r="P470" s="1" t="e">
        <f>VLOOKUP(M470,$AC:$AD,2,0)</f>
        <v>#N/A</v>
      </c>
      <c r="Q470" s="1">
        <f>IF(A470&lt;&gt;"",P470+O470+N470+H470+I470+J470,0)</f>
        <v>0</v>
      </c>
    </row>
    <row r="471" spans="1:17" x14ac:dyDescent="0.25">
      <c r="A471" s="41"/>
      <c r="C471" s="41"/>
      <c r="E471" s="1" t="str">
        <f>MID(A471,1,2)</f>
        <v/>
      </c>
      <c r="F471" s="1" t="str">
        <f>MID(C471,3,2)</f>
        <v/>
      </c>
      <c r="G471" s="1" t="str">
        <f>CONCATENATE(K471,M471)</f>
        <v/>
      </c>
      <c r="H471" s="1" t="e">
        <f>VLOOKUP(K471,$W$23:$AN$40,MATCH(L471,$W$23:$AN$23,0),FALSE)</f>
        <v>#N/A</v>
      </c>
      <c r="I471" s="1" t="e">
        <f>VLOOKUP(L471,$W$23:$AN$40,MATCH(M471,$W$23:$AN$23,0),FALSE)</f>
        <v>#N/A</v>
      </c>
      <c r="J471" s="1" t="e">
        <f>VLOOKUP(K471,$W$23:$AN$40,MATCH(M471,$W$23:$AN$23,0),FALSE)</f>
        <v>#N/A</v>
      </c>
      <c r="K471" s="1" t="str">
        <f>MID(A471,1,1)</f>
        <v/>
      </c>
      <c r="L471" s="1" t="str">
        <f>MID(A471,2,1)</f>
        <v/>
      </c>
      <c r="M471" s="1" t="str">
        <f>MID(A471,4,1)</f>
        <v/>
      </c>
      <c r="N471" s="1" t="e">
        <f>VLOOKUP(K471,$W:$X,2,0)</f>
        <v>#N/A</v>
      </c>
      <c r="O471" s="1" t="e">
        <f>VLOOKUP(L471,$Z:$AA,2,0)</f>
        <v>#N/A</v>
      </c>
      <c r="P471" s="1" t="e">
        <f>VLOOKUP(M471,$AC:$AD,2,0)</f>
        <v>#N/A</v>
      </c>
      <c r="Q471" s="1">
        <f>IF(A471&lt;&gt;"",P471+O471+N471+H471+I471+J471,0)</f>
        <v>0</v>
      </c>
    </row>
    <row r="472" spans="1:17" x14ac:dyDescent="0.25">
      <c r="A472" s="41"/>
      <c r="C472" s="41"/>
      <c r="E472" s="1" t="str">
        <f>MID(A472,1,2)</f>
        <v/>
      </c>
      <c r="F472" s="1" t="str">
        <f>MID(C472,3,2)</f>
        <v/>
      </c>
      <c r="G472" s="1" t="str">
        <f>CONCATENATE(K472,M472)</f>
        <v/>
      </c>
      <c r="H472" s="1" t="e">
        <f>VLOOKUP(K472,$W$23:$AN$40,MATCH(L472,$W$23:$AN$23,0),FALSE)</f>
        <v>#N/A</v>
      </c>
      <c r="I472" s="1" t="e">
        <f>VLOOKUP(L472,$W$23:$AN$40,MATCH(M472,$W$23:$AN$23,0),FALSE)</f>
        <v>#N/A</v>
      </c>
      <c r="J472" s="1" t="e">
        <f>VLOOKUP(K472,$W$23:$AN$40,MATCH(M472,$W$23:$AN$23,0),FALSE)</f>
        <v>#N/A</v>
      </c>
      <c r="K472" s="1" t="str">
        <f>MID(A472,1,1)</f>
        <v/>
      </c>
      <c r="L472" s="1" t="str">
        <f>MID(A472,2,1)</f>
        <v/>
      </c>
      <c r="M472" s="1" t="str">
        <f>MID(A472,4,1)</f>
        <v/>
      </c>
      <c r="N472" s="1" t="e">
        <f>VLOOKUP(K472,$W:$X,2,0)</f>
        <v>#N/A</v>
      </c>
      <c r="O472" s="1" t="e">
        <f>VLOOKUP(L472,$Z:$AA,2,0)</f>
        <v>#N/A</v>
      </c>
      <c r="P472" s="1" t="e">
        <f>VLOOKUP(M472,$AC:$AD,2,0)</f>
        <v>#N/A</v>
      </c>
      <c r="Q472" s="1">
        <f>IF(A472&lt;&gt;"",P472+O472+N472+H472+I472+J472,0)</f>
        <v>0</v>
      </c>
    </row>
    <row r="473" spans="1:17" x14ac:dyDescent="0.25">
      <c r="A473" s="41"/>
      <c r="C473" s="41"/>
      <c r="E473" s="1" t="str">
        <f>MID(A473,1,2)</f>
        <v/>
      </c>
      <c r="F473" s="1" t="str">
        <f>MID(C473,3,2)</f>
        <v/>
      </c>
      <c r="G473" s="1" t="str">
        <f>CONCATENATE(K473,M473)</f>
        <v/>
      </c>
      <c r="H473" s="1" t="e">
        <f>VLOOKUP(K473,$W$23:$AN$40,MATCH(L473,$W$23:$AN$23,0),FALSE)</f>
        <v>#N/A</v>
      </c>
      <c r="I473" s="1" t="e">
        <f>VLOOKUP(L473,$W$23:$AN$40,MATCH(M473,$W$23:$AN$23,0),FALSE)</f>
        <v>#N/A</v>
      </c>
      <c r="J473" s="1" t="e">
        <f>VLOOKUP(K473,$W$23:$AN$40,MATCH(M473,$W$23:$AN$23,0),FALSE)</f>
        <v>#N/A</v>
      </c>
      <c r="K473" s="1" t="str">
        <f>MID(A473,1,1)</f>
        <v/>
      </c>
      <c r="L473" s="1" t="str">
        <f>MID(A473,2,1)</f>
        <v/>
      </c>
      <c r="M473" s="1" t="str">
        <f>MID(A473,4,1)</f>
        <v/>
      </c>
      <c r="N473" s="1" t="e">
        <f>VLOOKUP(K473,$W:$X,2,0)</f>
        <v>#N/A</v>
      </c>
      <c r="O473" s="1" t="e">
        <f>VLOOKUP(L473,$Z:$AA,2,0)</f>
        <v>#N/A</v>
      </c>
      <c r="P473" s="1" t="e">
        <f>VLOOKUP(M473,$AC:$AD,2,0)</f>
        <v>#N/A</v>
      </c>
      <c r="Q473" s="1">
        <f>IF(A473&lt;&gt;"",P473+O473+N473+H473+I473+J473,0)</f>
        <v>0</v>
      </c>
    </row>
    <row r="474" spans="1:17" x14ac:dyDescent="0.25">
      <c r="A474" s="41"/>
      <c r="C474" s="41"/>
      <c r="E474" s="1" t="str">
        <f>MID(A474,1,2)</f>
        <v/>
      </c>
      <c r="F474" s="1" t="str">
        <f>MID(C474,3,2)</f>
        <v/>
      </c>
      <c r="G474" s="1" t="str">
        <f>CONCATENATE(K474,M474)</f>
        <v/>
      </c>
      <c r="H474" s="1" t="e">
        <f>VLOOKUP(K474,$W$23:$AN$40,MATCH(L474,$W$23:$AN$23,0),FALSE)</f>
        <v>#N/A</v>
      </c>
      <c r="I474" s="1" t="e">
        <f>VLOOKUP(L474,$W$23:$AN$40,MATCH(M474,$W$23:$AN$23,0),FALSE)</f>
        <v>#N/A</v>
      </c>
      <c r="J474" s="1" t="e">
        <f>VLOOKUP(K474,$W$23:$AN$40,MATCH(M474,$W$23:$AN$23,0),FALSE)</f>
        <v>#N/A</v>
      </c>
      <c r="K474" s="1" t="str">
        <f>MID(A474,1,1)</f>
        <v/>
      </c>
      <c r="L474" s="1" t="str">
        <f>MID(A474,2,1)</f>
        <v/>
      </c>
      <c r="M474" s="1" t="str">
        <f>MID(A474,4,1)</f>
        <v/>
      </c>
      <c r="N474" s="1" t="e">
        <f>VLOOKUP(K474,$W:$X,2,0)</f>
        <v>#N/A</v>
      </c>
      <c r="O474" s="1" t="e">
        <f>VLOOKUP(L474,$Z:$AA,2,0)</f>
        <v>#N/A</v>
      </c>
      <c r="P474" s="1" t="e">
        <f>VLOOKUP(M474,$AC:$AD,2,0)</f>
        <v>#N/A</v>
      </c>
      <c r="Q474" s="1">
        <f>IF(A474&lt;&gt;"",P474+O474+N474+H474+I474+J474,0)</f>
        <v>0</v>
      </c>
    </row>
    <row r="475" spans="1:17" x14ac:dyDescent="0.25">
      <c r="A475" s="41"/>
      <c r="C475" s="41"/>
      <c r="E475" s="1" t="str">
        <f>MID(A475,1,2)</f>
        <v/>
      </c>
      <c r="F475" s="1" t="str">
        <f>MID(C475,3,2)</f>
        <v/>
      </c>
      <c r="G475" s="1" t="str">
        <f>CONCATENATE(K475,M475)</f>
        <v/>
      </c>
      <c r="H475" s="1" t="e">
        <f>VLOOKUP(K475,$W$23:$AN$40,MATCH(L475,$W$23:$AN$23,0),FALSE)</f>
        <v>#N/A</v>
      </c>
      <c r="I475" s="1" t="e">
        <f>VLOOKUP(L475,$W$23:$AN$40,MATCH(M475,$W$23:$AN$23,0),FALSE)</f>
        <v>#N/A</v>
      </c>
      <c r="J475" s="1" t="e">
        <f>VLOOKUP(K475,$W$23:$AN$40,MATCH(M475,$W$23:$AN$23,0),FALSE)</f>
        <v>#N/A</v>
      </c>
      <c r="K475" s="1" t="str">
        <f>MID(A475,1,1)</f>
        <v/>
      </c>
      <c r="L475" s="1" t="str">
        <f>MID(A475,2,1)</f>
        <v/>
      </c>
      <c r="M475" s="1" t="str">
        <f>MID(A475,4,1)</f>
        <v/>
      </c>
      <c r="N475" s="1" t="e">
        <f>VLOOKUP(K475,$W:$X,2,0)</f>
        <v>#N/A</v>
      </c>
      <c r="O475" s="1" t="e">
        <f>VLOOKUP(L475,$Z:$AA,2,0)</f>
        <v>#N/A</v>
      </c>
      <c r="P475" s="1" t="e">
        <f>VLOOKUP(M475,$AC:$AD,2,0)</f>
        <v>#N/A</v>
      </c>
      <c r="Q475" s="1">
        <f>IF(A475&lt;&gt;"",P475+O475+N475+H475+I475+J475,0)</f>
        <v>0</v>
      </c>
    </row>
    <row r="476" spans="1:17" x14ac:dyDescent="0.25">
      <c r="A476" s="41"/>
      <c r="C476" s="41"/>
      <c r="E476" s="1" t="str">
        <f>MID(A476,1,2)</f>
        <v/>
      </c>
      <c r="F476" s="1" t="str">
        <f>MID(C476,3,2)</f>
        <v/>
      </c>
      <c r="G476" s="1" t="str">
        <f>CONCATENATE(K476,M476)</f>
        <v/>
      </c>
      <c r="H476" s="1" t="e">
        <f>VLOOKUP(K476,$W$23:$AN$40,MATCH(L476,$W$23:$AN$23,0),FALSE)</f>
        <v>#N/A</v>
      </c>
      <c r="I476" s="1" t="e">
        <f>VLOOKUP(L476,$W$23:$AN$40,MATCH(M476,$W$23:$AN$23,0),FALSE)</f>
        <v>#N/A</v>
      </c>
      <c r="J476" s="1" t="e">
        <f>VLOOKUP(K476,$W$23:$AN$40,MATCH(M476,$W$23:$AN$23,0),FALSE)</f>
        <v>#N/A</v>
      </c>
      <c r="K476" s="1" t="str">
        <f>MID(A476,1,1)</f>
        <v/>
      </c>
      <c r="L476" s="1" t="str">
        <f>MID(A476,2,1)</f>
        <v/>
      </c>
      <c r="M476" s="1" t="str">
        <f>MID(A476,4,1)</f>
        <v/>
      </c>
      <c r="N476" s="1" t="e">
        <f>VLOOKUP(K476,$W:$X,2,0)</f>
        <v>#N/A</v>
      </c>
      <c r="O476" s="1" t="e">
        <f>VLOOKUP(L476,$Z:$AA,2,0)</f>
        <v>#N/A</v>
      </c>
      <c r="P476" s="1" t="e">
        <f>VLOOKUP(M476,$AC:$AD,2,0)</f>
        <v>#N/A</v>
      </c>
      <c r="Q476" s="1">
        <f>IF(A476&lt;&gt;"",P476+O476+N476+H476+I476+J476,0)</f>
        <v>0</v>
      </c>
    </row>
    <row r="477" spans="1:17" x14ac:dyDescent="0.25">
      <c r="A477" s="41"/>
      <c r="C477" s="41"/>
      <c r="E477" s="1" t="str">
        <f>MID(A477,1,2)</f>
        <v/>
      </c>
      <c r="F477" s="1" t="str">
        <f>MID(C477,3,2)</f>
        <v/>
      </c>
      <c r="G477" s="1" t="str">
        <f>CONCATENATE(K477,M477)</f>
        <v/>
      </c>
      <c r="H477" s="1" t="e">
        <f>VLOOKUP(K477,$W$23:$AN$40,MATCH(L477,$W$23:$AN$23,0),FALSE)</f>
        <v>#N/A</v>
      </c>
      <c r="I477" s="1" t="e">
        <f>VLOOKUP(L477,$W$23:$AN$40,MATCH(M477,$W$23:$AN$23,0),FALSE)</f>
        <v>#N/A</v>
      </c>
      <c r="J477" s="1" t="e">
        <f>VLOOKUP(K477,$W$23:$AN$40,MATCH(M477,$W$23:$AN$23,0),FALSE)</f>
        <v>#N/A</v>
      </c>
      <c r="K477" s="1" t="str">
        <f>MID(A477,1,1)</f>
        <v/>
      </c>
      <c r="L477" s="1" t="str">
        <f>MID(A477,2,1)</f>
        <v/>
      </c>
      <c r="M477" s="1" t="str">
        <f>MID(A477,4,1)</f>
        <v/>
      </c>
      <c r="N477" s="1" t="e">
        <f>VLOOKUP(K477,$W:$X,2,0)</f>
        <v>#N/A</v>
      </c>
      <c r="O477" s="1" t="e">
        <f>VLOOKUP(L477,$Z:$AA,2,0)</f>
        <v>#N/A</v>
      </c>
      <c r="P477" s="1" t="e">
        <f>VLOOKUP(M477,$AC:$AD,2,0)</f>
        <v>#N/A</v>
      </c>
      <c r="Q477" s="1">
        <f>IF(A477&lt;&gt;"",P477+O477+N477+H477+I477+J477,0)</f>
        <v>0</v>
      </c>
    </row>
    <row r="478" spans="1:17" x14ac:dyDescent="0.25">
      <c r="A478" s="41"/>
      <c r="C478" s="41"/>
      <c r="E478" s="1" t="str">
        <f>MID(A478,1,2)</f>
        <v/>
      </c>
      <c r="F478" s="1" t="str">
        <f>MID(C478,3,2)</f>
        <v/>
      </c>
      <c r="G478" s="1" t="str">
        <f>CONCATENATE(K478,M478)</f>
        <v/>
      </c>
      <c r="H478" s="1" t="e">
        <f>VLOOKUP(K478,$W$23:$AN$40,MATCH(L478,$W$23:$AN$23,0),FALSE)</f>
        <v>#N/A</v>
      </c>
      <c r="I478" s="1" t="e">
        <f>VLOOKUP(L478,$W$23:$AN$40,MATCH(M478,$W$23:$AN$23,0),FALSE)</f>
        <v>#N/A</v>
      </c>
      <c r="J478" s="1" t="e">
        <f>VLOOKUP(K478,$W$23:$AN$40,MATCH(M478,$W$23:$AN$23,0),FALSE)</f>
        <v>#N/A</v>
      </c>
      <c r="K478" s="1" t="str">
        <f>MID(A478,1,1)</f>
        <v/>
      </c>
      <c r="L478" s="1" t="str">
        <f>MID(A478,2,1)</f>
        <v/>
      </c>
      <c r="M478" s="1" t="str">
        <f>MID(A478,4,1)</f>
        <v/>
      </c>
      <c r="N478" s="1" t="e">
        <f>VLOOKUP(K478,$W:$X,2,0)</f>
        <v>#N/A</v>
      </c>
      <c r="O478" s="1" t="e">
        <f>VLOOKUP(L478,$Z:$AA,2,0)</f>
        <v>#N/A</v>
      </c>
      <c r="P478" s="1" t="e">
        <f>VLOOKUP(M478,$AC:$AD,2,0)</f>
        <v>#N/A</v>
      </c>
      <c r="Q478" s="1">
        <f>IF(A478&lt;&gt;"",P478+O478+N478+H478+I478+J478,0)</f>
        <v>0</v>
      </c>
    </row>
    <row r="479" spans="1:17" x14ac:dyDescent="0.25">
      <c r="A479" s="41"/>
      <c r="C479" s="41"/>
      <c r="E479" s="1" t="str">
        <f>MID(A479,1,2)</f>
        <v/>
      </c>
      <c r="F479" s="1" t="str">
        <f>MID(C479,3,2)</f>
        <v/>
      </c>
      <c r="G479" s="1" t="str">
        <f>CONCATENATE(K479,M479)</f>
        <v/>
      </c>
      <c r="H479" s="1" t="e">
        <f>VLOOKUP(K479,$W$23:$AN$40,MATCH(L479,$W$23:$AN$23,0),FALSE)</f>
        <v>#N/A</v>
      </c>
      <c r="I479" s="1" t="e">
        <f>VLOOKUP(L479,$W$23:$AN$40,MATCH(M479,$W$23:$AN$23,0),FALSE)</f>
        <v>#N/A</v>
      </c>
      <c r="J479" s="1" t="e">
        <f>VLOOKUP(K479,$W$23:$AN$40,MATCH(M479,$W$23:$AN$23,0),FALSE)</f>
        <v>#N/A</v>
      </c>
      <c r="K479" s="1" t="str">
        <f>MID(A479,1,1)</f>
        <v/>
      </c>
      <c r="L479" s="1" t="str">
        <f>MID(A479,2,1)</f>
        <v/>
      </c>
      <c r="M479" s="1" t="str">
        <f>MID(A479,4,1)</f>
        <v/>
      </c>
      <c r="N479" s="1" t="e">
        <f>VLOOKUP(K479,$W:$X,2,0)</f>
        <v>#N/A</v>
      </c>
      <c r="O479" s="1" t="e">
        <f>VLOOKUP(L479,$Z:$AA,2,0)</f>
        <v>#N/A</v>
      </c>
      <c r="P479" s="1" t="e">
        <f>VLOOKUP(M479,$AC:$AD,2,0)</f>
        <v>#N/A</v>
      </c>
      <c r="Q479" s="1">
        <f>IF(A479&lt;&gt;"",P479+O479+N479+H479+I479+J479,0)</f>
        <v>0</v>
      </c>
    </row>
    <row r="480" spans="1:17" x14ac:dyDescent="0.25">
      <c r="A480" s="41"/>
      <c r="C480" s="41"/>
      <c r="E480" s="1" t="str">
        <f>MID(A480,1,2)</f>
        <v/>
      </c>
      <c r="F480" s="1" t="str">
        <f>MID(C480,3,2)</f>
        <v/>
      </c>
      <c r="G480" s="1" t="str">
        <f>CONCATENATE(K480,M480)</f>
        <v/>
      </c>
      <c r="H480" s="1" t="e">
        <f>VLOOKUP(K480,$W$23:$AN$40,MATCH(L480,$W$23:$AN$23,0),FALSE)</f>
        <v>#N/A</v>
      </c>
      <c r="I480" s="1" t="e">
        <f>VLOOKUP(L480,$W$23:$AN$40,MATCH(M480,$W$23:$AN$23,0),FALSE)</f>
        <v>#N/A</v>
      </c>
      <c r="J480" s="1" t="e">
        <f>VLOOKUP(K480,$W$23:$AN$40,MATCH(M480,$W$23:$AN$23,0),FALSE)</f>
        <v>#N/A</v>
      </c>
      <c r="K480" s="1" t="str">
        <f>MID(A480,1,1)</f>
        <v/>
      </c>
      <c r="L480" s="1" t="str">
        <f>MID(A480,2,1)</f>
        <v/>
      </c>
      <c r="M480" s="1" t="str">
        <f>MID(A480,4,1)</f>
        <v/>
      </c>
      <c r="N480" s="1" t="e">
        <f>VLOOKUP(K480,$W:$X,2,0)</f>
        <v>#N/A</v>
      </c>
      <c r="O480" s="1" t="e">
        <f>VLOOKUP(L480,$Z:$AA,2,0)</f>
        <v>#N/A</v>
      </c>
      <c r="P480" s="1" t="e">
        <f>VLOOKUP(M480,$AC:$AD,2,0)</f>
        <v>#N/A</v>
      </c>
      <c r="Q480" s="1">
        <f>IF(A480&lt;&gt;"",P480+O480+N480+H480+I480+J480,0)</f>
        <v>0</v>
      </c>
    </row>
    <row r="481" spans="1:17" x14ac:dyDescent="0.25">
      <c r="A481" s="41"/>
      <c r="C481" s="41"/>
      <c r="E481" s="1" t="str">
        <f>MID(A481,1,2)</f>
        <v/>
      </c>
      <c r="F481" s="1" t="str">
        <f>MID(C481,3,2)</f>
        <v/>
      </c>
      <c r="G481" s="1" t="str">
        <f>CONCATENATE(K481,M481)</f>
        <v/>
      </c>
      <c r="H481" s="1" t="e">
        <f>VLOOKUP(K481,$W$23:$AN$40,MATCH(L481,$W$23:$AN$23,0),FALSE)</f>
        <v>#N/A</v>
      </c>
      <c r="I481" s="1" t="e">
        <f>VLOOKUP(L481,$W$23:$AN$40,MATCH(M481,$W$23:$AN$23,0),FALSE)</f>
        <v>#N/A</v>
      </c>
      <c r="J481" s="1" t="e">
        <f>VLOOKUP(K481,$W$23:$AN$40,MATCH(M481,$W$23:$AN$23,0),FALSE)</f>
        <v>#N/A</v>
      </c>
      <c r="K481" s="1" t="str">
        <f>MID(A481,1,1)</f>
        <v/>
      </c>
      <c r="L481" s="1" t="str">
        <f>MID(A481,2,1)</f>
        <v/>
      </c>
      <c r="M481" s="1" t="str">
        <f>MID(A481,4,1)</f>
        <v/>
      </c>
      <c r="N481" s="1" t="e">
        <f>VLOOKUP(K481,$W:$X,2,0)</f>
        <v>#N/A</v>
      </c>
      <c r="O481" s="1" t="e">
        <f>VLOOKUP(L481,$Z:$AA,2,0)</f>
        <v>#N/A</v>
      </c>
      <c r="P481" s="1" t="e">
        <f>VLOOKUP(M481,$AC:$AD,2,0)</f>
        <v>#N/A</v>
      </c>
      <c r="Q481" s="1">
        <f>IF(A481&lt;&gt;"",P481+O481+N481+H481+I481+J481,0)</f>
        <v>0</v>
      </c>
    </row>
    <row r="482" spans="1:17" x14ac:dyDescent="0.25">
      <c r="A482" s="41"/>
      <c r="C482" s="41"/>
      <c r="E482" s="1" t="str">
        <f>MID(A482,1,2)</f>
        <v/>
      </c>
      <c r="F482" s="1" t="str">
        <f>MID(C482,3,2)</f>
        <v/>
      </c>
      <c r="G482" s="1" t="str">
        <f>CONCATENATE(K482,M482)</f>
        <v/>
      </c>
      <c r="H482" s="1" t="e">
        <f>VLOOKUP(K482,$W$23:$AN$40,MATCH(L482,$W$23:$AN$23,0),FALSE)</f>
        <v>#N/A</v>
      </c>
      <c r="I482" s="1" t="e">
        <f>VLOOKUP(L482,$W$23:$AN$40,MATCH(M482,$W$23:$AN$23,0),FALSE)</f>
        <v>#N/A</v>
      </c>
      <c r="J482" s="1" t="e">
        <f>VLOOKUP(K482,$W$23:$AN$40,MATCH(M482,$W$23:$AN$23,0),FALSE)</f>
        <v>#N/A</v>
      </c>
      <c r="K482" s="1" t="str">
        <f>MID(A482,1,1)</f>
        <v/>
      </c>
      <c r="L482" s="1" t="str">
        <f>MID(A482,2,1)</f>
        <v/>
      </c>
      <c r="M482" s="1" t="str">
        <f>MID(A482,4,1)</f>
        <v/>
      </c>
      <c r="N482" s="1" t="e">
        <f>VLOOKUP(K482,$W:$X,2,0)</f>
        <v>#N/A</v>
      </c>
      <c r="O482" s="1" t="e">
        <f>VLOOKUP(L482,$Z:$AA,2,0)</f>
        <v>#N/A</v>
      </c>
      <c r="P482" s="1" t="e">
        <f>VLOOKUP(M482,$AC:$AD,2,0)</f>
        <v>#N/A</v>
      </c>
      <c r="Q482" s="1">
        <f>IF(A482&lt;&gt;"",P482+O482+N482+H482+I482+J482,0)</f>
        <v>0</v>
      </c>
    </row>
    <row r="483" spans="1:17" x14ac:dyDescent="0.25">
      <c r="A483" s="41"/>
      <c r="C483" s="41"/>
      <c r="E483" s="1" t="str">
        <f>MID(A483,1,2)</f>
        <v/>
      </c>
      <c r="F483" s="1" t="str">
        <f>MID(C483,3,2)</f>
        <v/>
      </c>
      <c r="G483" s="1" t="str">
        <f>CONCATENATE(K483,M483)</f>
        <v/>
      </c>
      <c r="H483" s="1" t="e">
        <f>VLOOKUP(K483,$W$23:$AN$40,MATCH(L483,$W$23:$AN$23,0),FALSE)</f>
        <v>#N/A</v>
      </c>
      <c r="I483" s="1" t="e">
        <f>VLOOKUP(L483,$W$23:$AN$40,MATCH(M483,$W$23:$AN$23,0),FALSE)</f>
        <v>#N/A</v>
      </c>
      <c r="J483" s="1" t="e">
        <f>VLOOKUP(K483,$W$23:$AN$40,MATCH(M483,$W$23:$AN$23,0),FALSE)</f>
        <v>#N/A</v>
      </c>
      <c r="K483" s="1" t="str">
        <f>MID(A483,1,1)</f>
        <v/>
      </c>
      <c r="L483" s="1" t="str">
        <f>MID(A483,2,1)</f>
        <v/>
      </c>
      <c r="M483" s="1" t="str">
        <f>MID(A483,4,1)</f>
        <v/>
      </c>
      <c r="N483" s="1" t="e">
        <f>VLOOKUP(K483,$W:$X,2,0)</f>
        <v>#N/A</v>
      </c>
      <c r="O483" s="1" t="e">
        <f>VLOOKUP(L483,$Z:$AA,2,0)</f>
        <v>#N/A</v>
      </c>
      <c r="P483" s="1" t="e">
        <f>VLOOKUP(M483,$AC:$AD,2,0)</f>
        <v>#N/A</v>
      </c>
      <c r="Q483" s="1">
        <f>IF(A483&lt;&gt;"",P483+O483+N483+H483+I483+J483,0)</f>
        <v>0</v>
      </c>
    </row>
    <row r="484" spans="1:17" x14ac:dyDescent="0.25">
      <c r="A484" s="41"/>
      <c r="C484" s="41"/>
      <c r="E484" s="1" t="str">
        <f>MID(A484,1,2)</f>
        <v/>
      </c>
      <c r="F484" s="1" t="str">
        <f>MID(C484,3,2)</f>
        <v/>
      </c>
      <c r="G484" s="1" t="str">
        <f>CONCATENATE(K484,M484)</f>
        <v/>
      </c>
      <c r="H484" s="1" t="e">
        <f>VLOOKUP(K484,$W$23:$AN$40,MATCH(L484,$W$23:$AN$23,0),FALSE)</f>
        <v>#N/A</v>
      </c>
      <c r="I484" s="1" t="e">
        <f>VLOOKUP(L484,$W$23:$AN$40,MATCH(M484,$W$23:$AN$23,0),FALSE)</f>
        <v>#N/A</v>
      </c>
      <c r="J484" s="1" t="e">
        <f>VLOOKUP(K484,$W$23:$AN$40,MATCH(M484,$W$23:$AN$23,0),FALSE)</f>
        <v>#N/A</v>
      </c>
      <c r="K484" s="1" t="str">
        <f>MID(A484,1,1)</f>
        <v/>
      </c>
      <c r="L484" s="1" t="str">
        <f>MID(A484,2,1)</f>
        <v/>
      </c>
      <c r="M484" s="1" t="str">
        <f>MID(A484,4,1)</f>
        <v/>
      </c>
      <c r="N484" s="1" t="e">
        <f>VLOOKUP(K484,$W:$X,2,0)</f>
        <v>#N/A</v>
      </c>
      <c r="O484" s="1" t="e">
        <f>VLOOKUP(L484,$Z:$AA,2,0)</f>
        <v>#N/A</v>
      </c>
      <c r="P484" s="1" t="e">
        <f>VLOOKUP(M484,$AC:$AD,2,0)</f>
        <v>#N/A</v>
      </c>
      <c r="Q484" s="1">
        <f>IF(A484&lt;&gt;"",P484+O484+N484+H484+I484+J484,0)</f>
        <v>0</v>
      </c>
    </row>
    <row r="485" spans="1:17" x14ac:dyDescent="0.25">
      <c r="A485" s="41"/>
      <c r="C485" s="41"/>
      <c r="E485" s="1" t="str">
        <f>MID(A485,1,2)</f>
        <v/>
      </c>
      <c r="F485" s="1" t="str">
        <f>MID(C485,3,2)</f>
        <v/>
      </c>
      <c r="G485" s="1" t="str">
        <f>CONCATENATE(K485,M485)</f>
        <v/>
      </c>
      <c r="H485" s="1" t="e">
        <f>VLOOKUP(K485,$W$23:$AN$40,MATCH(L485,$W$23:$AN$23,0),FALSE)</f>
        <v>#N/A</v>
      </c>
      <c r="I485" s="1" t="e">
        <f>VLOOKUP(L485,$W$23:$AN$40,MATCH(M485,$W$23:$AN$23,0),FALSE)</f>
        <v>#N/A</v>
      </c>
      <c r="J485" s="1" t="e">
        <f>VLOOKUP(K485,$W$23:$AN$40,MATCH(M485,$W$23:$AN$23,0),FALSE)</f>
        <v>#N/A</v>
      </c>
      <c r="K485" s="1" t="str">
        <f>MID(A485,1,1)</f>
        <v/>
      </c>
      <c r="L485" s="1" t="str">
        <f>MID(A485,2,1)</f>
        <v/>
      </c>
      <c r="M485" s="1" t="str">
        <f>MID(A485,4,1)</f>
        <v/>
      </c>
      <c r="N485" s="1" t="e">
        <f>VLOOKUP(K485,$W:$X,2,0)</f>
        <v>#N/A</v>
      </c>
      <c r="O485" s="1" t="e">
        <f>VLOOKUP(L485,$Z:$AA,2,0)</f>
        <v>#N/A</v>
      </c>
      <c r="P485" s="1" t="e">
        <f>VLOOKUP(M485,$AC:$AD,2,0)</f>
        <v>#N/A</v>
      </c>
      <c r="Q485" s="1">
        <f>IF(A485&lt;&gt;"",P485+O485+N485+H485+I485+J485,0)</f>
        <v>0</v>
      </c>
    </row>
    <row r="486" spans="1:17" x14ac:dyDescent="0.25">
      <c r="A486" s="41"/>
      <c r="C486" s="41"/>
      <c r="E486" s="1" t="str">
        <f>MID(A486,1,2)</f>
        <v/>
      </c>
      <c r="F486" s="1" t="str">
        <f>MID(C486,3,2)</f>
        <v/>
      </c>
      <c r="G486" s="1" t="str">
        <f>CONCATENATE(K486,M486)</f>
        <v/>
      </c>
      <c r="H486" s="1" t="e">
        <f>VLOOKUP(K486,$W$23:$AN$40,MATCH(L486,$W$23:$AN$23,0),FALSE)</f>
        <v>#N/A</v>
      </c>
      <c r="I486" s="1" t="e">
        <f>VLOOKUP(L486,$W$23:$AN$40,MATCH(M486,$W$23:$AN$23,0),FALSE)</f>
        <v>#N/A</v>
      </c>
      <c r="J486" s="1" t="e">
        <f>VLOOKUP(K486,$W$23:$AN$40,MATCH(M486,$W$23:$AN$23,0),FALSE)</f>
        <v>#N/A</v>
      </c>
      <c r="K486" s="1" t="str">
        <f>MID(A486,1,1)</f>
        <v/>
      </c>
      <c r="L486" s="1" t="str">
        <f>MID(A486,2,1)</f>
        <v/>
      </c>
      <c r="M486" s="1" t="str">
        <f>MID(A486,4,1)</f>
        <v/>
      </c>
      <c r="N486" s="1" t="e">
        <f>VLOOKUP(K486,$W:$X,2,0)</f>
        <v>#N/A</v>
      </c>
      <c r="O486" s="1" t="e">
        <f>VLOOKUP(L486,$Z:$AA,2,0)</f>
        <v>#N/A</v>
      </c>
      <c r="P486" s="1" t="e">
        <f>VLOOKUP(M486,$AC:$AD,2,0)</f>
        <v>#N/A</v>
      </c>
      <c r="Q486" s="1">
        <f>IF(A486&lt;&gt;"",P486+O486+N486+H486+I486+J486,0)</f>
        <v>0</v>
      </c>
    </row>
    <row r="487" spans="1:17" x14ac:dyDescent="0.25">
      <c r="A487" s="41"/>
      <c r="C487" s="41"/>
      <c r="E487" s="1" t="str">
        <f>MID(A487,1,2)</f>
        <v/>
      </c>
      <c r="F487" s="1" t="str">
        <f>MID(C487,3,2)</f>
        <v/>
      </c>
      <c r="G487" s="1" t="str">
        <f>CONCATENATE(K487,M487)</f>
        <v/>
      </c>
      <c r="H487" s="1" t="e">
        <f>VLOOKUP(K487,$W$23:$AN$40,MATCH(L487,$W$23:$AN$23,0),FALSE)</f>
        <v>#N/A</v>
      </c>
      <c r="I487" s="1" t="e">
        <f>VLOOKUP(L487,$W$23:$AN$40,MATCH(M487,$W$23:$AN$23,0),FALSE)</f>
        <v>#N/A</v>
      </c>
      <c r="J487" s="1" t="e">
        <f>VLOOKUP(K487,$W$23:$AN$40,MATCH(M487,$W$23:$AN$23,0),FALSE)</f>
        <v>#N/A</v>
      </c>
      <c r="K487" s="1" t="str">
        <f>MID(A487,1,1)</f>
        <v/>
      </c>
      <c r="L487" s="1" t="str">
        <f>MID(A487,2,1)</f>
        <v/>
      </c>
      <c r="M487" s="1" t="str">
        <f>MID(A487,4,1)</f>
        <v/>
      </c>
      <c r="N487" s="1" t="e">
        <f>VLOOKUP(K487,$W:$X,2,0)</f>
        <v>#N/A</v>
      </c>
      <c r="O487" s="1" t="e">
        <f>VLOOKUP(L487,$Z:$AA,2,0)</f>
        <v>#N/A</v>
      </c>
      <c r="P487" s="1" t="e">
        <f>VLOOKUP(M487,$AC:$AD,2,0)</f>
        <v>#N/A</v>
      </c>
      <c r="Q487" s="1">
        <f>IF(A487&lt;&gt;"",P487+O487+N487+H487+I487+J487,0)</f>
        <v>0</v>
      </c>
    </row>
    <row r="488" spans="1:17" x14ac:dyDescent="0.25">
      <c r="A488" s="41"/>
      <c r="C488" s="41"/>
      <c r="E488" s="1" t="str">
        <f>MID(A488,1,2)</f>
        <v/>
      </c>
      <c r="F488" s="1" t="str">
        <f>MID(C488,3,2)</f>
        <v/>
      </c>
      <c r="G488" s="1" t="str">
        <f>CONCATENATE(K488,M488)</f>
        <v/>
      </c>
      <c r="H488" s="1" t="e">
        <f>VLOOKUP(K488,$W$23:$AN$40,MATCH(L488,$W$23:$AN$23,0),FALSE)</f>
        <v>#N/A</v>
      </c>
      <c r="I488" s="1" t="e">
        <f>VLOOKUP(L488,$W$23:$AN$40,MATCH(M488,$W$23:$AN$23,0),FALSE)</f>
        <v>#N/A</v>
      </c>
      <c r="J488" s="1" t="e">
        <f>VLOOKUP(K488,$W$23:$AN$40,MATCH(M488,$W$23:$AN$23,0),FALSE)</f>
        <v>#N/A</v>
      </c>
      <c r="K488" s="1" t="str">
        <f>MID(A488,1,1)</f>
        <v/>
      </c>
      <c r="L488" s="1" t="str">
        <f>MID(A488,2,1)</f>
        <v/>
      </c>
      <c r="M488" s="1" t="str">
        <f>MID(A488,4,1)</f>
        <v/>
      </c>
      <c r="N488" s="1" t="e">
        <f>VLOOKUP(K488,$W:$X,2,0)</f>
        <v>#N/A</v>
      </c>
      <c r="O488" s="1" t="e">
        <f>VLOOKUP(L488,$Z:$AA,2,0)</f>
        <v>#N/A</v>
      </c>
      <c r="P488" s="1" t="e">
        <f>VLOOKUP(M488,$AC:$AD,2,0)</f>
        <v>#N/A</v>
      </c>
      <c r="Q488" s="1">
        <f>IF(A488&lt;&gt;"",P488+O488+N488+H488+I488+J488,0)</f>
        <v>0</v>
      </c>
    </row>
    <row r="489" spans="1:17" x14ac:dyDescent="0.25">
      <c r="A489" s="41"/>
      <c r="C489" s="41"/>
      <c r="E489" s="1" t="str">
        <f>MID(A489,1,2)</f>
        <v/>
      </c>
      <c r="F489" s="1" t="str">
        <f>MID(C489,3,2)</f>
        <v/>
      </c>
      <c r="G489" s="1" t="str">
        <f>CONCATENATE(K489,M489)</f>
        <v/>
      </c>
      <c r="H489" s="1" t="e">
        <f>VLOOKUP(K489,$W$23:$AN$40,MATCH(L489,$W$23:$AN$23,0),FALSE)</f>
        <v>#N/A</v>
      </c>
      <c r="I489" s="1" t="e">
        <f>VLOOKUP(L489,$W$23:$AN$40,MATCH(M489,$W$23:$AN$23,0),FALSE)</f>
        <v>#N/A</v>
      </c>
      <c r="J489" s="1" t="e">
        <f>VLOOKUP(K489,$W$23:$AN$40,MATCH(M489,$W$23:$AN$23,0),FALSE)</f>
        <v>#N/A</v>
      </c>
      <c r="K489" s="1" t="str">
        <f>MID(A489,1,1)</f>
        <v/>
      </c>
      <c r="L489" s="1" t="str">
        <f>MID(A489,2,1)</f>
        <v/>
      </c>
      <c r="M489" s="1" t="str">
        <f>MID(A489,4,1)</f>
        <v/>
      </c>
      <c r="N489" s="1" t="e">
        <f>VLOOKUP(K489,$W:$X,2,0)</f>
        <v>#N/A</v>
      </c>
      <c r="O489" s="1" t="e">
        <f>VLOOKUP(L489,$Z:$AA,2,0)</f>
        <v>#N/A</v>
      </c>
      <c r="P489" s="1" t="e">
        <f>VLOOKUP(M489,$AC:$AD,2,0)</f>
        <v>#N/A</v>
      </c>
      <c r="Q489" s="1">
        <f>IF(A489&lt;&gt;"",P489+O489+N489+H489+I489+J489,0)</f>
        <v>0</v>
      </c>
    </row>
    <row r="490" spans="1:17" x14ac:dyDescent="0.25">
      <c r="A490" s="41"/>
      <c r="C490" s="41"/>
      <c r="E490" s="1" t="str">
        <f>MID(A490,1,2)</f>
        <v/>
      </c>
      <c r="F490" s="1" t="str">
        <f>MID(C490,3,2)</f>
        <v/>
      </c>
      <c r="G490" s="1" t="str">
        <f>CONCATENATE(K490,M490)</f>
        <v/>
      </c>
      <c r="H490" s="1" t="e">
        <f>VLOOKUP(K490,$W$23:$AN$40,MATCH(L490,$W$23:$AN$23,0),FALSE)</f>
        <v>#N/A</v>
      </c>
      <c r="I490" s="1" t="e">
        <f>VLOOKUP(L490,$W$23:$AN$40,MATCH(M490,$W$23:$AN$23,0),FALSE)</f>
        <v>#N/A</v>
      </c>
      <c r="J490" s="1" t="e">
        <f>VLOOKUP(K490,$W$23:$AN$40,MATCH(M490,$W$23:$AN$23,0),FALSE)</f>
        <v>#N/A</v>
      </c>
      <c r="K490" s="1" t="str">
        <f>MID(A490,1,1)</f>
        <v/>
      </c>
      <c r="L490" s="1" t="str">
        <f>MID(A490,2,1)</f>
        <v/>
      </c>
      <c r="M490" s="1" t="str">
        <f>MID(A490,4,1)</f>
        <v/>
      </c>
      <c r="N490" s="1" t="e">
        <f>VLOOKUP(K490,$W:$X,2,0)</f>
        <v>#N/A</v>
      </c>
      <c r="O490" s="1" t="e">
        <f>VLOOKUP(L490,$Z:$AA,2,0)</f>
        <v>#N/A</v>
      </c>
      <c r="P490" s="1" t="e">
        <f>VLOOKUP(M490,$AC:$AD,2,0)</f>
        <v>#N/A</v>
      </c>
      <c r="Q490" s="1">
        <f>IF(A490&lt;&gt;"",P490+O490+N490+H490+I490+J490,0)</f>
        <v>0</v>
      </c>
    </row>
    <row r="491" spans="1:17" x14ac:dyDescent="0.25">
      <c r="A491" s="41"/>
      <c r="C491" s="41"/>
      <c r="E491" s="1" t="str">
        <f>MID(A491,1,2)</f>
        <v/>
      </c>
      <c r="F491" s="1" t="str">
        <f>MID(C491,3,2)</f>
        <v/>
      </c>
      <c r="G491" s="1" t="str">
        <f>CONCATENATE(K491,M491)</f>
        <v/>
      </c>
      <c r="H491" s="1" t="e">
        <f>VLOOKUP(K491,$W$23:$AN$40,MATCH(L491,$W$23:$AN$23,0),FALSE)</f>
        <v>#N/A</v>
      </c>
      <c r="I491" s="1" t="e">
        <f>VLOOKUP(L491,$W$23:$AN$40,MATCH(M491,$W$23:$AN$23,0),FALSE)</f>
        <v>#N/A</v>
      </c>
      <c r="J491" s="1" t="e">
        <f>VLOOKUP(K491,$W$23:$AN$40,MATCH(M491,$W$23:$AN$23,0),FALSE)</f>
        <v>#N/A</v>
      </c>
      <c r="K491" s="1" t="str">
        <f>MID(A491,1,1)</f>
        <v/>
      </c>
      <c r="L491" s="1" t="str">
        <f>MID(A491,2,1)</f>
        <v/>
      </c>
      <c r="M491" s="1" t="str">
        <f>MID(A491,4,1)</f>
        <v/>
      </c>
      <c r="N491" s="1" t="e">
        <f>VLOOKUP(K491,$W:$X,2,0)</f>
        <v>#N/A</v>
      </c>
      <c r="O491" s="1" t="e">
        <f>VLOOKUP(L491,$Z:$AA,2,0)</f>
        <v>#N/A</v>
      </c>
      <c r="P491" s="1" t="e">
        <f>VLOOKUP(M491,$AC:$AD,2,0)</f>
        <v>#N/A</v>
      </c>
      <c r="Q491" s="1">
        <f>IF(A491&lt;&gt;"",P491+O491+N491+H491+I491+J491,0)</f>
        <v>0</v>
      </c>
    </row>
    <row r="492" spans="1:17" x14ac:dyDescent="0.25">
      <c r="A492" s="41"/>
      <c r="C492" s="41"/>
      <c r="E492" s="1" t="str">
        <f>MID(A492,1,2)</f>
        <v/>
      </c>
      <c r="F492" s="1" t="str">
        <f>MID(C492,3,2)</f>
        <v/>
      </c>
      <c r="G492" s="1" t="str">
        <f>CONCATENATE(K492,M492)</f>
        <v/>
      </c>
      <c r="H492" s="1" t="e">
        <f>VLOOKUP(K492,$W$23:$AN$40,MATCH(L492,$W$23:$AN$23,0),FALSE)</f>
        <v>#N/A</v>
      </c>
      <c r="I492" s="1" t="e">
        <f>VLOOKUP(L492,$W$23:$AN$40,MATCH(M492,$W$23:$AN$23,0),FALSE)</f>
        <v>#N/A</v>
      </c>
      <c r="J492" s="1" t="e">
        <f>VLOOKUP(K492,$W$23:$AN$40,MATCH(M492,$W$23:$AN$23,0),FALSE)</f>
        <v>#N/A</v>
      </c>
      <c r="K492" s="1" t="str">
        <f>MID(A492,1,1)</f>
        <v/>
      </c>
      <c r="L492" s="1" t="str">
        <f>MID(A492,2,1)</f>
        <v/>
      </c>
      <c r="M492" s="1" t="str">
        <f>MID(A492,4,1)</f>
        <v/>
      </c>
      <c r="N492" s="1" t="e">
        <f>VLOOKUP(K492,$W:$X,2,0)</f>
        <v>#N/A</v>
      </c>
      <c r="O492" s="1" t="e">
        <f>VLOOKUP(L492,$Z:$AA,2,0)</f>
        <v>#N/A</v>
      </c>
      <c r="P492" s="1" t="e">
        <f>VLOOKUP(M492,$AC:$AD,2,0)</f>
        <v>#N/A</v>
      </c>
      <c r="Q492" s="1">
        <f>IF(A492&lt;&gt;"",P492+O492+N492+H492+I492+J492,0)</f>
        <v>0</v>
      </c>
    </row>
    <row r="493" spans="1:17" x14ac:dyDescent="0.25">
      <c r="A493" s="41"/>
      <c r="C493" s="41"/>
      <c r="E493" s="1" t="str">
        <f>MID(A493,1,2)</f>
        <v/>
      </c>
      <c r="F493" s="1" t="str">
        <f>MID(C493,3,2)</f>
        <v/>
      </c>
      <c r="G493" s="1" t="str">
        <f>CONCATENATE(K493,M493)</f>
        <v/>
      </c>
      <c r="H493" s="1" t="e">
        <f>VLOOKUP(K493,$W$23:$AN$40,MATCH(L493,$W$23:$AN$23,0),FALSE)</f>
        <v>#N/A</v>
      </c>
      <c r="I493" s="1" t="e">
        <f>VLOOKUP(L493,$W$23:$AN$40,MATCH(M493,$W$23:$AN$23,0),FALSE)</f>
        <v>#N/A</v>
      </c>
      <c r="J493" s="1" t="e">
        <f>VLOOKUP(K493,$W$23:$AN$40,MATCH(M493,$W$23:$AN$23,0),FALSE)</f>
        <v>#N/A</v>
      </c>
      <c r="K493" s="1" t="str">
        <f>MID(A493,1,1)</f>
        <v/>
      </c>
      <c r="L493" s="1" t="str">
        <f>MID(A493,2,1)</f>
        <v/>
      </c>
      <c r="M493" s="1" t="str">
        <f>MID(A493,4,1)</f>
        <v/>
      </c>
      <c r="N493" s="1" t="e">
        <f>VLOOKUP(K493,$W:$X,2,0)</f>
        <v>#N/A</v>
      </c>
      <c r="O493" s="1" t="e">
        <f>VLOOKUP(L493,$Z:$AA,2,0)</f>
        <v>#N/A</v>
      </c>
      <c r="P493" s="1" t="e">
        <f>VLOOKUP(M493,$AC:$AD,2,0)</f>
        <v>#N/A</v>
      </c>
      <c r="Q493" s="1">
        <f>IF(A493&lt;&gt;"",P493+O493+N493+H493+I493+J493,0)</f>
        <v>0</v>
      </c>
    </row>
    <row r="494" spans="1:17" x14ac:dyDescent="0.25">
      <c r="A494" s="41"/>
      <c r="C494" s="41"/>
      <c r="E494" s="1" t="str">
        <f>MID(A494,1,2)</f>
        <v/>
      </c>
      <c r="F494" s="1" t="str">
        <f>MID(C494,3,2)</f>
        <v/>
      </c>
      <c r="G494" s="1" t="str">
        <f>CONCATENATE(K494,M494)</f>
        <v/>
      </c>
      <c r="H494" s="1" t="e">
        <f>VLOOKUP(K494,$W$23:$AN$40,MATCH(L494,$W$23:$AN$23,0),FALSE)</f>
        <v>#N/A</v>
      </c>
      <c r="I494" s="1" t="e">
        <f>VLOOKUP(L494,$W$23:$AN$40,MATCH(M494,$W$23:$AN$23,0),FALSE)</f>
        <v>#N/A</v>
      </c>
      <c r="J494" s="1" t="e">
        <f>VLOOKUP(K494,$W$23:$AN$40,MATCH(M494,$W$23:$AN$23,0),FALSE)</f>
        <v>#N/A</v>
      </c>
      <c r="K494" s="1" t="str">
        <f>MID(A494,1,1)</f>
        <v/>
      </c>
      <c r="L494" s="1" t="str">
        <f>MID(A494,2,1)</f>
        <v/>
      </c>
      <c r="M494" s="1" t="str">
        <f>MID(A494,4,1)</f>
        <v/>
      </c>
      <c r="N494" s="1" t="e">
        <f>VLOOKUP(K494,$W:$X,2,0)</f>
        <v>#N/A</v>
      </c>
      <c r="O494" s="1" t="e">
        <f>VLOOKUP(L494,$Z:$AA,2,0)</f>
        <v>#N/A</v>
      </c>
      <c r="P494" s="1" t="e">
        <f>VLOOKUP(M494,$AC:$AD,2,0)</f>
        <v>#N/A</v>
      </c>
      <c r="Q494" s="1">
        <f>IF(A494&lt;&gt;"",P494+O494+N494+H494+I494+J494,0)</f>
        <v>0</v>
      </c>
    </row>
    <row r="495" spans="1:17" x14ac:dyDescent="0.25">
      <c r="A495" s="41"/>
      <c r="C495" s="41"/>
      <c r="E495" s="1" t="str">
        <f>MID(A495,1,2)</f>
        <v/>
      </c>
      <c r="F495" s="1" t="str">
        <f>MID(C495,3,2)</f>
        <v/>
      </c>
      <c r="G495" s="1" t="str">
        <f>CONCATENATE(K495,M495)</f>
        <v/>
      </c>
      <c r="H495" s="1" t="e">
        <f>VLOOKUP(K495,$W$23:$AN$40,MATCH(L495,$W$23:$AN$23,0),FALSE)</f>
        <v>#N/A</v>
      </c>
      <c r="I495" s="1" t="e">
        <f>VLOOKUP(L495,$W$23:$AN$40,MATCH(M495,$W$23:$AN$23,0),FALSE)</f>
        <v>#N/A</v>
      </c>
      <c r="J495" s="1" t="e">
        <f>VLOOKUP(K495,$W$23:$AN$40,MATCH(M495,$W$23:$AN$23,0),FALSE)</f>
        <v>#N/A</v>
      </c>
      <c r="K495" s="1" t="str">
        <f>MID(A495,1,1)</f>
        <v/>
      </c>
      <c r="L495" s="1" t="str">
        <f>MID(A495,2,1)</f>
        <v/>
      </c>
      <c r="M495" s="1" t="str">
        <f>MID(A495,4,1)</f>
        <v/>
      </c>
      <c r="N495" s="1" t="e">
        <f>VLOOKUP(K495,$W:$X,2,0)</f>
        <v>#N/A</v>
      </c>
      <c r="O495" s="1" t="e">
        <f>VLOOKUP(L495,$Z:$AA,2,0)</f>
        <v>#N/A</v>
      </c>
      <c r="P495" s="1" t="e">
        <f>VLOOKUP(M495,$AC:$AD,2,0)</f>
        <v>#N/A</v>
      </c>
      <c r="Q495" s="1">
        <f>IF(A495&lt;&gt;"",P495+O495+N495+H495+I495+J495,0)</f>
        <v>0</v>
      </c>
    </row>
    <row r="496" spans="1:17" x14ac:dyDescent="0.25">
      <c r="A496" s="41"/>
      <c r="C496" s="41"/>
      <c r="E496" s="1" t="str">
        <f>MID(A496,1,2)</f>
        <v/>
      </c>
      <c r="F496" s="1" t="str">
        <f>MID(C496,3,2)</f>
        <v/>
      </c>
      <c r="G496" s="1" t="str">
        <f>CONCATENATE(K496,M496)</f>
        <v/>
      </c>
      <c r="H496" s="1" t="e">
        <f>VLOOKUP(K496,$W$23:$AN$40,MATCH(L496,$W$23:$AN$23,0),FALSE)</f>
        <v>#N/A</v>
      </c>
      <c r="I496" s="1" t="e">
        <f>VLOOKUP(L496,$W$23:$AN$40,MATCH(M496,$W$23:$AN$23,0),FALSE)</f>
        <v>#N/A</v>
      </c>
      <c r="J496" s="1" t="e">
        <f>VLOOKUP(K496,$W$23:$AN$40,MATCH(M496,$W$23:$AN$23,0),FALSE)</f>
        <v>#N/A</v>
      </c>
      <c r="K496" s="1" t="str">
        <f>MID(A496,1,1)</f>
        <v/>
      </c>
      <c r="L496" s="1" t="str">
        <f>MID(A496,2,1)</f>
        <v/>
      </c>
      <c r="M496" s="1" t="str">
        <f>MID(A496,4,1)</f>
        <v/>
      </c>
      <c r="N496" s="1" t="e">
        <f>VLOOKUP(K496,$W:$X,2,0)</f>
        <v>#N/A</v>
      </c>
      <c r="O496" s="1" t="e">
        <f>VLOOKUP(L496,$Z:$AA,2,0)</f>
        <v>#N/A</v>
      </c>
      <c r="P496" s="1" t="e">
        <f>VLOOKUP(M496,$AC:$AD,2,0)</f>
        <v>#N/A</v>
      </c>
      <c r="Q496" s="1">
        <f>IF(A496&lt;&gt;"",P496+O496+N496+H496+I496+J496,0)</f>
        <v>0</v>
      </c>
    </row>
    <row r="497" spans="1:17" x14ac:dyDescent="0.25">
      <c r="A497" s="41"/>
      <c r="C497" s="41"/>
      <c r="E497" s="1" t="str">
        <f>MID(A497,1,2)</f>
        <v/>
      </c>
      <c r="F497" s="1" t="str">
        <f>MID(C497,3,2)</f>
        <v/>
      </c>
      <c r="G497" s="1" t="str">
        <f>CONCATENATE(K497,M497)</f>
        <v/>
      </c>
      <c r="H497" s="1" t="e">
        <f>VLOOKUP(K497,$W$23:$AN$40,MATCH(L497,$W$23:$AN$23,0),FALSE)</f>
        <v>#N/A</v>
      </c>
      <c r="I497" s="1" t="e">
        <f>VLOOKUP(L497,$W$23:$AN$40,MATCH(M497,$W$23:$AN$23,0),FALSE)</f>
        <v>#N/A</v>
      </c>
      <c r="J497" s="1" t="e">
        <f>VLOOKUP(K497,$W$23:$AN$40,MATCH(M497,$W$23:$AN$23,0),FALSE)</f>
        <v>#N/A</v>
      </c>
      <c r="K497" s="1" t="str">
        <f>MID(A497,1,1)</f>
        <v/>
      </c>
      <c r="L497" s="1" t="str">
        <f>MID(A497,2,1)</f>
        <v/>
      </c>
      <c r="M497" s="1" t="str">
        <f>MID(A497,4,1)</f>
        <v/>
      </c>
      <c r="N497" s="1" t="e">
        <f>VLOOKUP(K497,$W:$X,2,0)</f>
        <v>#N/A</v>
      </c>
      <c r="O497" s="1" t="e">
        <f>VLOOKUP(L497,$Z:$AA,2,0)</f>
        <v>#N/A</v>
      </c>
      <c r="P497" s="1" t="e">
        <f>VLOOKUP(M497,$AC:$AD,2,0)</f>
        <v>#N/A</v>
      </c>
      <c r="Q497" s="1">
        <f>IF(A497&lt;&gt;"",P497+O497+N497+H497+I497+J497,0)</f>
        <v>0</v>
      </c>
    </row>
    <row r="498" spans="1:17" x14ac:dyDescent="0.25">
      <c r="A498" s="41"/>
      <c r="C498" s="41"/>
      <c r="E498" s="1" t="str">
        <f>MID(A498,1,2)</f>
        <v/>
      </c>
      <c r="F498" s="1" t="str">
        <f>MID(C498,3,2)</f>
        <v/>
      </c>
      <c r="G498" s="1" t="str">
        <f>CONCATENATE(K498,M498)</f>
        <v/>
      </c>
      <c r="H498" s="1" t="e">
        <f>VLOOKUP(K498,$W$23:$AN$40,MATCH(L498,$W$23:$AN$23,0),FALSE)</f>
        <v>#N/A</v>
      </c>
      <c r="I498" s="1" t="e">
        <f>VLOOKUP(L498,$W$23:$AN$40,MATCH(M498,$W$23:$AN$23,0),FALSE)</f>
        <v>#N/A</v>
      </c>
      <c r="J498" s="1" t="e">
        <f>VLOOKUP(K498,$W$23:$AN$40,MATCH(M498,$W$23:$AN$23,0),FALSE)</f>
        <v>#N/A</v>
      </c>
      <c r="K498" s="1" t="str">
        <f>MID(A498,1,1)</f>
        <v/>
      </c>
      <c r="L498" s="1" t="str">
        <f>MID(A498,2,1)</f>
        <v/>
      </c>
      <c r="M498" s="1" t="str">
        <f>MID(A498,4,1)</f>
        <v/>
      </c>
      <c r="N498" s="1" t="e">
        <f>VLOOKUP(K498,$W:$X,2,0)</f>
        <v>#N/A</v>
      </c>
      <c r="O498" s="1" t="e">
        <f>VLOOKUP(L498,$Z:$AA,2,0)</f>
        <v>#N/A</v>
      </c>
      <c r="P498" s="1" t="e">
        <f>VLOOKUP(M498,$AC:$AD,2,0)</f>
        <v>#N/A</v>
      </c>
      <c r="Q498" s="1">
        <f>IF(A498&lt;&gt;"",P498+O498+N498+H498+I498+J498,0)</f>
        <v>0</v>
      </c>
    </row>
    <row r="499" spans="1:17" x14ac:dyDescent="0.25">
      <c r="A499" s="41"/>
      <c r="C499" s="41"/>
      <c r="E499" s="1" t="str">
        <f>MID(A499,1,2)</f>
        <v/>
      </c>
      <c r="F499" s="1" t="str">
        <f>MID(C499,3,2)</f>
        <v/>
      </c>
      <c r="G499" s="1" t="str">
        <f>CONCATENATE(K499,M499)</f>
        <v/>
      </c>
      <c r="H499" s="1" t="e">
        <f>VLOOKUP(K499,$W$23:$AN$40,MATCH(L499,$W$23:$AN$23,0),FALSE)</f>
        <v>#N/A</v>
      </c>
      <c r="I499" s="1" t="e">
        <f>VLOOKUP(L499,$W$23:$AN$40,MATCH(M499,$W$23:$AN$23,0),FALSE)</f>
        <v>#N/A</v>
      </c>
      <c r="J499" s="1" t="e">
        <f>VLOOKUP(K499,$W$23:$AN$40,MATCH(M499,$W$23:$AN$23,0),FALSE)</f>
        <v>#N/A</v>
      </c>
      <c r="K499" s="1" t="str">
        <f>MID(A499,1,1)</f>
        <v/>
      </c>
      <c r="L499" s="1" t="str">
        <f>MID(A499,2,1)</f>
        <v/>
      </c>
      <c r="M499" s="1" t="str">
        <f>MID(A499,4,1)</f>
        <v/>
      </c>
      <c r="N499" s="1" t="e">
        <f>VLOOKUP(K499,$W:$X,2,0)</f>
        <v>#N/A</v>
      </c>
      <c r="O499" s="1" t="e">
        <f>VLOOKUP(L499,$Z:$AA,2,0)</f>
        <v>#N/A</v>
      </c>
      <c r="P499" s="1" t="e">
        <f>VLOOKUP(M499,$AC:$AD,2,0)</f>
        <v>#N/A</v>
      </c>
      <c r="Q499" s="1">
        <f>IF(A499&lt;&gt;"",P499+O499+N499+H499+I499+J499,0)</f>
        <v>0</v>
      </c>
    </row>
    <row r="500" spans="1:17" x14ac:dyDescent="0.25">
      <c r="A500" s="41"/>
      <c r="C500" s="41"/>
      <c r="E500" s="1" t="str">
        <f>MID(A500,1,2)</f>
        <v/>
      </c>
      <c r="F500" s="1" t="str">
        <f>MID(C500,3,2)</f>
        <v/>
      </c>
      <c r="G500" s="1" t="str">
        <f>CONCATENATE(K500,M500)</f>
        <v/>
      </c>
      <c r="H500" s="1" t="e">
        <f>VLOOKUP(K500,$W$23:$AN$40,MATCH(L500,$W$23:$AN$23,0),FALSE)</f>
        <v>#N/A</v>
      </c>
      <c r="I500" s="1" t="e">
        <f>VLOOKUP(L500,$W$23:$AN$40,MATCH(M500,$W$23:$AN$23,0),FALSE)</f>
        <v>#N/A</v>
      </c>
      <c r="J500" s="1" t="e">
        <f>VLOOKUP(K500,$W$23:$AN$40,MATCH(M500,$W$23:$AN$23,0),FALSE)</f>
        <v>#N/A</v>
      </c>
      <c r="K500" s="1" t="str">
        <f>MID(A500,1,1)</f>
        <v/>
      </c>
      <c r="L500" s="1" t="str">
        <f>MID(A500,2,1)</f>
        <v/>
      </c>
      <c r="M500" s="1" t="str">
        <f>MID(A500,4,1)</f>
        <v/>
      </c>
      <c r="N500" s="1" t="e">
        <f>VLOOKUP(K500,$W:$X,2,0)</f>
        <v>#N/A</v>
      </c>
      <c r="O500" s="1" t="e">
        <f>VLOOKUP(L500,$Z:$AA,2,0)</f>
        <v>#N/A</v>
      </c>
      <c r="P500" s="1" t="e">
        <f>VLOOKUP(M500,$AC:$AD,2,0)</f>
        <v>#N/A</v>
      </c>
      <c r="Q500" s="1">
        <f>IF(A500&lt;&gt;"",P500+O500+N500+H500+I500+J500,0)</f>
        <v>0</v>
      </c>
    </row>
    <row r="501" spans="1:17" x14ac:dyDescent="0.25">
      <c r="A501" s="41"/>
      <c r="C501" s="41"/>
      <c r="E501" s="1" t="str">
        <f>MID(A501,1,2)</f>
        <v/>
      </c>
      <c r="F501" s="1" t="str">
        <f>MID(C501,3,2)</f>
        <v/>
      </c>
      <c r="G501" s="1" t="str">
        <f>CONCATENATE(K501,M501)</f>
        <v/>
      </c>
      <c r="H501" s="1" t="e">
        <f>VLOOKUP(K501,$W$23:$AN$40,MATCH(L501,$W$23:$AN$23,0),FALSE)</f>
        <v>#N/A</v>
      </c>
      <c r="I501" s="1" t="e">
        <f>VLOOKUP(L501,$W$23:$AN$40,MATCH(M501,$W$23:$AN$23,0),FALSE)</f>
        <v>#N/A</v>
      </c>
      <c r="J501" s="1" t="e">
        <f>VLOOKUP(K501,$W$23:$AN$40,MATCH(M501,$W$23:$AN$23,0),FALSE)</f>
        <v>#N/A</v>
      </c>
      <c r="K501" s="1" t="str">
        <f>MID(A501,1,1)</f>
        <v/>
      </c>
      <c r="L501" s="1" t="str">
        <f>MID(A501,2,1)</f>
        <v/>
      </c>
      <c r="M501" s="1" t="str">
        <f>MID(A501,4,1)</f>
        <v/>
      </c>
      <c r="N501" s="1" t="e">
        <f>VLOOKUP(K501,$W:$X,2,0)</f>
        <v>#N/A</v>
      </c>
      <c r="O501" s="1" t="e">
        <f>VLOOKUP(L501,$Z:$AA,2,0)</f>
        <v>#N/A</v>
      </c>
      <c r="P501" s="1" t="e">
        <f>VLOOKUP(M501,$AC:$AD,2,0)</f>
        <v>#N/A</v>
      </c>
      <c r="Q501" s="1">
        <f>IF(A501&lt;&gt;"",P501+O501+N501+H501+I501+J501,0)</f>
        <v>0</v>
      </c>
    </row>
    <row r="502" spans="1:17" x14ac:dyDescent="0.25">
      <c r="A502" s="41"/>
      <c r="C502" s="41"/>
      <c r="E502" s="1" t="str">
        <f>MID(A502,1,2)</f>
        <v/>
      </c>
      <c r="F502" s="1" t="str">
        <f>MID(C502,3,2)</f>
        <v/>
      </c>
      <c r="G502" s="1" t="str">
        <f>CONCATENATE(K502,M502)</f>
        <v/>
      </c>
      <c r="H502" s="1" t="e">
        <f>VLOOKUP(K502,$W$23:$AN$40,MATCH(L502,$W$23:$AN$23,0),FALSE)</f>
        <v>#N/A</v>
      </c>
      <c r="I502" s="1" t="e">
        <f>VLOOKUP(L502,$W$23:$AN$40,MATCH(M502,$W$23:$AN$23,0),FALSE)</f>
        <v>#N/A</v>
      </c>
      <c r="J502" s="1" t="e">
        <f>VLOOKUP(K502,$W$23:$AN$40,MATCH(M502,$W$23:$AN$23,0),FALSE)</f>
        <v>#N/A</v>
      </c>
      <c r="K502" s="1" t="str">
        <f>MID(A502,1,1)</f>
        <v/>
      </c>
      <c r="L502" s="1" t="str">
        <f>MID(A502,2,1)</f>
        <v/>
      </c>
      <c r="M502" s="1" t="str">
        <f>MID(A502,4,1)</f>
        <v/>
      </c>
      <c r="N502" s="1" t="e">
        <f>VLOOKUP(K502,$W:$X,2,0)</f>
        <v>#N/A</v>
      </c>
      <c r="O502" s="1" t="e">
        <f>VLOOKUP(L502,$Z:$AA,2,0)</f>
        <v>#N/A</v>
      </c>
      <c r="P502" s="1" t="e">
        <f>VLOOKUP(M502,$AC:$AD,2,0)</f>
        <v>#N/A</v>
      </c>
      <c r="Q502" s="1">
        <f>IF(A502&lt;&gt;"",P502+O502+N502+H502+I502+J502,0)</f>
        <v>0</v>
      </c>
    </row>
    <row r="503" spans="1:17" x14ac:dyDescent="0.25">
      <c r="A503" s="41"/>
      <c r="C503" s="41"/>
      <c r="E503" s="1" t="str">
        <f>MID(A503,1,2)</f>
        <v/>
      </c>
      <c r="F503" s="1" t="str">
        <f>MID(C503,3,2)</f>
        <v/>
      </c>
      <c r="G503" s="1" t="str">
        <f>CONCATENATE(K503,M503)</f>
        <v/>
      </c>
      <c r="H503" s="1" t="e">
        <f>VLOOKUP(K503,$W$23:$AN$40,MATCH(L503,$W$23:$AN$23,0),FALSE)</f>
        <v>#N/A</v>
      </c>
      <c r="I503" s="1" t="e">
        <f>VLOOKUP(L503,$W$23:$AN$40,MATCH(M503,$W$23:$AN$23,0),FALSE)</f>
        <v>#N/A</v>
      </c>
      <c r="J503" s="1" t="e">
        <f>VLOOKUP(K503,$W$23:$AN$40,MATCH(M503,$W$23:$AN$23,0),FALSE)</f>
        <v>#N/A</v>
      </c>
      <c r="K503" s="1" t="str">
        <f>MID(A503,1,1)</f>
        <v/>
      </c>
      <c r="L503" s="1" t="str">
        <f>MID(A503,2,1)</f>
        <v/>
      </c>
      <c r="M503" s="1" t="str">
        <f>MID(A503,4,1)</f>
        <v/>
      </c>
      <c r="N503" s="1" t="e">
        <f>VLOOKUP(K503,$W:$X,2,0)</f>
        <v>#N/A</v>
      </c>
      <c r="O503" s="1" t="e">
        <f>VLOOKUP(L503,$Z:$AA,2,0)</f>
        <v>#N/A</v>
      </c>
      <c r="P503" s="1" t="e">
        <f>VLOOKUP(M503,$AC:$AD,2,0)</f>
        <v>#N/A</v>
      </c>
      <c r="Q503" s="1">
        <f>IF(A503&lt;&gt;"",P503+O503+N503+H503+I503+J503,0)</f>
        <v>0</v>
      </c>
    </row>
    <row r="504" spans="1:17" x14ac:dyDescent="0.25">
      <c r="A504" s="41"/>
      <c r="C504" s="41"/>
      <c r="E504" s="1" t="str">
        <f>MID(A504,1,2)</f>
        <v/>
      </c>
      <c r="F504" s="1" t="str">
        <f>MID(C504,3,2)</f>
        <v/>
      </c>
      <c r="G504" s="1" t="str">
        <f>CONCATENATE(K504,M504)</f>
        <v/>
      </c>
      <c r="H504" s="1" t="e">
        <f>VLOOKUP(K504,$W$23:$AN$40,MATCH(L504,$W$23:$AN$23,0),FALSE)</f>
        <v>#N/A</v>
      </c>
      <c r="I504" s="1" t="e">
        <f>VLOOKUP(L504,$W$23:$AN$40,MATCH(M504,$W$23:$AN$23,0),FALSE)</f>
        <v>#N/A</v>
      </c>
      <c r="J504" s="1" t="e">
        <f>VLOOKUP(K504,$W$23:$AN$40,MATCH(M504,$W$23:$AN$23,0),FALSE)</f>
        <v>#N/A</v>
      </c>
      <c r="K504" s="1" t="str">
        <f>MID(A504,1,1)</f>
        <v/>
      </c>
      <c r="L504" s="1" t="str">
        <f>MID(A504,2,1)</f>
        <v/>
      </c>
      <c r="M504" s="1" t="str">
        <f>MID(A504,4,1)</f>
        <v/>
      </c>
      <c r="N504" s="1" t="e">
        <f>VLOOKUP(K504,$W:$X,2,0)</f>
        <v>#N/A</v>
      </c>
      <c r="O504" s="1" t="e">
        <f>VLOOKUP(L504,$Z:$AA,2,0)</f>
        <v>#N/A</v>
      </c>
      <c r="P504" s="1" t="e">
        <f>VLOOKUP(M504,$AC:$AD,2,0)</f>
        <v>#N/A</v>
      </c>
      <c r="Q504" s="1">
        <f>IF(A504&lt;&gt;"",P504+O504+N504+H504+I504+J504,0)</f>
        <v>0</v>
      </c>
    </row>
    <row r="505" spans="1:17" x14ac:dyDescent="0.25">
      <c r="A505" s="41"/>
      <c r="C505" s="41"/>
      <c r="E505" s="1" t="str">
        <f>MID(A505,1,2)</f>
        <v/>
      </c>
      <c r="F505" s="1" t="str">
        <f>MID(C505,3,2)</f>
        <v/>
      </c>
      <c r="G505" s="1" t="str">
        <f>CONCATENATE(K505,M505)</f>
        <v/>
      </c>
      <c r="H505" s="1" t="e">
        <f>VLOOKUP(K505,$W$23:$AN$40,MATCH(L505,$W$23:$AN$23,0),FALSE)</f>
        <v>#N/A</v>
      </c>
      <c r="I505" s="1" t="e">
        <f>VLOOKUP(L505,$W$23:$AN$40,MATCH(M505,$W$23:$AN$23,0),FALSE)</f>
        <v>#N/A</v>
      </c>
      <c r="J505" s="1" t="e">
        <f>VLOOKUP(K505,$W$23:$AN$40,MATCH(M505,$W$23:$AN$23,0),FALSE)</f>
        <v>#N/A</v>
      </c>
      <c r="K505" s="1" t="str">
        <f>MID(A505,1,1)</f>
        <v/>
      </c>
      <c r="L505" s="1" t="str">
        <f>MID(A505,2,1)</f>
        <v/>
      </c>
      <c r="M505" s="1" t="str">
        <f>MID(A505,4,1)</f>
        <v/>
      </c>
      <c r="N505" s="1" t="e">
        <f>VLOOKUP(K505,$W:$X,2,0)</f>
        <v>#N/A</v>
      </c>
      <c r="O505" s="1" t="e">
        <f>VLOOKUP(L505,$Z:$AA,2,0)</f>
        <v>#N/A</v>
      </c>
      <c r="P505" s="1" t="e">
        <f>VLOOKUP(M505,$AC:$AD,2,0)</f>
        <v>#N/A</v>
      </c>
      <c r="Q505" s="1">
        <f>IF(A505&lt;&gt;"",P505+O505+N505+H505+I505+J505,0)</f>
        <v>0</v>
      </c>
    </row>
    <row r="506" spans="1:17" x14ac:dyDescent="0.25">
      <c r="A506" s="41"/>
      <c r="C506" s="41"/>
      <c r="E506" s="1" t="str">
        <f>MID(A506,1,2)</f>
        <v/>
      </c>
      <c r="F506" s="1" t="str">
        <f>MID(C506,3,2)</f>
        <v/>
      </c>
      <c r="G506" s="1" t="str">
        <f>CONCATENATE(K506,M506)</f>
        <v/>
      </c>
      <c r="H506" s="1" t="e">
        <f>VLOOKUP(K506,$W$23:$AN$40,MATCH(L506,$W$23:$AN$23,0),FALSE)</f>
        <v>#N/A</v>
      </c>
      <c r="I506" s="1" t="e">
        <f>VLOOKUP(L506,$W$23:$AN$40,MATCH(M506,$W$23:$AN$23,0),FALSE)</f>
        <v>#N/A</v>
      </c>
      <c r="J506" s="1" t="e">
        <f>VLOOKUP(K506,$W$23:$AN$40,MATCH(M506,$W$23:$AN$23,0),FALSE)</f>
        <v>#N/A</v>
      </c>
      <c r="K506" s="1" t="str">
        <f>MID(A506,1,1)</f>
        <v/>
      </c>
      <c r="L506" s="1" t="str">
        <f>MID(A506,2,1)</f>
        <v/>
      </c>
      <c r="M506" s="1" t="str">
        <f>MID(A506,4,1)</f>
        <v/>
      </c>
      <c r="N506" s="1" t="e">
        <f>VLOOKUP(K506,$W:$X,2,0)</f>
        <v>#N/A</v>
      </c>
      <c r="O506" s="1" t="e">
        <f>VLOOKUP(L506,$Z:$AA,2,0)</f>
        <v>#N/A</v>
      </c>
      <c r="P506" s="1" t="e">
        <f>VLOOKUP(M506,$AC:$AD,2,0)</f>
        <v>#N/A</v>
      </c>
      <c r="Q506" s="1">
        <f>IF(A506&lt;&gt;"",P506+O506+N506+H506+I506+J506,0)</f>
        <v>0</v>
      </c>
    </row>
    <row r="507" spans="1:17" x14ac:dyDescent="0.25">
      <c r="A507" s="41"/>
      <c r="C507" s="41"/>
      <c r="E507" s="1" t="str">
        <f>MID(A507,1,2)</f>
        <v/>
      </c>
      <c r="F507" s="1" t="str">
        <f>MID(C507,3,2)</f>
        <v/>
      </c>
      <c r="G507" s="1" t="str">
        <f>CONCATENATE(K507,M507)</f>
        <v/>
      </c>
      <c r="H507" s="1" t="e">
        <f>VLOOKUP(K507,$W$23:$AN$40,MATCH(L507,$W$23:$AN$23,0),FALSE)</f>
        <v>#N/A</v>
      </c>
      <c r="I507" s="1" t="e">
        <f>VLOOKUP(L507,$W$23:$AN$40,MATCH(M507,$W$23:$AN$23,0),FALSE)</f>
        <v>#N/A</v>
      </c>
      <c r="J507" s="1" t="e">
        <f>VLOOKUP(K507,$W$23:$AN$40,MATCH(M507,$W$23:$AN$23,0),FALSE)</f>
        <v>#N/A</v>
      </c>
      <c r="K507" s="1" t="str">
        <f>MID(A507,1,1)</f>
        <v/>
      </c>
      <c r="L507" s="1" t="str">
        <f>MID(A507,2,1)</f>
        <v/>
      </c>
      <c r="M507" s="1" t="str">
        <f>MID(A507,4,1)</f>
        <v/>
      </c>
      <c r="N507" s="1" t="e">
        <f>VLOOKUP(K507,$W:$X,2,0)</f>
        <v>#N/A</v>
      </c>
      <c r="O507" s="1" t="e">
        <f>VLOOKUP(L507,$Z:$AA,2,0)</f>
        <v>#N/A</v>
      </c>
      <c r="P507" s="1" t="e">
        <f>VLOOKUP(M507,$AC:$AD,2,0)</f>
        <v>#N/A</v>
      </c>
      <c r="Q507" s="1">
        <f>IF(A507&lt;&gt;"",P507+O507+N507+H507+I507+J507,0)</f>
        <v>0</v>
      </c>
    </row>
    <row r="508" spans="1:17" x14ac:dyDescent="0.25">
      <c r="A508" s="41"/>
      <c r="C508" s="41"/>
      <c r="E508" s="1" t="str">
        <f>MID(A508,1,2)</f>
        <v/>
      </c>
      <c r="F508" s="1" t="str">
        <f>MID(C508,3,2)</f>
        <v/>
      </c>
      <c r="G508" s="1" t="str">
        <f>CONCATENATE(K508,M508)</f>
        <v/>
      </c>
      <c r="H508" s="1" t="e">
        <f>VLOOKUP(K508,$W$23:$AN$40,MATCH(L508,$W$23:$AN$23,0),FALSE)</f>
        <v>#N/A</v>
      </c>
      <c r="I508" s="1" t="e">
        <f>VLOOKUP(L508,$W$23:$AN$40,MATCH(M508,$W$23:$AN$23,0),FALSE)</f>
        <v>#N/A</v>
      </c>
      <c r="J508" s="1" t="e">
        <f>VLOOKUP(K508,$W$23:$AN$40,MATCH(M508,$W$23:$AN$23,0),FALSE)</f>
        <v>#N/A</v>
      </c>
      <c r="K508" s="1" t="str">
        <f>MID(A508,1,1)</f>
        <v/>
      </c>
      <c r="L508" s="1" t="str">
        <f>MID(A508,2,1)</f>
        <v/>
      </c>
      <c r="M508" s="1" t="str">
        <f>MID(A508,4,1)</f>
        <v/>
      </c>
      <c r="N508" s="1" t="e">
        <f>VLOOKUP(K508,$W:$X,2,0)</f>
        <v>#N/A</v>
      </c>
      <c r="O508" s="1" t="e">
        <f>VLOOKUP(L508,$Z:$AA,2,0)</f>
        <v>#N/A</v>
      </c>
      <c r="P508" s="1" t="e">
        <f>VLOOKUP(M508,$AC:$AD,2,0)</f>
        <v>#N/A</v>
      </c>
      <c r="Q508" s="1">
        <f>IF(A508&lt;&gt;"",P508+O508+N508+H508+I508+J508,0)</f>
        <v>0</v>
      </c>
    </row>
    <row r="509" spans="1:17" x14ac:dyDescent="0.25">
      <c r="A509" s="41"/>
      <c r="C509" s="41"/>
      <c r="E509" s="1" t="str">
        <f>MID(A509,1,2)</f>
        <v/>
      </c>
      <c r="F509" s="1" t="str">
        <f>MID(C509,3,2)</f>
        <v/>
      </c>
      <c r="G509" s="1" t="str">
        <f>CONCATENATE(K509,M509)</f>
        <v/>
      </c>
      <c r="H509" s="1" t="e">
        <f>VLOOKUP(K509,$W$23:$AN$40,MATCH(L509,$W$23:$AN$23,0),FALSE)</f>
        <v>#N/A</v>
      </c>
      <c r="I509" s="1" t="e">
        <f>VLOOKUP(L509,$W$23:$AN$40,MATCH(M509,$W$23:$AN$23,0),FALSE)</f>
        <v>#N/A</v>
      </c>
      <c r="J509" s="1" t="e">
        <f>VLOOKUP(K509,$W$23:$AN$40,MATCH(M509,$W$23:$AN$23,0),FALSE)</f>
        <v>#N/A</v>
      </c>
      <c r="K509" s="1" t="str">
        <f>MID(A509,1,1)</f>
        <v/>
      </c>
      <c r="L509" s="1" t="str">
        <f>MID(A509,2,1)</f>
        <v/>
      </c>
      <c r="M509" s="1" t="str">
        <f>MID(A509,4,1)</f>
        <v/>
      </c>
      <c r="N509" s="1" t="e">
        <f>VLOOKUP(K509,$W:$X,2,0)</f>
        <v>#N/A</v>
      </c>
      <c r="O509" s="1" t="e">
        <f>VLOOKUP(L509,$Z:$AA,2,0)</f>
        <v>#N/A</v>
      </c>
      <c r="P509" s="1" t="e">
        <f>VLOOKUP(M509,$AC:$AD,2,0)</f>
        <v>#N/A</v>
      </c>
      <c r="Q509" s="1">
        <f>IF(A509&lt;&gt;"",P509+O509+N509+H509+I509+J509,0)</f>
        <v>0</v>
      </c>
    </row>
    <row r="510" spans="1:17" x14ac:dyDescent="0.25">
      <c r="A510" s="41"/>
      <c r="C510" s="41"/>
      <c r="E510" s="1" t="str">
        <f>MID(A510,1,2)</f>
        <v/>
      </c>
      <c r="F510" s="1" t="str">
        <f>MID(C510,3,2)</f>
        <v/>
      </c>
      <c r="G510" s="1" t="str">
        <f>CONCATENATE(K510,M510)</f>
        <v/>
      </c>
      <c r="H510" s="1" t="e">
        <f>VLOOKUP(K510,$W$23:$AN$40,MATCH(L510,$W$23:$AN$23,0),FALSE)</f>
        <v>#N/A</v>
      </c>
      <c r="I510" s="1" t="e">
        <f>VLOOKUP(L510,$W$23:$AN$40,MATCH(M510,$W$23:$AN$23,0),FALSE)</f>
        <v>#N/A</v>
      </c>
      <c r="J510" s="1" t="e">
        <f>VLOOKUP(K510,$W$23:$AN$40,MATCH(M510,$W$23:$AN$23,0),FALSE)</f>
        <v>#N/A</v>
      </c>
      <c r="K510" s="1" t="str">
        <f>MID(A510,1,1)</f>
        <v/>
      </c>
      <c r="L510" s="1" t="str">
        <f>MID(A510,2,1)</f>
        <v/>
      </c>
      <c r="M510" s="1" t="str">
        <f>MID(A510,4,1)</f>
        <v/>
      </c>
      <c r="N510" s="1" t="e">
        <f>VLOOKUP(K510,$W:$X,2,0)</f>
        <v>#N/A</v>
      </c>
      <c r="O510" s="1" t="e">
        <f>VLOOKUP(L510,$Z:$AA,2,0)</f>
        <v>#N/A</v>
      </c>
      <c r="P510" s="1" t="e">
        <f>VLOOKUP(M510,$AC:$AD,2,0)</f>
        <v>#N/A</v>
      </c>
      <c r="Q510" s="1">
        <f>IF(A510&lt;&gt;"",P510+O510+N510+H510+I510+J510,0)</f>
        <v>0</v>
      </c>
    </row>
    <row r="511" spans="1:17" x14ac:dyDescent="0.25">
      <c r="A511" s="41"/>
      <c r="C511" s="41"/>
      <c r="E511" s="1" t="str">
        <f>MID(A511,1,2)</f>
        <v/>
      </c>
      <c r="F511" s="1" t="str">
        <f>MID(C511,3,2)</f>
        <v/>
      </c>
      <c r="G511" s="1" t="str">
        <f>CONCATENATE(K511,M511)</f>
        <v/>
      </c>
      <c r="H511" s="1" t="e">
        <f>VLOOKUP(K511,$W$23:$AN$40,MATCH(L511,$W$23:$AN$23,0),FALSE)</f>
        <v>#N/A</v>
      </c>
      <c r="I511" s="1" t="e">
        <f>VLOOKUP(L511,$W$23:$AN$40,MATCH(M511,$W$23:$AN$23,0),FALSE)</f>
        <v>#N/A</v>
      </c>
      <c r="J511" s="1" t="e">
        <f>VLOOKUP(K511,$W$23:$AN$40,MATCH(M511,$W$23:$AN$23,0),FALSE)</f>
        <v>#N/A</v>
      </c>
      <c r="K511" s="1" t="str">
        <f>MID(A511,1,1)</f>
        <v/>
      </c>
      <c r="L511" s="1" t="str">
        <f>MID(A511,2,1)</f>
        <v/>
      </c>
      <c r="M511" s="1" t="str">
        <f>MID(A511,4,1)</f>
        <v/>
      </c>
      <c r="N511" s="1" t="e">
        <f>VLOOKUP(K511,$W:$X,2,0)</f>
        <v>#N/A</v>
      </c>
      <c r="O511" s="1" t="e">
        <f>VLOOKUP(L511,$Z:$AA,2,0)</f>
        <v>#N/A</v>
      </c>
      <c r="P511" s="1" t="e">
        <f>VLOOKUP(M511,$AC:$AD,2,0)</f>
        <v>#N/A</v>
      </c>
      <c r="Q511" s="1">
        <f>IF(A511&lt;&gt;"",P511+O511+N511+H511+I511+J511,0)</f>
        <v>0</v>
      </c>
    </row>
    <row r="512" spans="1:17" x14ac:dyDescent="0.25">
      <c r="A512" s="41"/>
      <c r="C512" s="41"/>
      <c r="E512" s="1" t="str">
        <f>MID(A512,1,2)</f>
        <v/>
      </c>
      <c r="F512" s="1" t="str">
        <f>MID(C512,3,2)</f>
        <v/>
      </c>
      <c r="G512" s="1" t="str">
        <f>CONCATENATE(K512,M512)</f>
        <v/>
      </c>
      <c r="H512" s="1" t="e">
        <f>VLOOKUP(K512,$W$23:$AN$40,MATCH(L512,$W$23:$AN$23,0),FALSE)</f>
        <v>#N/A</v>
      </c>
      <c r="I512" s="1" t="e">
        <f>VLOOKUP(L512,$W$23:$AN$40,MATCH(M512,$W$23:$AN$23,0),FALSE)</f>
        <v>#N/A</v>
      </c>
      <c r="J512" s="1" t="e">
        <f>VLOOKUP(K512,$W$23:$AN$40,MATCH(M512,$W$23:$AN$23,0),FALSE)</f>
        <v>#N/A</v>
      </c>
      <c r="K512" s="1" t="str">
        <f>MID(A512,1,1)</f>
        <v/>
      </c>
      <c r="L512" s="1" t="str">
        <f>MID(A512,2,1)</f>
        <v/>
      </c>
      <c r="M512" s="1" t="str">
        <f>MID(A512,4,1)</f>
        <v/>
      </c>
      <c r="N512" s="1" t="e">
        <f>VLOOKUP(K512,$W:$X,2,0)</f>
        <v>#N/A</v>
      </c>
      <c r="O512" s="1" t="e">
        <f>VLOOKUP(L512,$Z:$AA,2,0)</f>
        <v>#N/A</v>
      </c>
      <c r="P512" s="1" t="e">
        <f>VLOOKUP(M512,$AC:$AD,2,0)</f>
        <v>#N/A</v>
      </c>
      <c r="Q512" s="1">
        <f>IF(A512&lt;&gt;"",P512+O512+N512+H512+I512+J512,0)</f>
        <v>0</v>
      </c>
    </row>
    <row r="513" spans="1:17" x14ac:dyDescent="0.25">
      <c r="A513" s="41"/>
      <c r="C513" s="41"/>
      <c r="E513" s="1" t="str">
        <f>MID(A513,1,2)</f>
        <v/>
      </c>
      <c r="F513" s="1" t="str">
        <f>MID(C513,3,2)</f>
        <v/>
      </c>
      <c r="G513" s="1" t="str">
        <f>CONCATENATE(K513,M513)</f>
        <v/>
      </c>
      <c r="H513" s="1" t="e">
        <f>VLOOKUP(K513,$W$23:$AN$40,MATCH(L513,$W$23:$AN$23,0),FALSE)</f>
        <v>#N/A</v>
      </c>
      <c r="I513" s="1" t="e">
        <f>VLOOKUP(L513,$W$23:$AN$40,MATCH(M513,$W$23:$AN$23,0),FALSE)</f>
        <v>#N/A</v>
      </c>
      <c r="J513" s="1" t="e">
        <f>VLOOKUP(K513,$W$23:$AN$40,MATCH(M513,$W$23:$AN$23,0),FALSE)</f>
        <v>#N/A</v>
      </c>
      <c r="K513" s="1" t="str">
        <f>MID(A513,1,1)</f>
        <v/>
      </c>
      <c r="L513" s="1" t="str">
        <f>MID(A513,2,1)</f>
        <v/>
      </c>
      <c r="M513" s="1" t="str">
        <f>MID(A513,4,1)</f>
        <v/>
      </c>
      <c r="N513" s="1" t="e">
        <f>VLOOKUP(K513,$W:$X,2,0)</f>
        <v>#N/A</v>
      </c>
      <c r="O513" s="1" t="e">
        <f>VLOOKUP(L513,$Z:$AA,2,0)</f>
        <v>#N/A</v>
      </c>
      <c r="P513" s="1" t="e">
        <f>VLOOKUP(M513,$AC:$AD,2,0)</f>
        <v>#N/A</v>
      </c>
      <c r="Q513" s="1">
        <f>IF(A513&lt;&gt;"",P513+O513+N513+H513+I513+J513,0)</f>
        <v>0</v>
      </c>
    </row>
    <row r="514" spans="1:17" x14ac:dyDescent="0.25">
      <c r="A514" s="41"/>
      <c r="C514" s="41"/>
      <c r="E514" s="1" t="str">
        <f>MID(A514,1,2)</f>
        <v/>
      </c>
      <c r="F514" s="1" t="str">
        <f>MID(C514,3,2)</f>
        <v/>
      </c>
      <c r="G514" s="1" t="str">
        <f>CONCATENATE(K514,M514)</f>
        <v/>
      </c>
      <c r="H514" s="1" t="e">
        <f>VLOOKUP(K514,$W$23:$AN$40,MATCH(L514,$W$23:$AN$23,0),FALSE)</f>
        <v>#N/A</v>
      </c>
      <c r="I514" s="1" t="e">
        <f>VLOOKUP(L514,$W$23:$AN$40,MATCH(M514,$W$23:$AN$23,0),FALSE)</f>
        <v>#N/A</v>
      </c>
      <c r="J514" s="1" t="e">
        <f>VLOOKUP(K514,$W$23:$AN$40,MATCH(M514,$W$23:$AN$23,0),FALSE)</f>
        <v>#N/A</v>
      </c>
      <c r="K514" s="1" t="str">
        <f>MID(A514,1,1)</f>
        <v/>
      </c>
      <c r="L514" s="1" t="str">
        <f>MID(A514,2,1)</f>
        <v/>
      </c>
      <c r="M514" s="1" t="str">
        <f>MID(A514,4,1)</f>
        <v/>
      </c>
      <c r="N514" s="1" t="e">
        <f>VLOOKUP(K514,$W:$X,2,0)</f>
        <v>#N/A</v>
      </c>
      <c r="O514" s="1" t="e">
        <f>VLOOKUP(L514,$Z:$AA,2,0)</f>
        <v>#N/A</v>
      </c>
      <c r="P514" s="1" t="e">
        <f>VLOOKUP(M514,$AC:$AD,2,0)</f>
        <v>#N/A</v>
      </c>
      <c r="Q514" s="1">
        <f>IF(A514&lt;&gt;"",P514+O514+N514+H514+I514+J514,0)</f>
        <v>0</v>
      </c>
    </row>
    <row r="515" spans="1:17" x14ac:dyDescent="0.25">
      <c r="A515" s="41"/>
      <c r="C515" s="41"/>
      <c r="E515" s="1" t="str">
        <f>MID(A515,1,2)</f>
        <v/>
      </c>
      <c r="F515" s="1" t="str">
        <f>MID(C515,3,2)</f>
        <v/>
      </c>
      <c r="G515" s="1" t="str">
        <f>CONCATENATE(K515,M515)</f>
        <v/>
      </c>
      <c r="H515" s="1" t="e">
        <f>VLOOKUP(K515,$W$23:$AN$40,MATCH(L515,$W$23:$AN$23,0),FALSE)</f>
        <v>#N/A</v>
      </c>
      <c r="I515" s="1" t="e">
        <f>VLOOKUP(L515,$W$23:$AN$40,MATCH(M515,$W$23:$AN$23,0),FALSE)</f>
        <v>#N/A</v>
      </c>
      <c r="J515" s="1" t="e">
        <f>VLOOKUP(K515,$W$23:$AN$40,MATCH(M515,$W$23:$AN$23,0),FALSE)</f>
        <v>#N/A</v>
      </c>
      <c r="K515" s="1" t="str">
        <f>MID(A515,1,1)</f>
        <v/>
      </c>
      <c r="L515" s="1" t="str">
        <f>MID(A515,2,1)</f>
        <v/>
      </c>
      <c r="M515" s="1" t="str">
        <f>MID(A515,4,1)</f>
        <v/>
      </c>
      <c r="N515" s="1" t="e">
        <f>VLOOKUP(K515,$W:$X,2,0)</f>
        <v>#N/A</v>
      </c>
      <c r="O515" s="1" t="e">
        <f>VLOOKUP(L515,$Z:$AA,2,0)</f>
        <v>#N/A</v>
      </c>
      <c r="P515" s="1" t="e">
        <f>VLOOKUP(M515,$AC:$AD,2,0)</f>
        <v>#N/A</v>
      </c>
      <c r="Q515" s="1">
        <f>IF(A515&lt;&gt;"",P515+O515+N515+H515+I515+J515,0)</f>
        <v>0</v>
      </c>
    </row>
    <row r="516" spans="1:17" x14ac:dyDescent="0.25">
      <c r="A516" s="41"/>
      <c r="C516" s="41"/>
      <c r="E516" s="1" t="str">
        <f>MID(A516,1,2)</f>
        <v/>
      </c>
      <c r="F516" s="1" t="str">
        <f>MID(C516,3,2)</f>
        <v/>
      </c>
      <c r="G516" s="1" t="str">
        <f>CONCATENATE(K516,M516)</f>
        <v/>
      </c>
      <c r="H516" s="1" t="e">
        <f>VLOOKUP(K516,$W$23:$AN$40,MATCH(L516,$W$23:$AN$23,0),FALSE)</f>
        <v>#N/A</v>
      </c>
      <c r="I516" s="1" t="e">
        <f>VLOOKUP(L516,$W$23:$AN$40,MATCH(M516,$W$23:$AN$23,0),FALSE)</f>
        <v>#N/A</v>
      </c>
      <c r="J516" s="1" t="e">
        <f>VLOOKUP(K516,$W$23:$AN$40,MATCH(M516,$W$23:$AN$23,0),FALSE)</f>
        <v>#N/A</v>
      </c>
      <c r="K516" s="1" t="str">
        <f>MID(A516,1,1)</f>
        <v/>
      </c>
      <c r="L516" s="1" t="str">
        <f>MID(A516,2,1)</f>
        <v/>
      </c>
      <c r="M516" s="1" t="str">
        <f>MID(A516,4,1)</f>
        <v/>
      </c>
      <c r="N516" s="1" t="e">
        <f>VLOOKUP(K516,$W:$X,2,0)</f>
        <v>#N/A</v>
      </c>
      <c r="O516" s="1" t="e">
        <f>VLOOKUP(L516,$Z:$AA,2,0)</f>
        <v>#N/A</v>
      </c>
      <c r="P516" s="1" t="e">
        <f>VLOOKUP(M516,$AC:$AD,2,0)</f>
        <v>#N/A</v>
      </c>
      <c r="Q516" s="1">
        <f>IF(A516&lt;&gt;"",P516+O516+N516+H516+I516+J516,0)</f>
        <v>0</v>
      </c>
    </row>
    <row r="517" spans="1:17" x14ac:dyDescent="0.25">
      <c r="A517" s="41"/>
      <c r="C517" s="41"/>
      <c r="E517" s="1" t="str">
        <f>MID(A517,1,2)</f>
        <v/>
      </c>
      <c r="F517" s="1" t="str">
        <f>MID(C517,3,2)</f>
        <v/>
      </c>
      <c r="G517" s="1" t="str">
        <f>CONCATENATE(K517,M517)</f>
        <v/>
      </c>
      <c r="H517" s="1" t="e">
        <f>VLOOKUP(K517,$W$23:$AN$40,MATCH(L517,$W$23:$AN$23,0),FALSE)</f>
        <v>#N/A</v>
      </c>
      <c r="I517" s="1" t="e">
        <f>VLOOKUP(L517,$W$23:$AN$40,MATCH(M517,$W$23:$AN$23,0),FALSE)</f>
        <v>#N/A</v>
      </c>
      <c r="J517" s="1" t="e">
        <f>VLOOKUP(K517,$W$23:$AN$40,MATCH(M517,$W$23:$AN$23,0),FALSE)</f>
        <v>#N/A</v>
      </c>
      <c r="K517" s="1" t="str">
        <f>MID(A517,1,1)</f>
        <v/>
      </c>
      <c r="L517" s="1" t="str">
        <f>MID(A517,2,1)</f>
        <v/>
      </c>
      <c r="M517" s="1" t="str">
        <f>MID(A517,4,1)</f>
        <v/>
      </c>
      <c r="N517" s="1" t="e">
        <f>VLOOKUP(K517,$W:$X,2,0)</f>
        <v>#N/A</v>
      </c>
      <c r="O517" s="1" t="e">
        <f>VLOOKUP(L517,$Z:$AA,2,0)</f>
        <v>#N/A</v>
      </c>
      <c r="P517" s="1" t="e">
        <f>VLOOKUP(M517,$AC:$AD,2,0)</f>
        <v>#N/A</v>
      </c>
      <c r="Q517" s="1">
        <f>IF(A517&lt;&gt;"",P517+O517+N517+H517+I517+J517,0)</f>
        <v>0</v>
      </c>
    </row>
    <row r="518" spans="1:17" x14ac:dyDescent="0.25">
      <c r="A518" s="41"/>
      <c r="C518" s="41"/>
      <c r="E518" s="1" t="str">
        <f>MID(A518,1,2)</f>
        <v/>
      </c>
      <c r="F518" s="1" t="str">
        <f>MID(C518,3,2)</f>
        <v/>
      </c>
      <c r="G518" s="1" t="str">
        <f>CONCATENATE(K518,M518)</f>
        <v/>
      </c>
      <c r="H518" s="1" t="e">
        <f>VLOOKUP(K518,$W$23:$AN$40,MATCH(L518,$W$23:$AN$23,0),FALSE)</f>
        <v>#N/A</v>
      </c>
      <c r="I518" s="1" t="e">
        <f>VLOOKUP(L518,$W$23:$AN$40,MATCH(M518,$W$23:$AN$23,0),FALSE)</f>
        <v>#N/A</v>
      </c>
      <c r="J518" s="1" t="e">
        <f>VLOOKUP(K518,$W$23:$AN$40,MATCH(M518,$W$23:$AN$23,0),FALSE)</f>
        <v>#N/A</v>
      </c>
      <c r="K518" s="1" t="str">
        <f>MID(A518,1,1)</f>
        <v/>
      </c>
      <c r="L518" s="1" t="str">
        <f>MID(A518,2,1)</f>
        <v/>
      </c>
      <c r="M518" s="1" t="str">
        <f>MID(A518,4,1)</f>
        <v/>
      </c>
      <c r="N518" s="1" t="e">
        <f>VLOOKUP(K518,$W:$X,2,0)</f>
        <v>#N/A</v>
      </c>
      <c r="O518" s="1" t="e">
        <f>VLOOKUP(L518,$Z:$AA,2,0)</f>
        <v>#N/A</v>
      </c>
      <c r="P518" s="1" t="e">
        <f>VLOOKUP(M518,$AC:$AD,2,0)</f>
        <v>#N/A</v>
      </c>
      <c r="Q518" s="1">
        <f>IF(A518&lt;&gt;"",P518+O518+N518+H518+I518+J518,0)</f>
        <v>0</v>
      </c>
    </row>
    <row r="519" spans="1:17" x14ac:dyDescent="0.25">
      <c r="A519" s="41"/>
      <c r="C519" s="41"/>
      <c r="E519" s="1" t="str">
        <f>MID(A519,1,2)</f>
        <v/>
      </c>
      <c r="F519" s="1" t="str">
        <f>MID(C519,3,2)</f>
        <v/>
      </c>
      <c r="G519" s="1" t="str">
        <f>CONCATENATE(K519,M519)</f>
        <v/>
      </c>
      <c r="H519" s="1" t="e">
        <f>VLOOKUP(K519,$W$23:$AN$40,MATCH(L519,$W$23:$AN$23,0),FALSE)</f>
        <v>#N/A</v>
      </c>
      <c r="I519" s="1" t="e">
        <f>VLOOKUP(L519,$W$23:$AN$40,MATCH(M519,$W$23:$AN$23,0),FALSE)</f>
        <v>#N/A</v>
      </c>
      <c r="J519" s="1" t="e">
        <f>VLOOKUP(K519,$W$23:$AN$40,MATCH(M519,$W$23:$AN$23,0),FALSE)</f>
        <v>#N/A</v>
      </c>
      <c r="K519" s="1" t="str">
        <f>MID(A519,1,1)</f>
        <v/>
      </c>
      <c r="L519" s="1" t="str">
        <f>MID(A519,2,1)</f>
        <v/>
      </c>
      <c r="M519" s="1" t="str">
        <f>MID(A519,4,1)</f>
        <v/>
      </c>
      <c r="N519" s="1" t="e">
        <f>VLOOKUP(K519,$W:$X,2,0)</f>
        <v>#N/A</v>
      </c>
      <c r="O519" s="1" t="e">
        <f>VLOOKUP(L519,$Z:$AA,2,0)</f>
        <v>#N/A</v>
      </c>
      <c r="P519" s="1" t="e">
        <f>VLOOKUP(M519,$AC:$AD,2,0)</f>
        <v>#N/A</v>
      </c>
      <c r="Q519" s="1">
        <f>IF(A519&lt;&gt;"",P519+O519+N519+H519+I519+J519,0)</f>
        <v>0</v>
      </c>
    </row>
    <row r="520" spans="1:17" x14ac:dyDescent="0.25">
      <c r="A520" s="41"/>
      <c r="C520" s="41"/>
      <c r="E520" s="1" t="str">
        <f>MID(A520,1,2)</f>
        <v/>
      </c>
      <c r="F520" s="1" t="str">
        <f>MID(C520,3,2)</f>
        <v/>
      </c>
      <c r="G520" s="1" t="str">
        <f>CONCATENATE(K520,M520)</f>
        <v/>
      </c>
      <c r="H520" s="1" t="e">
        <f>VLOOKUP(K520,$W$23:$AN$40,MATCH(L520,$W$23:$AN$23,0),FALSE)</f>
        <v>#N/A</v>
      </c>
      <c r="I520" s="1" t="e">
        <f>VLOOKUP(L520,$W$23:$AN$40,MATCH(M520,$W$23:$AN$23,0),FALSE)</f>
        <v>#N/A</v>
      </c>
      <c r="J520" s="1" t="e">
        <f>VLOOKUP(K520,$W$23:$AN$40,MATCH(M520,$W$23:$AN$23,0),FALSE)</f>
        <v>#N/A</v>
      </c>
      <c r="K520" s="1" t="str">
        <f>MID(A520,1,1)</f>
        <v/>
      </c>
      <c r="L520" s="1" t="str">
        <f>MID(A520,2,1)</f>
        <v/>
      </c>
      <c r="M520" s="1" t="str">
        <f>MID(A520,4,1)</f>
        <v/>
      </c>
      <c r="N520" s="1" t="e">
        <f>VLOOKUP(K520,$W:$X,2,0)</f>
        <v>#N/A</v>
      </c>
      <c r="O520" s="1" t="e">
        <f>VLOOKUP(L520,$Z:$AA,2,0)</f>
        <v>#N/A</v>
      </c>
      <c r="P520" s="1" t="e">
        <f>VLOOKUP(M520,$AC:$AD,2,0)</f>
        <v>#N/A</v>
      </c>
      <c r="Q520" s="1">
        <f>IF(A520&lt;&gt;"",P520+O520+N520+H520+I520+J520,0)</f>
        <v>0</v>
      </c>
    </row>
    <row r="521" spans="1:17" x14ac:dyDescent="0.25">
      <c r="A521" s="41"/>
      <c r="C521" s="41"/>
      <c r="E521" s="1" t="str">
        <f>MID(A521,1,2)</f>
        <v/>
      </c>
      <c r="F521" s="1" t="str">
        <f>MID(C521,3,2)</f>
        <v/>
      </c>
      <c r="G521" s="1" t="str">
        <f>CONCATENATE(K521,M521)</f>
        <v/>
      </c>
      <c r="H521" s="1" t="e">
        <f>VLOOKUP(K521,$W$23:$AN$40,MATCH(L521,$W$23:$AN$23,0),FALSE)</f>
        <v>#N/A</v>
      </c>
      <c r="I521" s="1" t="e">
        <f>VLOOKUP(L521,$W$23:$AN$40,MATCH(M521,$W$23:$AN$23,0),FALSE)</f>
        <v>#N/A</v>
      </c>
      <c r="J521" s="1" t="e">
        <f>VLOOKUP(K521,$W$23:$AN$40,MATCH(M521,$W$23:$AN$23,0),FALSE)</f>
        <v>#N/A</v>
      </c>
      <c r="K521" s="1" t="str">
        <f>MID(A521,1,1)</f>
        <v/>
      </c>
      <c r="L521" s="1" t="str">
        <f>MID(A521,2,1)</f>
        <v/>
      </c>
      <c r="M521" s="1" t="str">
        <f>MID(A521,4,1)</f>
        <v/>
      </c>
      <c r="N521" s="1" t="e">
        <f>VLOOKUP(K521,$W:$X,2,0)</f>
        <v>#N/A</v>
      </c>
      <c r="O521" s="1" t="e">
        <f>VLOOKUP(L521,$Z:$AA,2,0)</f>
        <v>#N/A</v>
      </c>
      <c r="P521" s="1" t="e">
        <f>VLOOKUP(M521,$AC:$AD,2,0)</f>
        <v>#N/A</v>
      </c>
      <c r="Q521" s="1">
        <f>IF(A521&lt;&gt;"",P521+O521+N521+H521+I521+J521,0)</f>
        <v>0</v>
      </c>
    </row>
    <row r="522" spans="1:17" x14ac:dyDescent="0.25">
      <c r="A522" s="41"/>
      <c r="C522" s="41"/>
      <c r="E522" s="1" t="str">
        <f>MID(A522,1,2)</f>
        <v/>
      </c>
      <c r="F522" s="1" t="str">
        <f>MID(C522,3,2)</f>
        <v/>
      </c>
      <c r="G522" s="1" t="str">
        <f>CONCATENATE(K522,M522)</f>
        <v/>
      </c>
      <c r="H522" s="1" t="e">
        <f>VLOOKUP(K522,$W$23:$AN$40,MATCH(L522,$W$23:$AN$23,0),FALSE)</f>
        <v>#N/A</v>
      </c>
      <c r="I522" s="1" t="e">
        <f>VLOOKUP(L522,$W$23:$AN$40,MATCH(M522,$W$23:$AN$23,0),FALSE)</f>
        <v>#N/A</v>
      </c>
      <c r="J522" s="1" t="e">
        <f>VLOOKUP(K522,$W$23:$AN$40,MATCH(M522,$W$23:$AN$23,0),FALSE)</f>
        <v>#N/A</v>
      </c>
      <c r="K522" s="1" t="str">
        <f>MID(A522,1,1)</f>
        <v/>
      </c>
      <c r="L522" s="1" t="str">
        <f>MID(A522,2,1)</f>
        <v/>
      </c>
      <c r="M522" s="1" t="str">
        <f>MID(A522,4,1)</f>
        <v/>
      </c>
      <c r="N522" s="1" t="e">
        <f>VLOOKUP(K522,$W:$X,2,0)</f>
        <v>#N/A</v>
      </c>
      <c r="O522" s="1" t="e">
        <f>VLOOKUP(L522,$Z:$AA,2,0)</f>
        <v>#N/A</v>
      </c>
      <c r="P522" s="1" t="e">
        <f>VLOOKUP(M522,$AC:$AD,2,0)</f>
        <v>#N/A</v>
      </c>
      <c r="Q522" s="1">
        <f>IF(A522&lt;&gt;"",P522+O522+N522+H522+I522+J522,0)</f>
        <v>0</v>
      </c>
    </row>
    <row r="523" spans="1:17" x14ac:dyDescent="0.25">
      <c r="A523" s="41"/>
      <c r="C523" s="41"/>
      <c r="E523" s="1" t="str">
        <f>MID(A523,1,2)</f>
        <v/>
      </c>
      <c r="F523" s="1" t="str">
        <f>MID(C523,3,2)</f>
        <v/>
      </c>
      <c r="G523" s="1" t="str">
        <f>CONCATENATE(K523,M523)</f>
        <v/>
      </c>
      <c r="H523" s="1" t="e">
        <f>VLOOKUP(K523,$W$23:$AN$40,MATCH(L523,$W$23:$AN$23,0),FALSE)</f>
        <v>#N/A</v>
      </c>
      <c r="I523" s="1" t="e">
        <f>VLOOKUP(L523,$W$23:$AN$40,MATCH(M523,$W$23:$AN$23,0),FALSE)</f>
        <v>#N/A</v>
      </c>
      <c r="J523" s="1" t="e">
        <f>VLOOKUP(K523,$W$23:$AN$40,MATCH(M523,$W$23:$AN$23,0),FALSE)</f>
        <v>#N/A</v>
      </c>
      <c r="K523" s="1" t="str">
        <f>MID(A523,1,1)</f>
        <v/>
      </c>
      <c r="L523" s="1" t="str">
        <f>MID(A523,2,1)</f>
        <v/>
      </c>
      <c r="M523" s="1" t="str">
        <f>MID(A523,4,1)</f>
        <v/>
      </c>
      <c r="N523" s="1" t="e">
        <f>VLOOKUP(K523,$W:$X,2,0)</f>
        <v>#N/A</v>
      </c>
      <c r="O523" s="1" t="e">
        <f>VLOOKUP(L523,$Z:$AA,2,0)</f>
        <v>#N/A</v>
      </c>
      <c r="P523" s="1" t="e">
        <f>VLOOKUP(M523,$AC:$AD,2,0)</f>
        <v>#N/A</v>
      </c>
      <c r="Q523" s="1">
        <f>IF(A523&lt;&gt;"",P523+O523+N523+H523+I523+J523,0)</f>
        <v>0</v>
      </c>
    </row>
    <row r="524" spans="1:17" x14ac:dyDescent="0.25">
      <c r="A524" s="41"/>
      <c r="C524" s="41"/>
      <c r="E524" s="1" t="str">
        <f>MID(A524,1,2)</f>
        <v/>
      </c>
      <c r="F524" s="1" t="str">
        <f>MID(C524,3,2)</f>
        <v/>
      </c>
      <c r="G524" s="1" t="str">
        <f>CONCATENATE(K524,M524)</f>
        <v/>
      </c>
      <c r="H524" s="1" t="e">
        <f>VLOOKUP(K524,$W$23:$AN$40,MATCH(L524,$W$23:$AN$23,0),FALSE)</f>
        <v>#N/A</v>
      </c>
      <c r="I524" s="1" t="e">
        <f>VLOOKUP(L524,$W$23:$AN$40,MATCH(M524,$W$23:$AN$23,0),FALSE)</f>
        <v>#N/A</v>
      </c>
      <c r="J524" s="1" t="e">
        <f>VLOOKUP(K524,$W$23:$AN$40,MATCH(M524,$W$23:$AN$23,0),FALSE)</f>
        <v>#N/A</v>
      </c>
      <c r="K524" s="1" t="str">
        <f>MID(A524,1,1)</f>
        <v/>
      </c>
      <c r="L524" s="1" t="str">
        <f>MID(A524,2,1)</f>
        <v/>
      </c>
      <c r="M524" s="1" t="str">
        <f>MID(A524,4,1)</f>
        <v/>
      </c>
      <c r="N524" s="1" t="e">
        <f>VLOOKUP(K524,$W:$X,2,0)</f>
        <v>#N/A</v>
      </c>
      <c r="O524" s="1" t="e">
        <f>VLOOKUP(L524,$Z:$AA,2,0)</f>
        <v>#N/A</v>
      </c>
      <c r="P524" s="1" t="e">
        <f>VLOOKUP(M524,$AC:$AD,2,0)</f>
        <v>#N/A</v>
      </c>
      <c r="Q524" s="1">
        <f>IF(A524&lt;&gt;"",P524+O524+N524+H524+I524+J524,0)</f>
        <v>0</v>
      </c>
    </row>
    <row r="525" spans="1:17" x14ac:dyDescent="0.25">
      <c r="A525" s="41"/>
      <c r="C525" s="41"/>
      <c r="E525" s="1" t="str">
        <f>MID(A525,1,2)</f>
        <v/>
      </c>
      <c r="F525" s="1" t="str">
        <f>MID(C525,3,2)</f>
        <v/>
      </c>
      <c r="G525" s="1" t="str">
        <f>CONCATENATE(K525,M525)</f>
        <v/>
      </c>
      <c r="H525" s="1" t="e">
        <f>VLOOKUP(K525,$W$23:$AN$40,MATCH(L525,$W$23:$AN$23,0),FALSE)</f>
        <v>#N/A</v>
      </c>
      <c r="I525" s="1" t="e">
        <f>VLOOKUP(L525,$W$23:$AN$40,MATCH(M525,$W$23:$AN$23,0),FALSE)</f>
        <v>#N/A</v>
      </c>
      <c r="J525" s="1" t="e">
        <f>VLOOKUP(K525,$W$23:$AN$40,MATCH(M525,$W$23:$AN$23,0),FALSE)</f>
        <v>#N/A</v>
      </c>
      <c r="K525" s="1" t="str">
        <f>MID(A525,1,1)</f>
        <v/>
      </c>
      <c r="L525" s="1" t="str">
        <f>MID(A525,2,1)</f>
        <v/>
      </c>
      <c r="M525" s="1" t="str">
        <f>MID(A525,4,1)</f>
        <v/>
      </c>
      <c r="N525" s="1" t="e">
        <f>VLOOKUP(K525,$W:$X,2,0)</f>
        <v>#N/A</v>
      </c>
      <c r="O525" s="1" t="e">
        <f>VLOOKUP(L525,$Z:$AA,2,0)</f>
        <v>#N/A</v>
      </c>
      <c r="P525" s="1" t="e">
        <f>VLOOKUP(M525,$AC:$AD,2,0)</f>
        <v>#N/A</v>
      </c>
      <c r="Q525" s="1">
        <f>IF(A525&lt;&gt;"",P525+O525+N525+H525+I525+J525,0)</f>
        <v>0</v>
      </c>
    </row>
    <row r="526" spans="1:17" x14ac:dyDescent="0.25">
      <c r="A526" s="41"/>
      <c r="C526" s="41"/>
      <c r="E526" s="1" t="str">
        <f>MID(A526,1,2)</f>
        <v/>
      </c>
      <c r="F526" s="1" t="str">
        <f>MID(C526,3,2)</f>
        <v/>
      </c>
      <c r="G526" s="1" t="str">
        <f>CONCATENATE(K526,M526)</f>
        <v/>
      </c>
      <c r="H526" s="1" t="e">
        <f>VLOOKUP(K526,$W$23:$AN$40,MATCH(L526,$W$23:$AN$23,0),FALSE)</f>
        <v>#N/A</v>
      </c>
      <c r="I526" s="1" t="e">
        <f>VLOOKUP(L526,$W$23:$AN$40,MATCH(M526,$W$23:$AN$23,0),FALSE)</f>
        <v>#N/A</v>
      </c>
      <c r="J526" s="1" t="e">
        <f>VLOOKUP(K526,$W$23:$AN$40,MATCH(M526,$W$23:$AN$23,0),FALSE)</f>
        <v>#N/A</v>
      </c>
      <c r="K526" s="1" t="str">
        <f>MID(A526,1,1)</f>
        <v/>
      </c>
      <c r="L526" s="1" t="str">
        <f>MID(A526,2,1)</f>
        <v/>
      </c>
      <c r="M526" s="1" t="str">
        <f>MID(A526,4,1)</f>
        <v/>
      </c>
      <c r="N526" s="1" t="e">
        <f>VLOOKUP(K526,$W:$X,2,0)</f>
        <v>#N/A</v>
      </c>
      <c r="O526" s="1" t="e">
        <f>VLOOKUP(L526,$Z:$AA,2,0)</f>
        <v>#N/A</v>
      </c>
      <c r="P526" s="1" t="e">
        <f>VLOOKUP(M526,$AC:$AD,2,0)</f>
        <v>#N/A</v>
      </c>
      <c r="Q526" s="1">
        <f>IF(A526&lt;&gt;"",P526+O526+N526+H526+I526+J526,0)</f>
        <v>0</v>
      </c>
    </row>
    <row r="527" spans="1:17" x14ac:dyDescent="0.25">
      <c r="A527" s="41"/>
      <c r="C527" s="41"/>
      <c r="E527" s="1" t="str">
        <f>MID(A527,1,2)</f>
        <v/>
      </c>
      <c r="F527" s="1" t="str">
        <f>MID(C527,3,2)</f>
        <v/>
      </c>
      <c r="G527" s="1" t="str">
        <f>CONCATENATE(K527,M527)</f>
        <v/>
      </c>
      <c r="H527" s="1" t="e">
        <f>VLOOKUP(K527,$W$23:$AN$40,MATCH(L527,$W$23:$AN$23,0),FALSE)</f>
        <v>#N/A</v>
      </c>
      <c r="I527" s="1" t="e">
        <f>VLOOKUP(L527,$W$23:$AN$40,MATCH(M527,$W$23:$AN$23,0),FALSE)</f>
        <v>#N/A</v>
      </c>
      <c r="J527" s="1" t="e">
        <f>VLOOKUP(K527,$W$23:$AN$40,MATCH(M527,$W$23:$AN$23,0),FALSE)</f>
        <v>#N/A</v>
      </c>
      <c r="K527" s="1" t="str">
        <f>MID(A527,1,1)</f>
        <v/>
      </c>
      <c r="L527" s="1" t="str">
        <f>MID(A527,2,1)</f>
        <v/>
      </c>
      <c r="M527" s="1" t="str">
        <f>MID(A527,4,1)</f>
        <v/>
      </c>
      <c r="N527" s="1" t="e">
        <f>VLOOKUP(K527,$W:$X,2,0)</f>
        <v>#N/A</v>
      </c>
      <c r="O527" s="1" t="e">
        <f>VLOOKUP(L527,$Z:$AA,2,0)</f>
        <v>#N/A</v>
      </c>
      <c r="P527" s="1" t="e">
        <f>VLOOKUP(M527,$AC:$AD,2,0)</f>
        <v>#N/A</v>
      </c>
      <c r="Q527" s="1">
        <f>IF(A527&lt;&gt;"",P527+O527+N527+H527+I527+J527,0)</f>
        <v>0</v>
      </c>
    </row>
    <row r="528" spans="1:17" x14ac:dyDescent="0.25">
      <c r="A528" s="41"/>
      <c r="C528" s="41"/>
      <c r="E528" s="1" t="str">
        <f>MID(A528,1,2)</f>
        <v/>
      </c>
      <c r="F528" s="1" t="str">
        <f>MID(C528,3,2)</f>
        <v/>
      </c>
      <c r="G528" s="1" t="str">
        <f>CONCATENATE(K528,M528)</f>
        <v/>
      </c>
      <c r="H528" s="1" t="e">
        <f>VLOOKUP(K528,$W$23:$AN$40,MATCH(L528,$W$23:$AN$23,0),FALSE)</f>
        <v>#N/A</v>
      </c>
      <c r="I528" s="1" t="e">
        <f>VLOOKUP(L528,$W$23:$AN$40,MATCH(M528,$W$23:$AN$23,0),FALSE)</f>
        <v>#N/A</v>
      </c>
      <c r="J528" s="1" t="e">
        <f>VLOOKUP(K528,$W$23:$AN$40,MATCH(M528,$W$23:$AN$23,0),FALSE)</f>
        <v>#N/A</v>
      </c>
      <c r="K528" s="1" t="str">
        <f>MID(A528,1,1)</f>
        <v/>
      </c>
      <c r="L528" s="1" t="str">
        <f>MID(A528,2,1)</f>
        <v/>
      </c>
      <c r="M528" s="1" t="str">
        <f>MID(A528,4,1)</f>
        <v/>
      </c>
      <c r="N528" s="1" t="e">
        <f>VLOOKUP(K528,$W:$X,2,0)</f>
        <v>#N/A</v>
      </c>
      <c r="O528" s="1" t="e">
        <f>VLOOKUP(L528,$Z:$AA,2,0)</f>
        <v>#N/A</v>
      </c>
      <c r="P528" s="1" t="e">
        <f>VLOOKUP(M528,$AC:$AD,2,0)</f>
        <v>#N/A</v>
      </c>
      <c r="Q528" s="1">
        <f>IF(A528&lt;&gt;"",P528+O528+N528+H528+I528+J528,0)</f>
        <v>0</v>
      </c>
    </row>
    <row r="529" spans="1:17" x14ac:dyDescent="0.25">
      <c r="A529" s="41"/>
      <c r="C529" s="41"/>
      <c r="E529" s="1" t="str">
        <f>MID(A529,1,2)</f>
        <v/>
      </c>
      <c r="F529" s="1" t="str">
        <f>MID(C529,3,2)</f>
        <v/>
      </c>
      <c r="G529" s="1" t="str">
        <f>CONCATENATE(K529,M529)</f>
        <v/>
      </c>
      <c r="H529" s="1" t="e">
        <f>VLOOKUP(K529,$W$23:$AN$40,MATCH(L529,$W$23:$AN$23,0),FALSE)</f>
        <v>#N/A</v>
      </c>
      <c r="I529" s="1" t="e">
        <f>VLOOKUP(L529,$W$23:$AN$40,MATCH(M529,$W$23:$AN$23,0),FALSE)</f>
        <v>#N/A</v>
      </c>
      <c r="J529" s="1" t="e">
        <f>VLOOKUP(K529,$W$23:$AN$40,MATCH(M529,$W$23:$AN$23,0),FALSE)</f>
        <v>#N/A</v>
      </c>
      <c r="K529" s="1" t="str">
        <f>MID(A529,1,1)</f>
        <v/>
      </c>
      <c r="L529" s="1" t="str">
        <f>MID(A529,2,1)</f>
        <v/>
      </c>
      <c r="M529" s="1" t="str">
        <f>MID(A529,4,1)</f>
        <v/>
      </c>
      <c r="N529" s="1" t="e">
        <f>VLOOKUP(K529,$W:$X,2,0)</f>
        <v>#N/A</v>
      </c>
      <c r="O529" s="1" t="e">
        <f>VLOOKUP(L529,$Z:$AA,2,0)</f>
        <v>#N/A</v>
      </c>
      <c r="P529" s="1" t="e">
        <f>VLOOKUP(M529,$AC:$AD,2,0)</f>
        <v>#N/A</v>
      </c>
      <c r="Q529" s="1">
        <f>IF(A529&lt;&gt;"",P529+O529+N529+H529+I529+J529,0)</f>
        <v>0</v>
      </c>
    </row>
    <row r="530" spans="1:17" x14ac:dyDescent="0.25">
      <c r="A530" s="41"/>
      <c r="C530" s="41"/>
      <c r="E530" s="1" t="str">
        <f>MID(A530,1,2)</f>
        <v/>
      </c>
      <c r="F530" s="1" t="str">
        <f>MID(C530,3,2)</f>
        <v/>
      </c>
      <c r="G530" s="1" t="str">
        <f>CONCATENATE(K530,M530)</f>
        <v/>
      </c>
      <c r="H530" s="1" t="e">
        <f>VLOOKUP(K530,$W$23:$AN$40,MATCH(L530,$W$23:$AN$23,0),FALSE)</f>
        <v>#N/A</v>
      </c>
      <c r="I530" s="1" t="e">
        <f>VLOOKUP(L530,$W$23:$AN$40,MATCH(M530,$W$23:$AN$23,0),FALSE)</f>
        <v>#N/A</v>
      </c>
      <c r="J530" s="1" t="e">
        <f>VLOOKUP(K530,$W$23:$AN$40,MATCH(M530,$W$23:$AN$23,0),FALSE)</f>
        <v>#N/A</v>
      </c>
      <c r="K530" s="1" t="str">
        <f>MID(A530,1,1)</f>
        <v/>
      </c>
      <c r="L530" s="1" t="str">
        <f>MID(A530,2,1)</f>
        <v/>
      </c>
      <c r="M530" s="1" t="str">
        <f>MID(A530,4,1)</f>
        <v/>
      </c>
      <c r="N530" s="1" t="e">
        <f>VLOOKUP(K530,$W:$X,2,0)</f>
        <v>#N/A</v>
      </c>
      <c r="O530" s="1" t="e">
        <f>VLOOKUP(L530,$Z:$AA,2,0)</f>
        <v>#N/A</v>
      </c>
      <c r="P530" s="1" t="e">
        <f>VLOOKUP(M530,$AC:$AD,2,0)</f>
        <v>#N/A</v>
      </c>
      <c r="Q530" s="1">
        <f>IF(A530&lt;&gt;"",P530+O530+N530+H530+I530+J530,0)</f>
        <v>0</v>
      </c>
    </row>
    <row r="531" spans="1:17" x14ac:dyDescent="0.25">
      <c r="A531" s="41"/>
      <c r="C531" s="41"/>
      <c r="E531" s="1" t="str">
        <f>MID(A531,1,2)</f>
        <v/>
      </c>
      <c r="F531" s="1" t="str">
        <f>MID(C531,3,2)</f>
        <v/>
      </c>
      <c r="G531" s="1" t="str">
        <f>CONCATENATE(K531,M531)</f>
        <v/>
      </c>
      <c r="H531" s="1" t="e">
        <f>VLOOKUP(K531,$W$23:$AN$40,MATCH(L531,$W$23:$AN$23,0),FALSE)</f>
        <v>#N/A</v>
      </c>
      <c r="I531" s="1" t="e">
        <f>VLOOKUP(L531,$W$23:$AN$40,MATCH(M531,$W$23:$AN$23,0),FALSE)</f>
        <v>#N/A</v>
      </c>
      <c r="J531" s="1" t="e">
        <f>VLOOKUP(K531,$W$23:$AN$40,MATCH(M531,$W$23:$AN$23,0),FALSE)</f>
        <v>#N/A</v>
      </c>
      <c r="K531" s="1" t="str">
        <f>MID(A531,1,1)</f>
        <v/>
      </c>
      <c r="L531" s="1" t="str">
        <f>MID(A531,2,1)</f>
        <v/>
      </c>
      <c r="M531" s="1" t="str">
        <f>MID(A531,4,1)</f>
        <v/>
      </c>
      <c r="N531" s="1" t="e">
        <f>VLOOKUP(K531,$W:$X,2,0)</f>
        <v>#N/A</v>
      </c>
      <c r="O531" s="1" t="e">
        <f>VLOOKUP(L531,$Z:$AA,2,0)</f>
        <v>#N/A</v>
      </c>
      <c r="P531" s="1" t="e">
        <f>VLOOKUP(M531,$AC:$AD,2,0)</f>
        <v>#N/A</v>
      </c>
      <c r="Q531" s="1">
        <f>IF(A531&lt;&gt;"",P531+O531+N531+H531+I531+J531,0)</f>
        <v>0</v>
      </c>
    </row>
    <row r="532" spans="1:17" x14ac:dyDescent="0.25">
      <c r="A532" s="41"/>
      <c r="C532" s="41"/>
      <c r="E532" s="1" t="str">
        <f>MID(A532,1,2)</f>
        <v/>
      </c>
      <c r="F532" s="1" t="str">
        <f>MID(C532,3,2)</f>
        <v/>
      </c>
      <c r="G532" s="1" t="str">
        <f>CONCATENATE(K532,M532)</f>
        <v/>
      </c>
      <c r="H532" s="1" t="e">
        <f>VLOOKUP(K532,$W$23:$AN$40,MATCH(L532,$W$23:$AN$23,0),FALSE)</f>
        <v>#N/A</v>
      </c>
      <c r="I532" s="1" t="e">
        <f>VLOOKUP(L532,$W$23:$AN$40,MATCH(M532,$W$23:$AN$23,0),FALSE)</f>
        <v>#N/A</v>
      </c>
      <c r="J532" s="1" t="e">
        <f>VLOOKUP(K532,$W$23:$AN$40,MATCH(M532,$W$23:$AN$23,0),FALSE)</f>
        <v>#N/A</v>
      </c>
      <c r="K532" s="1" t="str">
        <f>MID(A532,1,1)</f>
        <v/>
      </c>
      <c r="L532" s="1" t="str">
        <f>MID(A532,2,1)</f>
        <v/>
      </c>
      <c r="M532" s="1" t="str">
        <f>MID(A532,4,1)</f>
        <v/>
      </c>
      <c r="N532" s="1" t="e">
        <f>VLOOKUP(K532,$W:$X,2,0)</f>
        <v>#N/A</v>
      </c>
      <c r="O532" s="1" t="e">
        <f>VLOOKUP(L532,$Z:$AA,2,0)</f>
        <v>#N/A</v>
      </c>
      <c r="P532" s="1" t="e">
        <f>VLOOKUP(M532,$AC:$AD,2,0)</f>
        <v>#N/A</v>
      </c>
      <c r="Q532" s="1">
        <f>IF(A532&lt;&gt;"",P532+O532+N532+H532+I532+J532,0)</f>
        <v>0</v>
      </c>
    </row>
    <row r="533" spans="1:17" x14ac:dyDescent="0.25">
      <c r="A533" s="41"/>
      <c r="C533" s="41"/>
      <c r="E533" s="1" t="str">
        <f>MID(A533,1,2)</f>
        <v/>
      </c>
      <c r="F533" s="1" t="str">
        <f>MID(C533,3,2)</f>
        <v/>
      </c>
      <c r="G533" s="1" t="str">
        <f>CONCATENATE(K533,M533)</f>
        <v/>
      </c>
      <c r="H533" s="1" t="e">
        <f>VLOOKUP(K533,$W$23:$AN$40,MATCH(L533,$W$23:$AN$23,0),FALSE)</f>
        <v>#N/A</v>
      </c>
      <c r="I533" s="1" t="e">
        <f>VLOOKUP(L533,$W$23:$AN$40,MATCH(M533,$W$23:$AN$23,0),FALSE)</f>
        <v>#N/A</v>
      </c>
      <c r="J533" s="1" t="e">
        <f>VLOOKUP(K533,$W$23:$AN$40,MATCH(M533,$W$23:$AN$23,0),FALSE)</f>
        <v>#N/A</v>
      </c>
      <c r="K533" s="1" t="str">
        <f>MID(A533,1,1)</f>
        <v/>
      </c>
      <c r="L533" s="1" t="str">
        <f>MID(A533,2,1)</f>
        <v/>
      </c>
      <c r="M533" s="1" t="str">
        <f>MID(A533,4,1)</f>
        <v/>
      </c>
      <c r="N533" s="1" t="e">
        <f>VLOOKUP(K533,$W:$X,2,0)</f>
        <v>#N/A</v>
      </c>
      <c r="O533" s="1" t="e">
        <f>VLOOKUP(L533,$Z:$AA,2,0)</f>
        <v>#N/A</v>
      </c>
      <c r="P533" s="1" t="e">
        <f>VLOOKUP(M533,$AC:$AD,2,0)</f>
        <v>#N/A</v>
      </c>
      <c r="Q533" s="1">
        <f>IF(A533&lt;&gt;"",P533+O533+N533+H533+I533+J533,0)</f>
        <v>0</v>
      </c>
    </row>
    <row r="534" spans="1:17" x14ac:dyDescent="0.25">
      <c r="A534" s="41"/>
      <c r="C534" s="41"/>
      <c r="E534" s="1" t="str">
        <f>MID(A534,1,2)</f>
        <v/>
      </c>
      <c r="F534" s="1" t="str">
        <f>MID(C534,3,2)</f>
        <v/>
      </c>
      <c r="G534" s="1" t="str">
        <f>CONCATENATE(K534,M534)</f>
        <v/>
      </c>
      <c r="H534" s="1" t="e">
        <f>VLOOKUP(K534,$W$23:$AN$40,MATCH(L534,$W$23:$AN$23,0),FALSE)</f>
        <v>#N/A</v>
      </c>
      <c r="I534" s="1" t="e">
        <f>VLOOKUP(L534,$W$23:$AN$40,MATCH(M534,$W$23:$AN$23,0),FALSE)</f>
        <v>#N/A</v>
      </c>
      <c r="J534" s="1" t="e">
        <f>VLOOKUP(K534,$W$23:$AN$40,MATCH(M534,$W$23:$AN$23,0),FALSE)</f>
        <v>#N/A</v>
      </c>
      <c r="K534" s="1" t="str">
        <f>MID(A534,1,1)</f>
        <v/>
      </c>
      <c r="L534" s="1" t="str">
        <f>MID(A534,2,1)</f>
        <v/>
      </c>
      <c r="M534" s="1" t="str">
        <f>MID(A534,4,1)</f>
        <v/>
      </c>
      <c r="N534" s="1" t="e">
        <f>VLOOKUP(K534,$W:$X,2,0)</f>
        <v>#N/A</v>
      </c>
      <c r="O534" s="1" t="e">
        <f>VLOOKUP(L534,$Z:$AA,2,0)</f>
        <v>#N/A</v>
      </c>
      <c r="P534" s="1" t="e">
        <f>VLOOKUP(M534,$AC:$AD,2,0)</f>
        <v>#N/A</v>
      </c>
      <c r="Q534" s="1">
        <f>IF(A534&lt;&gt;"",P534+O534+N534+H534+I534+J534,0)</f>
        <v>0</v>
      </c>
    </row>
    <row r="535" spans="1:17" x14ac:dyDescent="0.25">
      <c r="A535" s="41"/>
      <c r="C535" s="41"/>
      <c r="E535" s="1" t="str">
        <f>MID(A535,1,2)</f>
        <v/>
      </c>
      <c r="F535" s="1" t="str">
        <f>MID(C535,3,2)</f>
        <v/>
      </c>
      <c r="G535" s="1" t="str">
        <f>CONCATENATE(K535,M535)</f>
        <v/>
      </c>
      <c r="H535" s="1" t="e">
        <f>VLOOKUP(K535,$W$23:$AN$40,MATCH(L535,$W$23:$AN$23,0),FALSE)</f>
        <v>#N/A</v>
      </c>
      <c r="I535" s="1" t="e">
        <f>VLOOKUP(L535,$W$23:$AN$40,MATCH(M535,$W$23:$AN$23,0),FALSE)</f>
        <v>#N/A</v>
      </c>
      <c r="J535" s="1" t="e">
        <f>VLOOKUP(K535,$W$23:$AN$40,MATCH(M535,$W$23:$AN$23,0),FALSE)</f>
        <v>#N/A</v>
      </c>
      <c r="K535" s="1" t="str">
        <f>MID(A535,1,1)</f>
        <v/>
      </c>
      <c r="L535" s="1" t="str">
        <f>MID(A535,2,1)</f>
        <v/>
      </c>
      <c r="M535" s="1" t="str">
        <f>MID(A535,4,1)</f>
        <v/>
      </c>
      <c r="N535" s="1" t="e">
        <f>VLOOKUP(K535,$W:$X,2,0)</f>
        <v>#N/A</v>
      </c>
      <c r="O535" s="1" t="e">
        <f>VLOOKUP(L535,$Z:$AA,2,0)</f>
        <v>#N/A</v>
      </c>
      <c r="P535" s="1" t="e">
        <f>VLOOKUP(M535,$AC:$AD,2,0)</f>
        <v>#N/A</v>
      </c>
      <c r="Q535" s="1">
        <f>IF(A535&lt;&gt;"",P535+O535+N535+H535+I535+J535,0)</f>
        <v>0</v>
      </c>
    </row>
    <row r="536" spans="1:17" x14ac:dyDescent="0.25">
      <c r="A536" s="41"/>
      <c r="C536" s="41"/>
      <c r="E536" s="1" t="str">
        <f>MID(A536,1,2)</f>
        <v/>
      </c>
      <c r="F536" s="1" t="str">
        <f>MID(C536,3,2)</f>
        <v/>
      </c>
      <c r="G536" s="1" t="str">
        <f>CONCATENATE(K536,M536)</f>
        <v/>
      </c>
      <c r="H536" s="1" t="e">
        <f>VLOOKUP(K536,$W$23:$AN$40,MATCH(L536,$W$23:$AN$23,0),FALSE)</f>
        <v>#N/A</v>
      </c>
      <c r="I536" s="1" t="e">
        <f>VLOOKUP(L536,$W$23:$AN$40,MATCH(M536,$W$23:$AN$23,0),FALSE)</f>
        <v>#N/A</v>
      </c>
      <c r="J536" s="1" t="e">
        <f>VLOOKUP(K536,$W$23:$AN$40,MATCH(M536,$W$23:$AN$23,0),FALSE)</f>
        <v>#N/A</v>
      </c>
      <c r="K536" s="1" t="str">
        <f>MID(A536,1,1)</f>
        <v/>
      </c>
      <c r="L536" s="1" t="str">
        <f>MID(A536,2,1)</f>
        <v/>
      </c>
      <c r="M536" s="1" t="str">
        <f>MID(A536,4,1)</f>
        <v/>
      </c>
      <c r="N536" s="1" t="e">
        <f>VLOOKUP(K536,$W:$X,2,0)</f>
        <v>#N/A</v>
      </c>
      <c r="O536" s="1" t="e">
        <f>VLOOKUP(L536,$Z:$AA,2,0)</f>
        <v>#N/A</v>
      </c>
      <c r="P536" s="1" t="e">
        <f>VLOOKUP(M536,$AC:$AD,2,0)</f>
        <v>#N/A</v>
      </c>
      <c r="Q536" s="1">
        <f>IF(A536&lt;&gt;"",P536+O536+N536+H536+I536+J536,0)</f>
        <v>0</v>
      </c>
    </row>
    <row r="537" spans="1:17" x14ac:dyDescent="0.25">
      <c r="A537" s="41"/>
      <c r="C537" s="41"/>
      <c r="E537" s="1" t="str">
        <f>MID(A537,1,2)</f>
        <v/>
      </c>
      <c r="F537" s="1" t="str">
        <f>MID(C537,3,2)</f>
        <v/>
      </c>
      <c r="G537" s="1" t="str">
        <f>CONCATENATE(K537,M537)</f>
        <v/>
      </c>
      <c r="H537" s="1" t="e">
        <f>VLOOKUP(K537,$W$23:$AN$40,MATCH(L537,$W$23:$AN$23,0),FALSE)</f>
        <v>#N/A</v>
      </c>
      <c r="I537" s="1" t="e">
        <f>VLOOKUP(L537,$W$23:$AN$40,MATCH(M537,$W$23:$AN$23,0),FALSE)</f>
        <v>#N/A</v>
      </c>
      <c r="J537" s="1" t="e">
        <f>VLOOKUP(K537,$W$23:$AN$40,MATCH(M537,$W$23:$AN$23,0),FALSE)</f>
        <v>#N/A</v>
      </c>
      <c r="K537" s="1" t="str">
        <f>MID(A537,1,1)</f>
        <v/>
      </c>
      <c r="L537" s="1" t="str">
        <f>MID(A537,2,1)</f>
        <v/>
      </c>
      <c r="M537" s="1" t="str">
        <f>MID(A537,4,1)</f>
        <v/>
      </c>
      <c r="N537" s="1" t="e">
        <f>VLOOKUP(K537,$W:$X,2,0)</f>
        <v>#N/A</v>
      </c>
      <c r="O537" s="1" t="e">
        <f>VLOOKUP(L537,$Z:$AA,2,0)</f>
        <v>#N/A</v>
      </c>
      <c r="P537" s="1" t="e">
        <f>VLOOKUP(M537,$AC:$AD,2,0)</f>
        <v>#N/A</v>
      </c>
      <c r="Q537" s="1">
        <f>IF(A537&lt;&gt;"",P537+O537+N537+H537+I537+J537,0)</f>
        <v>0</v>
      </c>
    </row>
    <row r="538" spans="1:17" x14ac:dyDescent="0.25">
      <c r="A538" s="41"/>
      <c r="C538" s="41"/>
      <c r="E538" s="1" t="str">
        <f>MID(A538,1,2)</f>
        <v/>
      </c>
      <c r="F538" s="1" t="str">
        <f>MID(C538,3,2)</f>
        <v/>
      </c>
      <c r="G538" s="1" t="str">
        <f>CONCATENATE(K538,M538)</f>
        <v/>
      </c>
      <c r="H538" s="1" t="e">
        <f>VLOOKUP(K538,$W$23:$AN$40,MATCH(L538,$W$23:$AN$23,0),FALSE)</f>
        <v>#N/A</v>
      </c>
      <c r="I538" s="1" t="e">
        <f>VLOOKUP(L538,$W$23:$AN$40,MATCH(M538,$W$23:$AN$23,0),FALSE)</f>
        <v>#N/A</v>
      </c>
      <c r="J538" s="1" t="e">
        <f>VLOOKUP(K538,$W$23:$AN$40,MATCH(M538,$W$23:$AN$23,0),FALSE)</f>
        <v>#N/A</v>
      </c>
      <c r="K538" s="1" t="str">
        <f>MID(A538,1,1)</f>
        <v/>
      </c>
      <c r="L538" s="1" t="str">
        <f>MID(A538,2,1)</f>
        <v/>
      </c>
      <c r="M538" s="1" t="str">
        <f>MID(A538,4,1)</f>
        <v/>
      </c>
      <c r="N538" s="1" t="e">
        <f>VLOOKUP(K538,$W:$X,2,0)</f>
        <v>#N/A</v>
      </c>
      <c r="O538" s="1" t="e">
        <f>VLOOKUP(L538,$Z:$AA,2,0)</f>
        <v>#N/A</v>
      </c>
      <c r="P538" s="1" t="e">
        <f>VLOOKUP(M538,$AC:$AD,2,0)</f>
        <v>#N/A</v>
      </c>
      <c r="Q538" s="1">
        <f>IF(A538&lt;&gt;"",P538+O538+N538+H538+I538+J538,0)</f>
        <v>0</v>
      </c>
    </row>
    <row r="539" spans="1:17" x14ac:dyDescent="0.25">
      <c r="A539" s="41"/>
      <c r="C539" s="41"/>
      <c r="E539" s="1" t="str">
        <f>MID(A539,1,2)</f>
        <v/>
      </c>
      <c r="F539" s="1" t="str">
        <f>MID(C539,3,2)</f>
        <v/>
      </c>
      <c r="G539" s="1" t="str">
        <f>CONCATENATE(K539,M539)</f>
        <v/>
      </c>
      <c r="H539" s="1" t="e">
        <f>VLOOKUP(K539,$W$23:$AN$40,MATCH(L539,$W$23:$AN$23,0),FALSE)</f>
        <v>#N/A</v>
      </c>
      <c r="I539" s="1" t="e">
        <f>VLOOKUP(L539,$W$23:$AN$40,MATCH(M539,$W$23:$AN$23,0),FALSE)</f>
        <v>#N/A</v>
      </c>
      <c r="J539" s="1" t="e">
        <f>VLOOKUP(K539,$W$23:$AN$40,MATCH(M539,$W$23:$AN$23,0),FALSE)</f>
        <v>#N/A</v>
      </c>
      <c r="K539" s="1" t="str">
        <f>MID(A539,1,1)</f>
        <v/>
      </c>
      <c r="L539" s="1" t="str">
        <f>MID(A539,2,1)</f>
        <v/>
      </c>
      <c r="M539" s="1" t="str">
        <f>MID(A539,4,1)</f>
        <v/>
      </c>
      <c r="N539" s="1" t="e">
        <f>VLOOKUP(K539,$W:$X,2,0)</f>
        <v>#N/A</v>
      </c>
      <c r="O539" s="1" t="e">
        <f>VLOOKUP(L539,$Z:$AA,2,0)</f>
        <v>#N/A</v>
      </c>
      <c r="P539" s="1" t="e">
        <f>VLOOKUP(M539,$AC:$AD,2,0)</f>
        <v>#N/A</v>
      </c>
      <c r="Q539" s="1">
        <f>IF(A539&lt;&gt;"",P539+O539+N539+H539+I539+J539,0)</f>
        <v>0</v>
      </c>
    </row>
    <row r="540" spans="1:17" x14ac:dyDescent="0.25">
      <c r="A540" s="41"/>
      <c r="C540" s="41"/>
      <c r="E540" s="1" t="str">
        <f>MID(A540,1,2)</f>
        <v/>
      </c>
      <c r="F540" s="1" t="str">
        <f>MID(C540,3,2)</f>
        <v/>
      </c>
      <c r="G540" s="1" t="str">
        <f>CONCATENATE(K540,M540)</f>
        <v/>
      </c>
      <c r="H540" s="1" t="e">
        <f>VLOOKUP(K540,$W$23:$AN$40,MATCH(L540,$W$23:$AN$23,0),FALSE)</f>
        <v>#N/A</v>
      </c>
      <c r="I540" s="1" t="e">
        <f>VLOOKUP(L540,$W$23:$AN$40,MATCH(M540,$W$23:$AN$23,0),FALSE)</f>
        <v>#N/A</v>
      </c>
      <c r="J540" s="1" t="e">
        <f>VLOOKUP(K540,$W$23:$AN$40,MATCH(M540,$W$23:$AN$23,0),FALSE)</f>
        <v>#N/A</v>
      </c>
      <c r="K540" s="1" t="str">
        <f>MID(A540,1,1)</f>
        <v/>
      </c>
      <c r="L540" s="1" t="str">
        <f>MID(A540,2,1)</f>
        <v/>
      </c>
      <c r="M540" s="1" t="str">
        <f>MID(A540,4,1)</f>
        <v/>
      </c>
      <c r="N540" s="1" t="e">
        <f>VLOOKUP(K540,$W:$X,2,0)</f>
        <v>#N/A</v>
      </c>
      <c r="O540" s="1" t="e">
        <f>VLOOKUP(L540,$Z:$AA,2,0)</f>
        <v>#N/A</v>
      </c>
      <c r="P540" s="1" t="e">
        <f>VLOOKUP(M540,$AC:$AD,2,0)</f>
        <v>#N/A</v>
      </c>
      <c r="Q540" s="1">
        <f>IF(A540&lt;&gt;"",P540+O540+N540+H540+I540+J540,0)</f>
        <v>0</v>
      </c>
    </row>
    <row r="541" spans="1:17" x14ac:dyDescent="0.25">
      <c r="A541" s="41"/>
      <c r="C541" s="41"/>
      <c r="E541" s="1" t="str">
        <f>MID(A541,1,2)</f>
        <v/>
      </c>
      <c r="F541" s="1" t="str">
        <f>MID(C541,3,2)</f>
        <v/>
      </c>
      <c r="G541" s="1" t="str">
        <f>CONCATENATE(K541,M541)</f>
        <v/>
      </c>
      <c r="H541" s="1" t="e">
        <f>VLOOKUP(K541,$W$23:$AN$40,MATCH(L541,$W$23:$AN$23,0),FALSE)</f>
        <v>#N/A</v>
      </c>
      <c r="I541" s="1" t="e">
        <f>VLOOKUP(L541,$W$23:$AN$40,MATCH(M541,$W$23:$AN$23,0),FALSE)</f>
        <v>#N/A</v>
      </c>
      <c r="J541" s="1" t="e">
        <f>VLOOKUP(K541,$W$23:$AN$40,MATCH(M541,$W$23:$AN$23,0),FALSE)</f>
        <v>#N/A</v>
      </c>
      <c r="K541" s="1" t="str">
        <f>MID(A541,1,1)</f>
        <v/>
      </c>
      <c r="L541" s="1" t="str">
        <f>MID(A541,2,1)</f>
        <v/>
      </c>
      <c r="M541" s="1" t="str">
        <f>MID(A541,4,1)</f>
        <v/>
      </c>
      <c r="N541" s="1" t="e">
        <f>VLOOKUP(K541,$W:$X,2,0)</f>
        <v>#N/A</v>
      </c>
      <c r="O541" s="1" t="e">
        <f>VLOOKUP(L541,$Z:$AA,2,0)</f>
        <v>#N/A</v>
      </c>
      <c r="P541" s="1" t="e">
        <f>VLOOKUP(M541,$AC:$AD,2,0)</f>
        <v>#N/A</v>
      </c>
      <c r="Q541" s="1">
        <f>IF(A541&lt;&gt;"",P541+O541+N541+H541+I541+J541,0)</f>
        <v>0</v>
      </c>
    </row>
    <row r="542" spans="1:17" x14ac:dyDescent="0.25">
      <c r="A542" s="41"/>
      <c r="C542" s="41"/>
      <c r="E542" s="1" t="str">
        <f>MID(A542,1,2)</f>
        <v/>
      </c>
      <c r="F542" s="1" t="str">
        <f>MID(C542,3,2)</f>
        <v/>
      </c>
      <c r="G542" s="1" t="str">
        <f>CONCATENATE(K542,M542)</f>
        <v/>
      </c>
      <c r="H542" s="1" t="e">
        <f>VLOOKUP(K542,$W$23:$AN$40,MATCH(L542,$W$23:$AN$23,0),FALSE)</f>
        <v>#N/A</v>
      </c>
      <c r="I542" s="1" t="e">
        <f>VLOOKUP(L542,$W$23:$AN$40,MATCH(M542,$W$23:$AN$23,0),FALSE)</f>
        <v>#N/A</v>
      </c>
      <c r="J542" s="1" t="e">
        <f>VLOOKUP(K542,$W$23:$AN$40,MATCH(M542,$W$23:$AN$23,0),FALSE)</f>
        <v>#N/A</v>
      </c>
      <c r="K542" s="1" t="str">
        <f>MID(A542,1,1)</f>
        <v/>
      </c>
      <c r="L542" s="1" t="str">
        <f>MID(A542,2,1)</f>
        <v/>
      </c>
      <c r="M542" s="1" t="str">
        <f>MID(A542,4,1)</f>
        <v/>
      </c>
      <c r="N542" s="1" t="e">
        <f>VLOOKUP(K542,$W:$X,2,0)</f>
        <v>#N/A</v>
      </c>
      <c r="O542" s="1" t="e">
        <f>VLOOKUP(L542,$Z:$AA,2,0)</f>
        <v>#N/A</v>
      </c>
      <c r="P542" s="1" t="e">
        <f>VLOOKUP(M542,$AC:$AD,2,0)</f>
        <v>#N/A</v>
      </c>
      <c r="Q542" s="1">
        <f>IF(A542&lt;&gt;"",P542+O542+N542+H542+I542+J542,0)</f>
        <v>0</v>
      </c>
    </row>
    <row r="543" spans="1:17" x14ac:dyDescent="0.25">
      <c r="A543" s="41"/>
      <c r="C543" s="41"/>
      <c r="E543" s="1" t="str">
        <f>MID(A543,1,2)</f>
        <v/>
      </c>
      <c r="F543" s="1" t="str">
        <f>MID(C543,3,2)</f>
        <v/>
      </c>
      <c r="G543" s="1" t="str">
        <f>CONCATENATE(K543,M543)</f>
        <v/>
      </c>
      <c r="H543" s="1" t="e">
        <f>VLOOKUP(K543,$W$23:$AN$40,MATCH(L543,$W$23:$AN$23,0),FALSE)</f>
        <v>#N/A</v>
      </c>
      <c r="I543" s="1" t="e">
        <f>VLOOKUP(L543,$W$23:$AN$40,MATCH(M543,$W$23:$AN$23,0),FALSE)</f>
        <v>#N/A</v>
      </c>
      <c r="J543" s="1" t="e">
        <f>VLOOKUP(K543,$W$23:$AN$40,MATCH(M543,$W$23:$AN$23,0),FALSE)</f>
        <v>#N/A</v>
      </c>
      <c r="K543" s="1" t="str">
        <f>MID(A543,1,1)</f>
        <v/>
      </c>
      <c r="L543" s="1" t="str">
        <f>MID(A543,2,1)</f>
        <v/>
      </c>
      <c r="M543" s="1" t="str">
        <f>MID(A543,4,1)</f>
        <v/>
      </c>
      <c r="N543" s="1" t="e">
        <f>VLOOKUP(K543,$W:$X,2,0)</f>
        <v>#N/A</v>
      </c>
      <c r="O543" s="1" t="e">
        <f>VLOOKUP(L543,$Z:$AA,2,0)</f>
        <v>#N/A</v>
      </c>
      <c r="P543" s="1" t="e">
        <f>VLOOKUP(M543,$AC:$AD,2,0)</f>
        <v>#N/A</v>
      </c>
      <c r="Q543" s="1">
        <f>IF(A543&lt;&gt;"",P543+O543+N543+H543+I543+J543,0)</f>
        <v>0</v>
      </c>
    </row>
    <row r="544" spans="1:17" x14ac:dyDescent="0.25">
      <c r="A544" s="41"/>
      <c r="C544" s="41"/>
      <c r="E544" s="1" t="str">
        <f>MID(A544,1,2)</f>
        <v/>
      </c>
      <c r="F544" s="1" t="str">
        <f>MID(C544,3,2)</f>
        <v/>
      </c>
      <c r="G544" s="1" t="str">
        <f>CONCATENATE(K544,M544)</f>
        <v/>
      </c>
      <c r="H544" s="1" t="e">
        <f>VLOOKUP(K544,$W$23:$AN$40,MATCH(L544,$W$23:$AN$23,0),FALSE)</f>
        <v>#N/A</v>
      </c>
      <c r="I544" s="1" t="e">
        <f>VLOOKUP(L544,$W$23:$AN$40,MATCH(M544,$W$23:$AN$23,0),FALSE)</f>
        <v>#N/A</v>
      </c>
      <c r="J544" s="1" t="e">
        <f>VLOOKUP(K544,$W$23:$AN$40,MATCH(M544,$W$23:$AN$23,0),FALSE)</f>
        <v>#N/A</v>
      </c>
      <c r="K544" s="1" t="str">
        <f>MID(A544,1,1)</f>
        <v/>
      </c>
      <c r="L544" s="1" t="str">
        <f>MID(A544,2,1)</f>
        <v/>
      </c>
      <c r="M544" s="1" t="str">
        <f>MID(A544,4,1)</f>
        <v/>
      </c>
      <c r="N544" s="1" t="e">
        <f>VLOOKUP(K544,$W:$X,2,0)</f>
        <v>#N/A</v>
      </c>
      <c r="O544" s="1" t="e">
        <f>VLOOKUP(L544,$Z:$AA,2,0)</f>
        <v>#N/A</v>
      </c>
      <c r="P544" s="1" t="e">
        <f>VLOOKUP(M544,$AC:$AD,2,0)</f>
        <v>#N/A</v>
      </c>
      <c r="Q544" s="1">
        <f>IF(A544&lt;&gt;"",P544+O544+N544+H544+I544+J544,0)</f>
        <v>0</v>
      </c>
    </row>
    <row r="545" spans="1:17" x14ac:dyDescent="0.25">
      <c r="A545" s="41"/>
      <c r="C545" s="41"/>
      <c r="E545" s="1" t="str">
        <f>MID(A545,1,2)</f>
        <v/>
      </c>
      <c r="F545" s="1" t="str">
        <f>MID(C545,3,2)</f>
        <v/>
      </c>
      <c r="G545" s="1" t="str">
        <f>CONCATENATE(K545,M545)</f>
        <v/>
      </c>
      <c r="H545" s="1" t="e">
        <f>VLOOKUP(K545,$W$23:$AN$40,MATCH(L545,$W$23:$AN$23,0),FALSE)</f>
        <v>#N/A</v>
      </c>
      <c r="I545" s="1" t="e">
        <f>VLOOKUP(L545,$W$23:$AN$40,MATCH(M545,$W$23:$AN$23,0),FALSE)</f>
        <v>#N/A</v>
      </c>
      <c r="J545" s="1" t="e">
        <f>VLOOKUP(K545,$W$23:$AN$40,MATCH(M545,$W$23:$AN$23,0),FALSE)</f>
        <v>#N/A</v>
      </c>
      <c r="K545" s="1" t="str">
        <f>MID(A545,1,1)</f>
        <v/>
      </c>
      <c r="L545" s="1" t="str">
        <f>MID(A545,2,1)</f>
        <v/>
      </c>
      <c r="M545" s="1" t="str">
        <f>MID(A545,4,1)</f>
        <v/>
      </c>
      <c r="N545" s="1" t="e">
        <f>VLOOKUP(K545,$W:$X,2,0)</f>
        <v>#N/A</v>
      </c>
      <c r="O545" s="1" t="e">
        <f>VLOOKUP(L545,$Z:$AA,2,0)</f>
        <v>#N/A</v>
      </c>
      <c r="P545" s="1" t="e">
        <f>VLOOKUP(M545,$AC:$AD,2,0)</f>
        <v>#N/A</v>
      </c>
      <c r="Q545" s="1">
        <f>IF(A545&lt;&gt;"",P545+O545+N545+H545+I545+J545,0)</f>
        <v>0</v>
      </c>
    </row>
    <row r="546" spans="1:17" x14ac:dyDescent="0.25">
      <c r="A546" s="41"/>
      <c r="C546" s="41"/>
      <c r="E546" s="1" t="str">
        <f>MID(A546,1,2)</f>
        <v/>
      </c>
      <c r="F546" s="1" t="str">
        <f>MID(C546,3,2)</f>
        <v/>
      </c>
      <c r="G546" s="1" t="str">
        <f>CONCATENATE(K546,M546)</f>
        <v/>
      </c>
      <c r="H546" s="1" t="e">
        <f>VLOOKUP(K546,$W$23:$AN$40,MATCH(L546,$W$23:$AN$23,0),FALSE)</f>
        <v>#N/A</v>
      </c>
      <c r="I546" s="1" t="e">
        <f>VLOOKUP(L546,$W$23:$AN$40,MATCH(M546,$W$23:$AN$23,0),FALSE)</f>
        <v>#N/A</v>
      </c>
      <c r="J546" s="1" t="e">
        <f>VLOOKUP(K546,$W$23:$AN$40,MATCH(M546,$W$23:$AN$23,0),FALSE)</f>
        <v>#N/A</v>
      </c>
      <c r="K546" s="1" t="str">
        <f>MID(A546,1,1)</f>
        <v/>
      </c>
      <c r="L546" s="1" t="str">
        <f>MID(A546,2,1)</f>
        <v/>
      </c>
      <c r="M546" s="1" t="str">
        <f>MID(A546,4,1)</f>
        <v/>
      </c>
      <c r="N546" s="1" t="e">
        <f>VLOOKUP(K546,$W:$X,2,0)</f>
        <v>#N/A</v>
      </c>
      <c r="O546" s="1" t="e">
        <f>VLOOKUP(L546,$Z:$AA,2,0)</f>
        <v>#N/A</v>
      </c>
      <c r="P546" s="1" t="e">
        <f>VLOOKUP(M546,$AC:$AD,2,0)</f>
        <v>#N/A</v>
      </c>
      <c r="Q546" s="1">
        <f>IF(A546&lt;&gt;"",P546+O546+N546+H546+I546+J546,0)</f>
        <v>0</v>
      </c>
    </row>
    <row r="547" spans="1:17" x14ac:dyDescent="0.25">
      <c r="A547" s="41"/>
      <c r="C547" s="41"/>
      <c r="E547" s="1" t="str">
        <f>MID(A547,1,2)</f>
        <v/>
      </c>
      <c r="F547" s="1" t="str">
        <f>MID(C547,3,2)</f>
        <v/>
      </c>
      <c r="G547" s="1" t="str">
        <f>CONCATENATE(K547,M547)</f>
        <v/>
      </c>
      <c r="H547" s="1" t="e">
        <f>VLOOKUP(K547,$W$23:$AN$40,MATCH(L547,$W$23:$AN$23,0),FALSE)</f>
        <v>#N/A</v>
      </c>
      <c r="I547" s="1" t="e">
        <f>VLOOKUP(L547,$W$23:$AN$40,MATCH(M547,$W$23:$AN$23,0),FALSE)</f>
        <v>#N/A</v>
      </c>
      <c r="J547" s="1" t="e">
        <f>VLOOKUP(K547,$W$23:$AN$40,MATCH(M547,$W$23:$AN$23,0),FALSE)</f>
        <v>#N/A</v>
      </c>
      <c r="K547" s="1" t="str">
        <f>MID(A547,1,1)</f>
        <v/>
      </c>
      <c r="L547" s="1" t="str">
        <f>MID(A547,2,1)</f>
        <v/>
      </c>
      <c r="M547" s="1" t="str">
        <f>MID(A547,4,1)</f>
        <v/>
      </c>
      <c r="N547" s="1" t="e">
        <f>VLOOKUP(K547,$W:$X,2,0)</f>
        <v>#N/A</v>
      </c>
      <c r="O547" s="1" t="e">
        <f>VLOOKUP(L547,$Z:$AA,2,0)</f>
        <v>#N/A</v>
      </c>
      <c r="P547" s="1" t="e">
        <f>VLOOKUP(M547,$AC:$AD,2,0)</f>
        <v>#N/A</v>
      </c>
      <c r="Q547" s="1">
        <f>IF(A547&lt;&gt;"",P547+O547+N547+H547+I547+J547,0)</f>
        <v>0</v>
      </c>
    </row>
    <row r="548" spans="1:17" x14ac:dyDescent="0.25">
      <c r="A548" s="41"/>
      <c r="C548" s="41"/>
      <c r="E548" s="1" t="str">
        <f>MID(A548,1,2)</f>
        <v/>
      </c>
      <c r="F548" s="1" t="str">
        <f>MID(C548,3,2)</f>
        <v/>
      </c>
      <c r="G548" s="1" t="str">
        <f>CONCATENATE(K548,M548)</f>
        <v/>
      </c>
      <c r="H548" s="1" t="e">
        <f>VLOOKUP(K548,$W$23:$AN$40,MATCH(L548,$W$23:$AN$23,0),FALSE)</f>
        <v>#N/A</v>
      </c>
      <c r="I548" s="1" t="e">
        <f>VLOOKUP(L548,$W$23:$AN$40,MATCH(M548,$W$23:$AN$23,0),FALSE)</f>
        <v>#N/A</v>
      </c>
      <c r="J548" s="1" t="e">
        <f>VLOOKUP(K548,$W$23:$AN$40,MATCH(M548,$W$23:$AN$23,0),FALSE)</f>
        <v>#N/A</v>
      </c>
      <c r="K548" s="1" t="str">
        <f>MID(A548,1,1)</f>
        <v/>
      </c>
      <c r="L548" s="1" t="str">
        <f>MID(A548,2,1)</f>
        <v/>
      </c>
      <c r="M548" s="1" t="str">
        <f>MID(A548,4,1)</f>
        <v/>
      </c>
      <c r="N548" s="1" t="e">
        <f>VLOOKUP(K548,$W:$X,2,0)</f>
        <v>#N/A</v>
      </c>
      <c r="O548" s="1" t="e">
        <f>VLOOKUP(L548,$Z:$AA,2,0)</f>
        <v>#N/A</v>
      </c>
      <c r="P548" s="1" t="e">
        <f>VLOOKUP(M548,$AC:$AD,2,0)</f>
        <v>#N/A</v>
      </c>
      <c r="Q548" s="1">
        <f>IF(A548&lt;&gt;"",P548+O548+N548+H548+I548+J548,0)</f>
        <v>0</v>
      </c>
    </row>
    <row r="549" spans="1:17" x14ac:dyDescent="0.25">
      <c r="A549" s="41"/>
      <c r="C549" s="41"/>
      <c r="E549" s="1" t="str">
        <f>MID(A549,1,2)</f>
        <v/>
      </c>
      <c r="F549" s="1" t="str">
        <f>MID(C549,3,2)</f>
        <v/>
      </c>
      <c r="G549" s="1" t="str">
        <f>CONCATENATE(K549,M549)</f>
        <v/>
      </c>
      <c r="H549" s="1" t="e">
        <f>VLOOKUP(K549,$W$23:$AN$40,MATCH(L549,$W$23:$AN$23,0),FALSE)</f>
        <v>#N/A</v>
      </c>
      <c r="I549" s="1" t="e">
        <f>VLOOKUP(L549,$W$23:$AN$40,MATCH(M549,$W$23:$AN$23,0),FALSE)</f>
        <v>#N/A</v>
      </c>
      <c r="J549" s="1" t="e">
        <f>VLOOKUP(K549,$W$23:$AN$40,MATCH(M549,$W$23:$AN$23,0),FALSE)</f>
        <v>#N/A</v>
      </c>
      <c r="K549" s="1" t="str">
        <f>MID(A549,1,1)</f>
        <v/>
      </c>
      <c r="L549" s="1" t="str">
        <f>MID(A549,2,1)</f>
        <v/>
      </c>
      <c r="M549" s="1" t="str">
        <f>MID(A549,4,1)</f>
        <v/>
      </c>
      <c r="N549" s="1" t="e">
        <f>VLOOKUP(K549,$W:$X,2,0)</f>
        <v>#N/A</v>
      </c>
      <c r="O549" s="1" t="e">
        <f>VLOOKUP(L549,$Z:$AA,2,0)</f>
        <v>#N/A</v>
      </c>
      <c r="P549" s="1" t="e">
        <f>VLOOKUP(M549,$AC:$AD,2,0)</f>
        <v>#N/A</v>
      </c>
      <c r="Q549" s="1">
        <f>IF(A549&lt;&gt;"",P549+O549+N549+H549+I549+J549,0)</f>
        <v>0</v>
      </c>
    </row>
    <row r="550" spans="1:17" x14ac:dyDescent="0.25">
      <c r="A550" s="41"/>
      <c r="C550" s="41"/>
      <c r="E550" s="1" t="str">
        <f>MID(A550,1,2)</f>
        <v/>
      </c>
      <c r="F550" s="1" t="str">
        <f>MID(C550,3,2)</f>
        <v/>
      </c>
      <c r="G550" s="1" t="str">
        <f>CONCATENATE(K550,M550)</f>
        <v/>
      </c>
      <c r="H550" s="1" t="e">
        <f>VLOOKUP(K550,$W$23:$AN$40,MATCH(L550,$W$23:$AN$23,0),FALSE)</f>
        <v>#N/A</v>
      </c>
      <c r="I550" s="1" t="e">
        <f>VLOOKUP(L550,$W$23:$AN$40,MATCH(M550,$W$23:$AN$23,0),FALSE)</f>
        <v>#N/A</v>
      </c>
      <c r="J550" s="1" t="e">
        <f>VLOOKUP(K550,$W$23:$AN$40,MATCH(M550,$W$23:$AN$23,0),FALSE)</f>
        <v>#N/A</v>
      </c>
      <c r="K550" s="1" t="str">
        <f>MID(A550,1,1)</f>
        <v/>
      </c>
      <c r="L550" s="1" t="str">
        <f>MID(A550,2,1)</f>
        <v/>
      </c>
      <c r="M550" s="1" t="str">
        <f>MID(A550,4,1)</f>
        <v/>
      </c>
      <c r="N550" s="1" t="e">
        <f>VLOOKUP(K550,$W:$X,2,0)</f>
        <v>#N/A</v>
      </c>
      <c r="O550" s="1" t="e">
        <f>VLOOKUP(L550,$Z:$AA,2,0)</f>
        <v>#N/A</v>
      </c>
      <c r="P550" s="1" t="e">
        <f>VLOOKUP(M550,$AC:$AD,2,0)</f>
        <v>#N/A</v>
      </c>
      <c r="Q550" s="1">
        <f>IF(A550&lt;&gt;"",P550+O550+N550+H550+I550+J550,0)</f>
        <v>0</v>
      </c>
    </row>
    <row r="551" spans="1:17" x14ac:dyDescent="0.25">
      <c r="A551" s="41"/>
      <c r="C551" s="41"/>
      <c r="E551" s="1" t="str">
        <f>MID(A551,1,2)</f>
        <v/>
      </c>
      <c r="F551" s="1" t="str">
        <f>MID(C551,3,2)</f>
        <v/>
      </c>
      <c r="G551" s="1" t="str">
        <f>CONCATENATE(K551,M551)</f>
        <v/>
      </c>
      <c r="H551" s="1" t="e">
        <f>VLOOKUP(K551,$W$23:$AN$40,MATCH(L551,$W$23:$AN$23,0),FALSE)</f>
        <v>#N/A</v>
      </c>
      <c r="I551" s="1" t="e">
        <f>VLOOKUP(L551,$W$23:$AN$40,MATCH(M551,$W$23:$AN$23,0),FALSE)</f>
        <v>#N/A</v>
      </c>
      <c r="J551" s="1" t="e">
        <f>VLOOKUP(K551,$W$23:$AN$40,MATCH(M551,$W$23:$AN$23,0),FALSE)</f>
        <v>#N/A</v>
      </c>
      <c r="K551" s="1" t="str">
        <f>MID(A551,1,1)</f>
        <v/>
      </c>
      <c r="L551" s="1" t="str">
        <f>MID(A551,2,1)</f>
        <v/>
      </c>
      <c r="M551" s="1" t="str">
        <f>MID(A551,4,1)</f>
        <v/>
      </c>
      <c r="N551" s="1" t="e">
        <f>VLOOKUP(K551,$W:$X,2,0)</f>
        <v>#N/A</v>
      </c>
      <c r="O551" s="1" t="e">
        <f>VLOOKUP(L551,$Z:$AA,2,0)</f>
        <v>#N/A</v>
      </c>
      <c r="P551" s="1" t="e">
        <f>VLOOKUP(M551,$AC:$AD,2,0)</f>
        <v>#N/A</v>
      </c>
      <c r="Q551" s="1">
        <f>IF(A551&lt;&gt;"",P551+O551+N551+H551+I551+J551,0)</f>
        <v>0</v>
      </c>
    </row>
    <row r="552" spans="1:17" x14ac:dyDescent="0.25">
      <c r="A552" s="41"/>
      <c r="C552" s="41"/>
      <c r="E552" s="1" t="str">
        <f>MID(A552,1,2)</f>
        <v/>
      </c>
      <c r="F552" s="1" t="str">
        <f>MID(C552,3,2)</f>
        <v/>
      </c>
      <c r="G552" s="1" t="str">
        <f>CONCATENATE(K552,M552)</f>
        <v/>
      </c>
      <c r="H552" s="1" t="e">
        <f>VLOOKUP(K552,$W$23:$AN$40,MATCH(L552,$W$23:$AN$23,0),FALSE)</f>
        <v>#N/A</v>
      </c>
      <c r="I552" s="1" t="e">
        <f>VLOOKUP(L552,$W$23:$AN$40,MATCH(M552,$W$23:$AN$23,0),FALSE)</f>
        <v>#N/A</v>
      </c>
      <c r="J552" s="1" t="e">
        <f>VLOOKUP(K552,$W$23:$AN$40,MATCH(M552,$W$23:$AN$23,0),FALSE)</f>
        <v>#N/A</v>
      </c>
      <c r="K552" s="1" t="str">
        <f>MID(A552,1,1)</f>
        <v/>
      </c>
      <c r="L552" s="1" t="str">
        <f>MID(A552,2,1)</f>
        <v/>
      </c>
      <c r="M552" s="1" t="str">
        <f>MID(A552,4,1)</f>
        <v/>
      </c>
      <c r="N552" s="1" t="e">
        <f>VLOOKUP(K552,$W:$X,2,0)</f>
        <v>#N/A</v>
      </c>
      <c r="O552" s="1" t="e">
        <f>VLOOKUP(L552,$Z:$AA,2,0)</f>
        <v>#N/A</v>
      </c>
      <c r="P552" s="1" t="e">
        <f>VLOOKUP(M552,$AC:$AD,2,0)</f>
        <v>#N/A</v>
      </c>
      <c r="Q552" s="1">
        <f>IF(A552&lt;&gt;"",P552+O552+N552+H552+I552+J552,0)</f>
        <v>0</v>
      </c>
    </row>
    <row r="553" spans="1:17" x14ac:dyDescent="0.25">
      <c r="A553" s="41"/>
      <c r="C553" s="41"/>
      <c r="E553" s="1" t="str">
        <f>MID(A553,1,2)</f>
        <v/>
      </c>
      <c r="F553" s="1" t="str">
        <f>MID(C553,3,2)</f>
        <v/>
      </c>
      <c r="G553" s="1" t="str">
        <f>CONCATENATE(K553,M553)</f>
        <v/>
      </c>
      <c r="H553" s="1" t="e">
        <f>VLOOKUP(K553,$W$23:$AN$40,MATCH(L553,$W$23:$AN$23,0),FALSE)</f>
        <v>#N/A</v>
      </c>
      <c r="I553" s="1" t="e">
        <f>VLOOKUP(L553,$W$23:$AN$40,MATCH(M553,$W$23:$AN$23,0),FALSE)</f>
        <v>#N/A</v>
      </c>
      <c r="J553" s="1" t="e">
        <f>VLOOKUP(K553,$W$23:$AN$40,MATCH(M553,$W$23:$AN$23,0),FALSE)</f>
        <v>#N/A</v>
      </c>
      <c r="K553" s="1" t="str">
        <f>MID(A553,1,1)</f>
        <v/>
      </c>
      <c r="L553" s="1" t="str">
        <f>MID(A553,2,1)</f>
        <v/>
      </c>
      <c r="M553" s="1" t="str">
        <f>MID(A553,4,1)</f>
        <v/>
      </c>
      <c r="N553" s="1" t="e">
        <f>VLOOKUP(K553,$W:$X,2,0)</f>
        <v>#N/A</v>
      </c>
      <c r="O553" s="1" t="e">
        <f>VLOOKUP(L553,$Z:$AA,2,0)</f>
        <v>#N/A</v>
      </c>
      <c r="P553" s="1" t="e">
        <f>VLOOKUP(M553,$AC:$AD,2,0)</f>
        <v>#N/A</v>
      </c>
      <c r="Q553" s="1">
        <f>IF(A553&lt;&gt;"",P553+O553+N553+H553+I553+J553,0)</f>
        <v>0</v>
      </c>
    </row>
    <row r="554" spans="1:17" x14ac:dyDescent="0.25">
      <c r="A554" s="41"/>
      <c r="C554" s="41"/>
      <c r="E554" s="1" t="str">
        <f>MID(A554,1,2)</f>
        <v/>
      </c>
      <c r="F554" s="1" t="str">
        <f>MID(C554,3,2)</f>
        <v/>
      </c>
      <c r="G554" s="1" t="str">
        <f>CONCATENATE(K554,M554)</f>
        <v/>
      </c>
      <c r="H554" s="1" t="e">
        <f>VLOOKUP(K554,$W$23:$AN$40,MATCH(L554,$W$23:$AN$23,0),FALSE)</f>
        <v>#N/A</v>
      </c>
      <c r="I554" s="1" t="e">
        <f>VLOOKUP(L554,$W$23:$AN$40,MATCH(M554,$W$23:$AN$23,0),FALSE)</f>
        <v>#N/A</v>
      </c>
      <c r="J554" s="1" t="e">
        <f>VLOOKUP(K554,$W$23:$AN$40,MATCH(M554,$W$23:$AN$23,0),FALSE)</f>
        <v>#N/A</v>
      </c>
      <c r="K554" s="1" t="str">
        <f>MID(A554,1,1)</f>
        <v/>
      </c>
      <c r="L554" s="1" t="str">
        <f>MID(A554,2,1)</f>
        <v/>
      </c>
      <c r="M554" s="1" t="str">
        <f>MID(A554,4,1)</f>
        <v/>
      </c>
      <c r="N554" s="1" t="e">
        <f>VLOOKUP(K554,$W:$X,2,0)</f>
        <v>#N/A</v>
      </c>
      <c r="O554" s="1" t="e">
        <f>VLOOKUP(L554,$Z:$AA,2,0)</f>
        <v>#N/A</v>
      </c>
      <c r="P554" s="1" t="e">
        <f>VLOOKUP(M554,$AC:$AD,2,0)</f>
        <v>#N/A</v>
      </c>
      <c r="Q554" s="1">
        <f>IF(A554&lt;&gt;"",P554+O554+N554+H554+I554+J554,0)</f>
        <v>0</v>
      </c>
    </row>
    <row r="555" spans="1:17" x14ac:dyDescent="0.25">
      <c r="A555" s="41"/>
      <c r="C555" s="41"/>
      <c r="E555" s="1" t="str">
        <f>MID(A555,1,2)</f>
        <v/>
      </c>
      <c r="F555" s="1" t="str">
        <f>MID(C555,3,2)</f>
        <v/>
      </c>
      <c r="G555" s="1" t="str">
        <f>CONCATENATE(K555,M555)</f>
        <v/>
      </c>
      <c r="H555" s="1" t="e">
        <f>VLOOKUP(K555,$W$23:$AN$40,MATCH(L555,$W$23:$AN$23,0),FALSE)</f>
        <v>#N/A</v>
      </c>
      <c r="I555" s="1" t="e">
        <f>VLOOKUP(L555,$W$23:$AN$40,MATCH(M555,$W$23:$AN$23,0),FALSE)</f>
        <v>#N/A</v>
      </c>
      <c r="J555" s="1" t="e">
        <f>VLOOKUP(K555,$W$23:$AN$40,MATCH(M555,$W$23:$AN$23,0),FALSE)</f>
        <v>#N/A</v>
      </c>
      <c r="K555" s="1" t="str">
        <f>MID(A555,1,1)</f>
        <v/>
      </c>
      <c r="L555" s="1" t="str">
        <f>MID(A555,2,1)</f>
        <v/>
      </c>
      <c r="M555" s="1" t="str">
        <f>MID(A555,4,1)</f>
        <v/>
      </c>
      <c r="N555" s="1" t="e">
        <f>VLOOKUP(K555,$W:$X,2,0)</f>
        <v>#N/A</v>
      </c>
      <c r="O555" s="1" t="e">
        <f>VLOOKUP(L555,$Z:$AA,2,0)</f>
        <v>#N/A</v>
      </c>
      <c r="P555" s="1" t="e">
        <f>VLOOKUP(M555,$AC:$AD,2,0)</f>
        <v>#N/A</v>
      </c>
      <c r="Q555" s="1">
        <f>IF(A555&lt;&gt;"",P555+O555+N555+H555+I555+J555,0)</f>
        <v>0</v>
      </c>
    </row>
    <row r="556" spans="1:17" x14ac:dyDescent="0.25">
      <c r="A556" s="41"/>
      <c r="C556" s="41"/>
      <c r="E556" s="1" t="str">
        <f>MID(A556,1,2)</f>
        <v/>
      </c>
      <c r="F556" s="1" t="str">
        <f>MID(C556,3,2)</f>
        <v/>
      </c>
      <c r="G556" s="1" t="str">
        <f>CONCATENATE(K556,M556)</f>
        <v/>
      </c>
      <c r="H556" s="1" t="e">
        <f>VLOOKUP(K556,$W$23:$AN$40,MATCH(L556,$W$23:$AN$23,0),FALSE)</f>
        <v>#N/A</v>
      </c>
      <c r="I556" s="1" t="e">
        <f>VLOOKUP(L556,$W$23:$AN$40,MATCH(M556,$W$23:$AN$23,0),FALSE)</f>
        <v>#N/A</v>
      </c>
      <c r="J556" s="1" t="e">
        <f>VLOOKUP(K556,$W$23:$AN$40,MATCH(M556,$W$23:$AN$23,0),FALSE)</f>
        <v>#N/A</v>
      </c>
      <c r="K556" s="1" t="str">
        <f>MID(A556,1,1)</f>
        <v/>
      </c>
      <c r="L556" s="1" t="str">
        <f>MID(A556,2,1)</f>
        <v/>
      </c>
      <c r="M556" s="1" t="str">
        <f>MID(A556,4,1)</f>
        <v/>
      </c>
      <c r="N556" s="1" t="e">
        <f>VLOOKUP(K556,$W:$X,2,0)</f>
        <v>#N/A</v>
      </c>
      <c r="O556" s="1" t="e">
        <f>VLOOKUP(L556,$Z:$AA,2,0)</f>
        <v>#N/A</v>
      </c>
      <c r="P556" s="1" t="e">
        <f>VLOOKUP(M556,$AC:$AD,2,0)</f>
        <v>#N/A</v>
      </c>
      <c r="Q556" s="1">
        <f>IF(A556&lt;&gt;"",P556+O556+N556+H556+I556+J556,0)</f>
        <v>0</v>
      </c>
    </row>
    <row r="557" spans="1:17" x14ac:dyDescent="0.25">
      <c r="A557" s="41"/>
      <c r="C557" s="41"/>
      <c r="E557" s="1" t="str">
        <f>MID(A557,1,2)</f>
        <v/>
      </c>
      <c r="F557" s="1" t="str">
        <f>MID(C557,3,2)</f>
        <v/>
      </c>
      <c r="G557" s="1" t="str">
        <f>CONCATENATE(K557,M557)</f>
        <v/>
      </c>
      <c r="H557" s="1" t="e">
        <f>VLOOKUP(K557,$W$23:$AN$40,MATCH(L557,$W$23:$AN$23,0),FALSE)</f>
        <v>#N/A</v>
      </c>
      <c r="I557" s="1" t="e">
        <f>VLOOKUP(L557,$W$23:$AN$40,MATCH(M557,$W$23:$AN$23,0),FALSE)</f>
        <v>#N/A</v>
      </c>
      <c r="J557" s="1" t="e">
        <f>VLOOKUP(K557,$W$23:$AN$40,MATCH(M557,$W$23:$AN$23,0),FALSE)</f>
        <v>#N/A</v>
      </c>
      <c r="K557" s="1" t="str">
        <f>MID(A557,1,1)</f>
        <v/>
      </c>
      <c r="L557" s="1" t="str">
        <f>MID(A557,2,1)</f>
        <v/>
      </c>
      <c r="M557" s="1" t="str">
        <f>MID(A557,4,1)</f>
        <v/>
      </c>
      <c r="N557" s="1" t="e">
        <f>VLOOKUP(K557,$W:$X,2,0)</f>
        <v>#N/A</v>
      </c>
      <c r="O557" s="1" t="e">
        <f>VLOOKUP(L557,$Z:$AA,2,0)</f>
        <v>#N/A</v>
      </c>
      <c r="P557" s="1" t="e">
        <f>VLOOKUP(M557,$AC:$AD,2,0)</f>
        <v>#N/A</v>
      </c>
      <c r="Q557" s="1">
        <f>IF(A557&lt;&gt;"",P557+O557+N557+H557+I557+J557,0)</f>
        <v>0</v>
      </c>
    </row>
    <row r="558" spans="1:17" x14ac:dyDescent="0.25">
      <c r="A558" s="41"/>
      <c r="C558" s="41"/>
      <c r="E558" s="1" t="str">
        <f>MID(A558,1,2)</f>
        <v/>
      </c>
      <c r="F558" s="1" t="str">
        <f>MID(C558,3,2)</f>
        <v/>
      </c>
      <c r="G558" s="1" t="str">
        <f>CONCATENATE(K558,M558)</f>
        <v/>
      </c>
      <c r="H558" s="1" t="e">
        <f>VLOOKUP(K558,$W$23:$AN$40,MATCH(L558,$W$23:$AN$23,0),FALSE)</f>
        <v>#N/A</v>
      </c>
      <c r="I558" s="1" t="e">
        <f>VLOOKUP(L558,$W$23:$AN$40,MATCH(M558,$W$23:$AN$23,0),FALSE)</f>
        <v>#N/A</v>
      </c>
      <c r="J558" s="1" t="e">
        <f>VLOOKUP(K558,$W$23:$AN$40,MATCH(M558,$W$23:$AN$23,0),FALSE)</f>
        <v>#N/A</v>
      </c>
      <c r="K558" s="1" t="str">
        <f>MID(A558,1,1)</f>
        <v/>
      </c>
      <c r="L558" s="1" t="str">
        <f>MID(A558,2,1)</f>
        <v/>
      </c>
      <c r="M558" s="1" t="str">
        <f>MID(A558,4,1)</f>
        <v/>
      </c>
      <c r="N558" s="1" t="e">
        <f>VLOOKUP(K558,$W:$X,2,0)</f>
        <v>#N/A</v>
      </c>
      <c r="O558" s="1" t="e">
        <f>VLOOKUP(L558,$Z:$AA,2,0)</f>
        <v>#N/A</v>
      </c>
      <c r="P558" s="1" t="e">
        <f>VLOOKUP(M558,$AC:$AD,2,0)</f>
        <v>#N/A</v>
      </c>
      <c r="Q558" s="1">
        <f>IF(A558&lt;&gt;"",P558+O558+N558+H558+I558+J558,0)</f>
        <v>0</v>
      </c>
    </row>
    <row r="559" spans="1:17" x14ac:dyDescent="0.25">
      <c r="A559" s="41"/>
      <c r="C559" s="41"/>
      <c r="E559" s="1" t="str">
        <f>MID(A559,1,2)</f>
        <v/>
      </c>
      <c r="F559" s="1" t="str">
        <f>MID(C559,3,2)</f>
        <v/>
      </c>
      <c r="G559" s="1" t="str">
        <f>CONCATENATE(K559,M559)</f>
        <v/>
      </c>
      <c r="H559" s="1" t="e">
        <f>VLOOKUP(K559,$W$23:$AN$40,MATCH(L559,$W$23:$AN$23,0),FALSE)</f>
        <v>#N/A</v>
      </c>
      <c r="I559" s="1" t="e">
        <f>VLOOKUP(L559,$W$23:$AN$40,MATCH(M559,$W$23:$AN$23,0),FALSE)</f>
        <v>#N/A</v>
      </c>
      <c r="J559" s="1" t="e">
        <f>VLOOKUP(K559,$W$23:$AN$40,MATCH(M559,$W$23:$AN$23,0),FALSE)</f>
        <v>#N/A</v>
      </c>
      <c r="K559" s="1" t="str">
        <f>MID(A559,1,1)</f>
        <v/>
      </c>
      <c r="L559" s="1" t="str">
        <f>MID(A559,2,1)</f>
        <v/>
      </c>
      <c r="M559" s="1" t="str">
        <f>MID(A559,4,1)</f>
        <v/>
      </c>
      <c r="N559" s="1" t="e">
        <f>VLOOKUP(K559,$W:$X,2,0)</f>
        <v>#N/A</v>
      </c>
      <c r="O559" s="1" t="e">
        <f>VLOOKUP(L559,$Z:$AA,2,0)</f>
        <v>#N/A</v>
      </c>
      <c r="P559" s="1" t="e">
        <f>VLOOKUP(M559,$AC:$AD,2,0)</f>
        <v>#N/A</v>
      </c>
      <c r="Q559" s="1">
        <f>IF(A559&lt;&gt;"",P559+O559+N559+H559+I559+J559,0)</f>
        <v>0</v>
      </c>
    </row>
    <row r="560" spans="1:17" x14ac:dyDescent="0.25">
      <c r="A560" s="41"/>
      <c r="C560" s="41"/>
      <c r="E560" s="1" t="str">
        <f>MID(A560,1,2)</f>
        <v/>
      </c>
      <c r="F560" s="1" t="str">
        <f>MID(C560,3,2)</f>
        <v/>
      </c>
      <c r="G560" s="1" t="str">
        <f>CONCATENATE(K560,M560)</f>
        <v/>
      </c>
      <c r="H560" s="1" t="e">
        <f>VLOOKUP(K560,$W$23:$AN$40,MATCH(L560,$W$23:$AN$23,0),FALSE)</f>
        <v>#N/A</v>
      </c>
      <c r="I560" s="1" t="e">
        <f>VLOOKUP(L560,$W$23:$AN$40,MATCH(M560,$W$23:$AN$23,0),FALSE)</f>
        <v>#N/A</v>
      </c>
      <c r="J560" s="1" t="e">
        <f>VLOOKUP(K560,$W$23:$AN$40,MATCH(M560,$W$23:$AN$23,0),FALSE)</f>
        <v>#N/A</v>
      </c>
      <c r="K560" s="1" t="str">
        <f>MID(A560,1,1)</f>
        <v/>
      </c>
      <c r="L560" s="1" t="str">
        <f>MID(A560,2,1)</f>
        <v/>
      </c>
      <c r="M560" s="1" t="str">
        <f>MID(A560,4,1)</f>
        <v/>
      </c>
      <c r="N560" s="1" t="e">
        <f>VLOOKUP(K560,$W:$X,2,0)</f>
        <v>#N/A</v>
      </c>
      <c r="O560" s="1" t="e">
        <f>VLOOKUP(L560,$Z:$AA,2,0)</f>
        <v>#N/A</v>
      </c>
      <c r="P560" s="1" t="e">
        <f>VLOOKUP(M560,$AC:$AD,2,0)</f>
        <v>#N/A</v>
      </c>
      <c r="Q560" s="1">
        <f>IF(A560&lt;&gt;"",P560+O560+N560+H560+I560+J560,0)</f>
        <v>0</v>
      </c>
    </row>
    <row r="561" spans="1:17" x14ac:dyDescent="0.25">
      <c r="A561" s="41"/>
      <c r="C561" s="41"/>
      <c r="E561" s="1" t="str">
        <f>MID(A561,1,2)</f>
        <v/>
      </c>
      <c r="F561" s="1" t="str">
        <f>MID(C561,3,2)</f>
        <v/>
      </c>
      <c r="G561" s="1" t="str">
        <f>CONCATENATE(K561,M561)</f>
        <v/>
      </c>
      <c r="H561" s="1" t="e">
        <f>VLOOKUP(K561,$W$23:$AN$40,MATCH(L561,$W$23:$AN$23,0),FALSE)</f>
        <v>#N/A</v>
      </c>
      <c r="I561" s="1" t="e">
        <f>VLOOKUP(L561,$W$23:$AN$40,MATCH(M561,$W$23:$AN$23,0),FALSE)</f>
        <v>#N/A</v>
      </c>
      <c r="J561" s="1" t="e">
        <f>VLOOKUP(K561,$W$23:$AN$40,MATCH(M561,$W$23:$AN$23,0),FALSE)</f>
        <v>#N/A</v>
      </c>
      <c r="K561" s="1" t="str">
        <f>MID(A561,1,1)</f>
        <v/>
      </c>
      <c r="L561" s="1" t="str">
        <f>MID(A561,2,1)</f>
        <v/>
      </c>
      <c r="M561" s="1" t="str">
        <f>MID(A561,4,1)</f>
        <v/>
      </c>
      <c r="N561" s="1" t="e">
        <f>VLOOKUP(K561,$W:$X,2,0)</f>
        <v>#N/A</v>
      </c>
      <c r="O561" s="1" t="e">
        <f>VLOOKUP(L561,$Z:$AA,2,0)</f>
        <v>#N/A</v>
      </c>
      <c r="P561" s="1" t="e">
        <f>VLOOKUP(M561,$AC:$AD,2,0)</f>
        <v>#N/A</v>
      </c>
      <c r="Q561" s="1">
        <f>IF(A561&lt;&gt;"",P561+O561+N561+H561+I561+J561,0)</f>
        <v>0</v>
      </c>
    </row>
    <row r="562" spans="1:17" x14ac:dyDescent="0.25">
      <c r="A562" s="41"/>
      <c r="C562" s="41"/>
      <c r="E562" s="1" t="str">
        <f>MID(A562,1,2)</f>
        <v/>
      </c>
      <c r="F562" s="1" t="str">
        <f>MID(C562,3,2)</f>
        <v/>
      </c>
      <c r="G562" s="1" t="str">
        <f>CONCATENATE(K562,M562)</f>
        <v/>
      </c>
      <c r="H562" s="1" t="e">
        <f>VLOOKUP(K562,$W$23:$AN$40,MATCH(L562,$W$23:$AN$23,0),FALSE)</f>
        <v>#N/A</v>
      </c>
      <c r="I562" s="1" t="e">
        <f>VLOOKUP(L562,$W$23:$AN$40,MATCH(M562,$W$23:$AN$23,0),FALSE)</f>
        <v>#N/A</v>
      </c>
      <c r="J562" s="1" t="e">
        <f>VLOOKUP(K562,$W$23:$AN$40,MATCH(M562,$W$23:$AN$23,0),FALSE)</f>
        <v>#N/A</v>
      </c>
      <c r="K562" s="1" t="str">
        <f>MID(A562,1,1)</f>
        <v/>
      </c>
      <c r="L562" s="1" t="str">
        <f>MID(A562,2,1)</f>
        <v/>
      </c>
      <c r="M562" s="1" t="str">
        <f>MID(A562,4,1)</f>
        <v/>
      </c>
      <c r="N562" s="1" t="e">
        <f>VLOOKUP(K562,$W:$X,2,0)</f>
        <v>#N/A</v>
      </c>
      <c r="O562" s="1" t="e">
        <f>VLOOKUP(L562,$Z:$AA,2,0)</f>
        <v>#N/A</v>
      </c>
      <c r="P562" s="1" t="e">
        <f>VLOOKUP(M562,$AC:$AD,2,0)</f>
        <v>#N/A</v>
      </c>
      <c r="Q562" s="1">
        <f>IF(A562&lt;&gt;"",P562+O562+N562+H562+I562+J562,0)</f>
        <v>0</v>
      </c>
    </row>
    <row r="563" spans="1:17" x14ac:dyDescent="0.25">
      <c r="A563" s="41"/>
      <c r="C563" s="41"/>
      <c r="E563" s="1" t="str">
        <f>MID(A563,1,2)</f>
        <v/>
      </c>
      <c r="F563" s="1" t="str">
        <f>MID(C563,3,2)</f>
        <v/>
      </c>
      <c r="G563" s="1" t="str">
        <f>CONCATENATE(K563,M563)</f>
        <v/>
      </c>
      <c r="H563" s="1" t="e">
        <f>VLOOKUP(K563,$W$23:$AN$40,MATCH(L563,$W$23:$AN$23,0),FALSE)</f>
        <v>#N/A</v>
      </c>
      <c r="I563" s="1" t="e">
        <f>VLOOKUP(L563,$W$23:$AN$40,MATCH(M563,$W$23:$AN$23,0),FALSE)</f>
        <v>#N/A</v>
      </c>
      <c r="J563" s="1" t="e">
        <f>VLOOKUP(K563,$W$23:$AN$40,MATCH(M563,$W$23:$AN$23,0),FALSE)</f>
        <v>#N/A</v>
      </c>
      <c r="K563" s="1" t="str">
        <f>MID(A563,1,1)</f>
        <v/>
      </c>
      <c r="L563" s="1" t="str">
        <f>MID(A563,2,1)</f>
        <v/>
      </c>
      <c r="M563" s="1" t="str">
        <f>MID(A563,4,1)</f>
        <v/>
      </c>
      <c r="N563" s="1" t="e">
        <f>VLOOKUP(K563,$W:$X,2,0)</f>
        <v>#N/A</v>
      </c>
      <c r="O563" s="1" t="e">
        <f>VLOOKUP(L563,$Z:$AA,2,0)</f>
        <v>#N/A</v>
      </c>
      <c r="P563" s="1" t="e">
        <f>VLOOKUP(M563,$AC:$AD,2,0)</f>
        <v>#N/A</v>
      </c>
      <c r="Q563" s="1">
        <f>IF(A563&lt;&gt;"",P563+O563+N563+H563+I563+J563,0)</f>
        <v>0</v>
      </c>
    </row>
    <row r="564" spans="1:17" x14ac:dyDescent="0.25">
      <c r="A564" s="41"/>
      <c r="C564" s="41"/>
      <c r="E564" s="1" t="str">
        <f>MID(A564,1,2)</f>
        <v/>
      </c>
      <c r="F564" s="1" t="str">
        <f>MID(C564,3,2)</f>
        <v/>
      </c>
      <c r="G564" s="1" t="str">
        <f>CONCATENATE(K564,M564)</f>
        <v/>
      </c>
      <c r="H564" s="1" t="e">
        <f>VLOOKUP(K564,$W$23:$AN$40,MATCH(L564,$W$23:$AN$23,0),FALSE)</f>
        <v>#N/A</v>
      </c>
      <c r="I564" s="1" t="e">
        <f>VLOOKUP(L564,$W$23:$AN$40,MATCH(M564,$W$23:$AN$23,0),FALSE)</f>
        <v>#N/A</v>
      </c>
      <c r="J564" s="1" t="e">
        <f>VLOOKUP(K564,$W$23:$AN$40,MATCH(M564,$W$23:$AN$23,0),FALSE)</f>
        <v>#N/A</v>
      </c>
      <c r="K564" s="1" t="str">
        <f>MID(A564,1,1)</f>
        <v/>
      </c>
      <c r="L564" s="1" t="str">
        <f>MID(A564,2,1)</f>
        <v/>
      </c>
      <c r="M564" s="1" t="str">
        <f>MID(A564,4,1)</f>
        <v/>
      </c>
      <c r="N564" s="1" t="e">
        <f>VLOOKUP(K564,$W:$X,2,0)</f>
        <v>#N/A</v>
      </c>
      <c r="O564" s="1" t="e">
        <f>VLOOKUP(L564,$Z:$AA,2,0)</f>
        <v>#N/A</v>
      </c>
      <c r="P564" s="1" t="e">
        <f>VLOOKUP(M564,$AC:$AD,2,0)</f>
        <v>#N/A</v>
      </c>
      <c r="Q564" s="1">
        <f>IF(A564&lt;&gt;"",P564+O564+N564+H564+I564+J564,0)</f>
        <v>0</v>
      </c>
    </row>
    <row r="565" spans="1:17" x14ac:dyDescent="0.25">
      <c r="A565" s="41"/>
      <c r="C565" s="41"/>
      <c r="E565" s="1" t="str">
        <f>MID(A565,1,2)</f>
        <v/>
      </c>
      <c r="F565" s="1" t="str">
        <f>MID(C565,3,2)</f>
        <v/>
      </c>
      <c r="G565" s="1" t="str">
        <f>CONCATENATE(K565,M565)</f>
        <v/>
      </c>
      <c r="H565" s="1" t="e">
        <f>VLOOKUP(K565,$W$23:$AN$40,MATCH(L565,$W$23:$AN$23,0),FALSE)</f>
        <v>#N/A</v>
      </c>
      <c r="I565" s="1" t="e">
        <f>VLOOKUP(L565,$W$23:$AN$40,MATCH(M565,$W$23:$AN$23,0),FALSE)</f>
        <v>#N/A</v>
      </c>
      <c r="J565" s="1" t="e">
        <f>VLOOKUP(K565,$W$23:$AN$40,MATCH(M565,$W$23:$AN$23,0),FALSE)</f>
        <v>#N/A</v>
      </c>
      <c r="K565" s="1" t="str">
        <f>MID(A565,1,1)</f>
        <v/>
      </c>
      <c r="L565" s="1" t="str">
        <f>MID(A565,2,1)</f>
        <v/>
      </c>
      <c r="M565" s="1" t="str">
        <f>MID(A565,4,1)</f>
        <v/>
      </c>
      <c r="N565" s="1" t="e">
        <f>VLOOKUP(K565,$W:$X,2,0)</f>
        <v>#N/A</v>
      </c>
      <c r="O565" s="1" t="e">
        <f>VLOOKUP(L565,$Z:$AA,2,0)</f>
        <v>#N/A</v>
      </c>
      <c r="P565" s="1" t="e">
        <f>VLOOKUP(M565,$AC:$AD,2,0)</f>
        <v>#N/A</v>
      </c>
      <c r="Q565" s="1">
        <f>IF(A565&lt;&gt;"",P565+O565+N565+H565+I565+J565,0)</f>
        <v>0</v>
      </c>
    </row>
    <row r="566" spans="1:17" x14ac:dyDescent="0.25">
      <c r="A566" s="41"/>
      <c r="C566" s="41"/>
    </row>
    <row r="567" spans="1:17" x14ac:dyDescent="0.25">
      <c r="A567" s="41"/>
      <c r="C567" s="41"/>
    </row>
    <row r="568" spans="1:17" x14ac:dyDescent="0.25">
      <c r="A568" s="41"/>
      <c r="C568" s="41"/>
    </row>
    <row r="569" spans="1:17" x14ac:dyDescent="0.25">
      <c r="A569" s="41"/>
      <c r="C569" s="41"/>
    </row>
    <row r="570" spans="1:17" x14ac:dyDescent="0.25">
      <c r="A570" s="41"/>
      <c r="C570" s="41"/>
    </row>
    <row r="571" spans="1:17" x14ac:dyDescent="0.25">
      <c r="A571" s="41"/>
      <c r="C571" s="41"/>
    </row>
    <row r="572" spans="1:17" x14ac:dyDescent="0.25">
      <c r="A572" s="41"/>
      <c r="C572" s="41"/>
    </row>
    <row r="573" spans="1:17" x14ac:dyDescent="0.25">
      <c r="A573" s="41"/>
      <c r="C573" s="41"/>
    </row>
    <row r="574" spans="1:17" x14ac:dyDescent="0.25">
      <c r="A574" s="41"/>
      <c r="C574" s="41"/>
    </row>
    <row r="575" spans="1:17" x14ac:dyDescent="0.25">
      <c r="A575" s="41"/>
      <c r="C575" s="41"/>
    </row>
    <row r="576" spans="1:17" x14ac:dyDescent="0.25">
      <c r="A576" s="41"/>
      <c r="C576" s="41"/>
    </row>
    <row r="577" spans="1:3" x14ac:dyDescent="0.25">
      <c r="A577" s="41"/>
      <c r="C577" s="41"/>
    </row>
    <row r="578" spans="1:3" x14ac:dyDescent="0.25">
      <c r="A578" s="41"/>
      <c r="C578" s="41"/>
    </row>
    <row r="579" spans="1:3" x14ac:dyDescent="0.25">
      <c r="A579" s="41"/>
      <c r="C579" s="41"/>
    </row>
    <row r="580" spans="1:3" x14ac:dyDescent="0.25">
      <c r="A580" s="41"/>
      <c r="C580" s="41"/>
    </row>
    <row r="581" spans="1:3" x14ac:dyDescent="0.25">
      <c r="A581" s="41"/>
      <c r="C581" s="41"/>
    </row>
    <row r="582" spans="1:3" x14ac:dyDescent="0.25">
      <c r="A582" s="41"/>
      <c r="C582" s="41"/>
    </row>
    <row r="583" spans="1:3" x14ac:dyDescent="0.25">
      <c r="A583" s="41"/>
      <c r="C583" s="41"/>
    </row>
    <row r="584" spans="1:3" x14ac:dyDescent="0.25">
      <c r="A584" s="41"/>
      <c r="C584" s="41"/>
    </row>
    <row r="585" spans="1:3" x14ac:dyDescent="0.25">
      <c r="A585" s="41"/>
      <c r="C585" s="41"/>
    </row>
    <row r="586" spans="1:3" x14ac:dyDescent="0.25">
      <c r="A586" s="41"/>
      <c r="C586" s="41"/>
    </row>
    <row r="587" spans="1:3" x14ac:dyDescent="0.25">
      <c r="A587" s="41"/>
      <c r="C587" s="41"/>
    </row>
    <row r="588" spans="1:3" x14ac:dyDescent="0.25">
      <c r="A588" s="41"/>
      <c r="C588" s="41"/>
    </row>
    <row r="589" spans="1:3" x14ac:dyDescent="0.25">
      <c r="A589" s="41"/>
      <c r="C589" s="41"/>
    </row>
    <row r="590" spans="1:3" x14ac:dyDescent="0.25">
      <c r="A590" s="41"/>
      <c r="C590" s="41"/>
    </row>
    <row r="591" spans="1:3" x14ac:dyDescent="0.25">
      <c r="A591" s="41"/>
      <c r="C591" s="41"/>
    </row>
    <row r="592" spans="1:3" x14ac:dyDescent="0.25">
      <c r="A592" s="41"/>
      <c r="C592" s="41"/>
    </row>
    <row r="593" spans="1:3" x14ac:dyDescent="0.25">
      <c r="A593" s="41"/>
      <c r="C593" s="41"/>
    </row>
    <row r="594" spans="1:3" x14ac:dyDescent="0.25">
      <c r="A594" s="41"/>
      <c r="C594" s="41"/>
    </row>
    <row r="595" spans="1:3" x14ac:dyDescent="0.25">
      <c r="A595" s="41"/>
      <c r="C595" s="41"/>
    </row>
    <row r="596" spans="1:3" x14ac:dyDescent="0.25">
      <c r="A596" s="41"/>
      <c r="C596" s="41"/>
    </row>
    <row r="597" spans="1:3" x14ac:dyDescent="0.25">
      <c r="A597" s="41"/>
      <c r="C597" s="41"/>
    </row>
    <row r="598" spans="1:3" x14ac:dyDescent="0.25">
      <c r="A598" s="41"/>
      <c r="C598" s="41"/>
    </row>
    <row r="599" spans="1:3" x14ac:dyDescent="0.25">
      <c r="A599" s="41"/>
      <c r="C599" s="41"/>
    </row>
    <row r="600" spans="1:3" x14ac:dyDescent="0.25">
      <c r="A600" s="41"/>
      <c r="C600" s="41"/>
    </row>
    <row r="601" spans="1:3" x14ac:dyDescent="0.25">
      <c r="A601" s="41"/>
      <c r="C601" s="41"/>
    </row>
    <row r="602" spans="1:3" x14ac:dyDescent="0.25">
      <c r="A602" s="41"/>
      <c r="C602" s="41"/>
    </row>
    <row r="603" spans="1:3" x14ac:dyDescent="0.25">
      <c r="A603" s="41"/>
      <c r="C603" s="41"/>
    </row>
    <row r="604" spans="1:3" x14ac:dyDescent="0.25">
      <c r="A604" s="41"/>
      <c r="C604" s="41"/>
    </row>
    <row r="605" spans="1:3" x14ac:dyDescent="0.25">
      <c r="A605" s="41"/>
      <c r="C605" s="41"/>
    </row>
    <row r="606" spans="1:3" x14ac:dyDescent="0.25">
      <c r="A606" s="41"/>
      <c r="C606" s="41"/>
    </row>
    <row r="607" spans="1:3" x14ac:dyDescent="0.25">
      <c r="A607" s="41"/>
      <c r="C607" s="41"/>
    </row>
    <row r="608" spans="1:3" x14ac:dyDescent="0.25">
      <c r="A608" s="41"/>
      <c r="C608" s="41"/>
    </row>
    <row r="609" spans="1:3" x14ac:dyDescent="0.25">
      <c r="A609" s="41"/>
      <c r="C609" s="41"/>
    </row>
    <row r="610" spans="1:3" x14ac:dyDescent="0.25">
      <c r="A610" s="41"/>
      <c r="C610" s="41"/>
    </row>
    <row r="611" spans="1:3" x14ac:dyDescent="0.25">
      <c r="A611" s="41"/>
      <c r="C611" s="41"/>
    </row>
    <row r="612" spans="1:3" x14ac:dyDescent="0.25">
      <c r="A612" s="41"/>
      <c r="C612" s="41"/>
    </row>
    <row r="613" spans="1:3" x14ac:dyDescent="0.25">
      <c r="A613" s="41"/>
      <c r="C613" s="41"/>
    </row>
    <row r="614" spans="1:3" x14ac:dyDescent="0.25">
      <c r="A614" s="41"/>
      <c r="C614" s="41"/>
    </row>
    <row r="615" spans="1:3" x14ac:dyDescent="0.25">
      <c r="A615" s="41"/>
      <c r="C615" s="41"/>
    </row>
    <row r="616" spans="1:3" x14ac:dyDescent="0.25">
      <c r="A616" s="41"/>
      <c r="C616" s="41"/>
    </row>
    <row r="617" spans="1:3" x14ac:dyDescent="0.25">
      <c r="A617" s="41"/>
      <c r="C617" s="41"/>
    </row>
    <row r="618" spans="1:3" x14ac:dyDescent="0.25">
      <c r="A618" s="41"/>
      <c r="C618" s="41"/>
    </row>
    <row r="619" spans="1:3" x14ac:dyDescent="0.25">
      <c r="A619" s="41"/>
      <c r="C619" s="41"/>
    </row>
    <row r="620" spans="1:3" x14ac:dyDescent="0.25">
      <c r="A620" s="41"/>
      <c r="C620" s="41"/>
    </row>
    <row r="621" spans="1:3" x14ac:dyDescent="0.25">
      <c r="A621" s="41"/>
      <c r="C621" s="41"/>
    </row>
    <row r="622" spans="1:3" x14ac:dyDescent="0.25">
      <c r="A622" s="41"/>
      <c r="C622" s="41"/>
    </row>
    <row r="623" spans="1:3" x14ac:dyDescent="0.25">
      <c r="A623" s="41"/>
      <c r="C623" s="41"/>
    </row>
    <row r="624" spans="1:3" x14ac:dyDescent="0.25">
      <c r="A624" s="41"/>
      <c r="C624" s="41"/>
    </row>
    <row r="625" spans="1:3" x14ac:dyDescent="0.25">
      <c r="A625" s="41"/>
      <c r="C625" s="41"/>
    </row>
    <row r="626" spans="1:3" x14ac:dyDescent="0.25">
      <c r="A626" s="41"/>
      <c r="C626" s="41"/>
    </row>
    <row r="627" spans="1:3" x14ac:dyDescent="0.25">
      <c r="A627" s="41"/>
      <c r="C627" s="41"/>
    </row>
    <row r="628" spans="1:3" x14ac:dyDescent="0.25">
      <c r="A628" s="41"/>
      <c r="C628" s="41"/>
    </row>
    <row r="629" spans="1:3" x14ac:dyDescent="0.25">
      <c r="A629" s="41"/>
      <c r="C629" s="41"/>
    </row>
    <row r="630" spans="1:3" x14ac:dyDescent="0.25">
      <c r="A630" s="41"/>
      <c r="C630" s="41"/>
    </row>
    <row r="631" spans="1:3" x14ac:dyDescent="0.25">
      <c r="A631" s="41"/>
      <c r="C631" s="41"/>
    </row>
    <row r="632" spans="1:3" x14ac:dyDescent="0.25">
      <c r="A632" s="41"/>
      <c r="C632" s="41"/>
    </row>
    <row r="633" spans="1:3" x14ac:dyDescent="0.25">
      <c r="A633" s="41"/>
      <c r="C633" s="41"/>
    </row>
    <row r="634" spans="1:3" x14ac:dyDescent="0.25">
      <c r="A634" s="41"/>
      <c r="C634" s="41"/>
    </row>
    <row r="635" spans="1:3" x14ac:dyDescent="0.25">
      <c r="A635" s="41"/>
      <c r="C635" s="41"/>
    </row>
    <row r="636" spans="1:3" x14ac:dyDescent="0.25">
      <c r="A636" s="41"/>
      <c r="C636" s="41"/>
    </row>
    <row r="637" spans="1:3" x14ac:dyDescent="0.25">
      <c r="A637" s="41"/>
      <c r="C637" s="41"/>
    </row>
    <row r="638" spans="1:3" x14ac:dyDescent="0.25">
      <c r="A638" s="41"/>
      <c r="C638" s="41"/>
    </row>
    <row r="639" spans="1:3" x14ac:dyDescent="0.25">
      <c r="A639" s="41"/>
      <c r="C639" s="41"/>
    </row>
    <row r="640" spans="1:3" x14ac:dyDescent="0.25">
      <c r="A640" s="41"/>
      <c r="C640" s="41"/>
    </row>
    <row r="641" spans="1:3" x14ac:dyDescent="0.25">
      <c r="A641" s="41"/>
      <c r="C641" s="41"/>
    </row>
    <row r="642" spans="1:3" x14ac:dyDescent="0.25">
      <c r="A642" s="41"/>
      <c r="C642" s="41"/>
    </row>
    <row r="643" spans="1:3" x14ac:dyDescent="0.25">
      <c r="A643" s="41"/>
      <c r="C643" s="41"/>
    </row>
    <row r="644" spans="1:3" x14ac:dyDescent="0.25">
      <c r="A644" s="41"/>
      <c r="C644" s="41"/>
    </row>
    <row r="645" spans="1:3" x14ac:dyDescent="0.25">
      <c r="A645" s="41"/>
      <c r="C645" s="41"/>
    </row>
    <row r="646" spans="1:3" x14ac:dyDescent="0.25">
      <c r="A646" s="41"/>
      <c r="C646" s="41"/>
    </row>
    <row r="647" spans="1:3" x14ac:dyDescent="0.25">
      <c r="A647" s="41"/>
      <c r="C647" s="41"/>
    </row>
    <row r="648" spans="1:3" x14ac:dyDescent="0.25">
      <c r="A648" s="41"/>
      <c r="C648" s="41"/>
    </row>
    <row r="649" spans="1:3" x14ac:dyDescent="0.25">
      <c r="A649" s="41"/>
      <c r="C649" s="41"/>
    </row>
    <row r="650" spans="1:3" x14ac:dyDescent="0.25">
      <c r="A650" s="41"/>
      <c r="C650" s="41"/>
    </row>
    <row r="651" spans="1:3" x14ac:dyDescent="0.25">
      <c r="A651" s="41"/>
      <c r="C651" s="41"/>
    </row>
    <row r="652" spans="1:3" x14ac:dyDescent="0.25">
      <c r="A652" s="41"/>
      <c r="C652" s="41"/>
    </row>
    <row r="653" spans="1:3" x14ac:dyDescent="0.25">
      <c r="A653" s="41"/>
      <c r="C653" s="41"/>
    </row>
    <row r="654" spans="1:3" x14ac:dyDescent="0.25">
      <c r="A654" s="41"/>
      <c r="C654" s="41"/>
    </row>
    <row r="655" spans="1:3" x14ac:dyDescent="0.25">
      <c r="A655" s="41"/>
      <c r="C655" s="41"/>
    </row>
    <row r="656" spans="1:3" x14ac:dyDescent="0.25">
      <c r="A656" s="41"/>
      <c r="C656" s="41"/>
    </row>
    <row r="657" spans="1:3" x14ac:dyDescent="0.25">
      <c r="A657" s="41"/>
      <c r="C657" s="41"/>
    </row>
    <row r="658" spans="1:3" x14ac:dyDescent="0.25">
      <c r="A658" s="41"/>
      <c r="C658" s="41"/>
    </row>
    <row r="659" spans="1:3" x14ac:dyDescent="0.25">
      <c r="A659" s="41"/>
      <c r="C659" s="41"/>
    </row>
    <row r="660" spans="1:3" x14ac:dyDescent="0.25">
      <c r="A660" s="41"/>
      <c r="C660" s="41"/>
    </row>
    <row r="661" spans="1:3" x14ac:dyDescent="0.25">
      <c r="A661" s="41"/>
      <c r="C661" s="41"/>
    </row>
    <row r="662" spans="1:3" x14ac:dyDescent="0.25">
      <c r="A662" s="41"/>
      <c r="C662" s="41"/>
    </row>
    <row r="663" spans="1:3" x14ac:dyDescent="0.25">
      <c r="A663" s="41"/>
      <c r="C663" s="41"/>
    </row>
    <row r="664" spans="1:3" x14ac:dyDescent="0.25">
      <c r="A664" s="41"/>
      <c r="C664" s="41"/>
    </row>
    <row r="665" spans="1:3" x14ac:dyDescent="0.25">
      <c r="A665" s="41"/>
      <c r="C665" s="41"/>
    </row>
    <row r="666" spans="1:3" x14ac:dyDescent="0.25">
      <c r="A666" s="41"/>
      <c r="C666" s="41"/>
    </row>
    <row r="667" spans="1:3" x14ac:dyDescent="0.25">
      <c r="A667" s="41"/>
      <c r="C667" s="41"/>
    </row>
    <row r="668" spans="1:3" x14ac:dyDescent="0.25">
      <c r="A668" s="41"/>
      <c r="C668" s="41"/>
    </row>
    <row r="669" spans="1:3" x14ac:dyDescent="0.25">
      <c r="A669" s="41"/>
      <c r="C669" s="41"/>
    </row>
    <row r="670" spans="1:3" x14ac:dyDescent="0.25">
      <c r="A670" s="41"/>
      <c r="C670" s="41"/>
    </row>
    <row r="671" spans="1:3" x14ac:dyDescent="0.25">
      <c r="A671" s="41"/>
      <c r="C671" s="41"/>
    </row>
    <row r="672" spans="1:3" x14ac:dyDescent="0.25">
      <c r="A672" s="41"/>
      <c r="C672" s="41"/>
    </row>
    <row r="673" spans="1:3" x14ac:dyDescent="0.25">
      <c r="A673" s="41"/>
      <c r="C673" s="41"/>
    </row>
    <row r="674" spans="1:3" x14ac:dyDescent="0.25">
      <c r="A674" s="41"/>
      <c r="C674" s="41"/>
    </row>
    <row r="675" spans="1:3" x14ac:dyDescent="0.25">
      <c r="A675" s="41"/>
      <c r="C675" s="41"/>
    </row>
    <row r="676" spans="1:3" x14ac:dyDescent="0.25">
      <c r="A676" s="41"/>
      <c r="C676" s="41"/>
    </row>
    <row r="677" spans="1:3" x14ac:dyDescent="0.25">
      <c r="A677" s="41"/>
      <c r="C677" s="41"/>
    </row>
    <row r="678" spans="1:3" x14ac:dyDescent="0.25">
      <c r="A678" s="41"/>
      <c r="C678" s="41"/>
    </row>
    <row r="679" spans="1:3" x14ac:dyDescent="0.25">
      <c r="A679" s="41"/>
      <c r="C679" s="41"/>
    </row>
    <row r="680" spans="1:3" x14ac:dyDescent="0.25">
      <c r="A680" s="41"/>
      <c r="C680" s="41"/>
    </row>
    <row r="681" spans="1:3" x14ac:dyDescent="0.25">
      <c r="A681" s="41"/>
      <c r="C681" s="41"/>
    </row>
    <row r="682" spans="1:3" x14ac:dyDescent="0.25">
      <c r="A682" s="41"/>
      <c r="C682" s="41"/>
    </row>
    <row r="683" spans="1:3" x14ac:dyDescent="0.25">
      <c r="A683" s="41"/>
      <c r="C683" s="41"/>
    </row>
    <row r="684" spans="1:3" x14ac:dyDescent="0.25">
      <c r="A684" s="41"/>
      <c r="C684" s="41"/>
    </row>
    <row r="685" spans="1:3" x14ac:dyDescent="0.25">
      <c r="A685" s="41"/>
      <c r="C685" s="41"/>
    </row>
    <row r="686" spans="1:3" x14ac:dyDescent="0.25">
      <c r="A686" s="41"/>
      <c r="C686" s="41"/>
    </row>
    <row r="687" spans="1:3" x14ac:dyDescent="0.25">
      <c r="A687" s="41"/>
      <c r="C687" s="41"/>
    </row>
    <row r="688" spans="1:3" x14ac:dyDescent="0.25">
      <c r="A688" s="41"/>
      <c r="C688" s="41"/>
    </row>
    <row r="689" spans="1:3" x14ac:dyDescent="0.25">
      <c r="A689" s="41"/>
      <c r="C689" s="41"/>
    </row>
    <row r="690" spans="1:3" x14ac:dyDescent="0.25">
      <c r="A690" s="41"/>
      <c r="C690" s="41"/>
    </row>
    <row r="691" spans="1:3" x14ac:dyDescent="0.25">
      <c r="A691" s="41"/>
      <c r="C691" s="41"/>
    </row>
    <row r="692" spans="1:3" x14ac:dyDescent="0.25">
      <c r="A692" s="41"/>
      <c r="C692" s="41"/>
    </row>
    <row r="693" spans="1:3" x14ac:dyDescent="0.25">
      <c r="A693" s="41"/>
      <c r="C693" s="41"/>
    </row>
    <row r="694" spans="1:3" x14ac:dyDescent="0.25">
      <c r="A694" s="41"/>
      <c r="C694" s="41"/>
    </row>
    <row r="695" spans="1:3" x14ac:dyDescent="0.25">
      <c r="A695" s="41"/>
      <c r="C695" s="41"/>
    </row>
    <row r="696" spans="1:3" x14ac:dyDescent="0.25">
      <c r="A696" s="41"/>
      <c r="C696" s="41"/>
    </row>
    <row r="697" spans="1:3" x14ac:dyDescent="0.25">
      <c r="A697" s="41"/>
      <c r="C697" s="41"/>
    </row>
    <row r="698" spans="1:3" x14ac:dyDescent="0.25">
      <c r="A698" s="41"/>
      <c r="C698" s="41"/>
    </row>
    <row r="699" spans="1:3" x14ac:dyDescent="0.25">
      <c r="A699" s="41"/>
      <c r="C699" s="41"/>
    </row>
    <row r="700" spans="1:3" x14ac:dyDescent="0.25">
      <c r="A700" s="41"/>
      <c r="C700" s="41"/>
    </row>
    <row r="701" spans="1:3" x14ac:dyDescent="0.25">
      <c r="A701" s="41"/>
      <c r="C701" s="41"/>
    </row>
    <row r="702" spans="1:3" x14ac:dyDescent="0.25">
      <c r="A702" s="41"/>
      <c r="C702" s="41"/>
    </row>
    <row r="703" spans="1:3" x14ac:dyDescent="0.25">
      <c r="A703" s="41"/>
      <c r="C703" s="41"/>
    </row>
    <row r="704" spans="1:3" x14ac:dyDescent="0.25">
      <c r="A704" s="41"/>
      <c r="C704" s="41"/>
    </row>
    <row r="705" spans="1:3" x14ac:dyDescent="0.25">
      <c r="A705" s="41"/>
      <c r="C705" s="41"/>
    </row>
    <row r="706" spans="1:3" x14ac:dyDescent="0.25">
      <c r="A706" s="41"/>
      <c r="C706" s="41"/>
    </row>
    <row r="707" spans="1:3" x14ac:dyDescent="0.25">
      <c r="A707" s="41"/>
      <c r="C707" s="41"/>
    </row>
    <row r="708" spans="1:3" x14ac:dyDescent="0.25">
      <c r="A708" s="41"/>
      <c r="C708" s="41"/>
    </row>
    <row r="709" spans="1:3" x14ac:dyDescent="0.25">
      <c r="A709" s="41"/>
      <c r="C709" s="41"/>
    </row>
    <row r="710" spans="1:3" x14ac:dyDescent="0.25">
      <c r="A710" s="41"/>
      <c r="C710" s="41"/>
    </row>
    <row r="711" spans="1:3" x14ac:dyDescent="0.25">
      <c r="A711" s="41"/>
      <c r="C711" s="41"/>
    </row>
    <row r="712" spans="1:3" x14ac:dyDescent="0.25">
      <c r="A712" s="41"/>
      <c r="C712" s="41"/>
    </row>
    <row r="713" spans="1:3" x14ac:dyDescent="0.25">
      <c r="A713" s="41"/>
      <c r="C713" s="41"/>
    </row>
    <row r="714" spans="1:3" x14ac:dyDescent="0.25">
      <c r="A714" s="41"/>
      <c r="C714" s="41"/>
    </row>
    <row r="715" spans="1:3" x14ac:dyDescent="0.25">
      <c r="A715" s="41"/>
      <c r="C715" s="41"/>
    </row>
    <row r="716" spans="1:3" x14ac:dyDescent="0.25">
      <c r="A716" s="41"/>
      <c r="C716" s="41"/>
    </row>
    <row r="717" spans="1:3" x14ac:dyDescent="0.25">
      <c r="A717" s="41"/>
      <c r="C717" s="41"/>
    </row>
    <row r="718" spans="1:3" x14ac:dyDescent="0.25">
      <c r="A718" s="41"/>
      <c r="C718" s="41"/>
    </row>
    <row r="719" spans="1:3" x14ac:dyDescent="0.25">
      <c r="A719" s="41"/>
      <c r="C719" s="41"/>
    </row>
    <row r="720" spans="1:3" x14ac:dyDescent="0.25">
      <c r="A720" s="41"/>
      <c r="C720" s="41"/>
    </row>
    <row r="721" spans="1:3" x14ac:dyDescent="0.25">
      <c r="A721" s="41"/>
      <c r="C721" s="41"/>
    </row>
    <row r="722" spans="1:3" x14ac:dyDescent="0.25">
      <c r="A722" s="41"/>
      <c r="C722" s="41"/>
    </row>
    <row r="723" spans="1:3" x14ac:dyDescent="0.25">
      <c r="A723" s="41"/>
      <c r="C723" s="41"/>
    </row>
    <row r="724" spans="1:3" x14ac:dyDescent="0.25">
      <c r="A724" s="41"/>
      <c r="C724" s="41"/>
    </row>
    <row r="725" spans="1:3" x14ac:dyDescent="0.25">
      <c r="A725" s="41"/>
      <c r="C725" s="41"/>
    </row>
    <row r="726" spans="1:3" x14ac:dyDescent="0.25">
      <c r="A726" s="41"/>
      <c r="C726" s="41"/>
    </row>
    <row r="727" spans="1:3" x14ac:dyDescent="0.25">
      <c r="A727" s="41"/>
      <c r="C727" s="41"/>
    </row>
    <row r="728" spans="1:3" x14ac:dyDescent="0.25">
      <c r="A728" s="41"/>
      <c r="C728" s="41"/>
    </row>
    <row r="729" spans="1:3" x14ac:dyDescent="0.25">
      <c r="A729" s="41"/>
      <c r="C729" s="41"/>
    </row>
    <row r="730" spans="1:3" x14ac:dyDescent="0.25">
      <c r="A730" s="41"/>
      <c r="C730" s="41"/>
    </row>
    <row r="731" spans="1:3" x14ac:dyDescent="0.25">
      <c r="A731" s="41"/>
      <c r="C731" s="41"/>
    </row>
    <row r="732" spans="1:3" x14ac:dyDescent="0.25">
      <c r="A732" s="41"/>
      <c r="C732" s="41"/>
    </row>
    <row r="733" spans="1:3" x14ac:dyDescent="0.25">
      <c r="A733" s="41"/>
      <c r="C733" s="41"/>
    </row>
    <row r="734" spans="1:3" x14ac:dyDescent="0.25">
      <c r="A734" s="41"/>
      <c r="C734" s="41"/>
    </row>
    <row r="735" spans="1:3" x14ac:dyDescent="0.25">
      <c r="A735" s="41"/>
      <c r="C735" s="41"/>
    </row>
    <row r="736" spans="1:3" x14ac:dyDescent="0.25">
      <c r="A736" s="41"/>
      <c r="C736" s="41"/>
    </row>
    <row r="737" spans="1:3" x14ac:dyDescent="0.25">
      <c r="A737" s="41"/>
      <c r="C737" s="41"/>
    </row>
    <row r="738" spans="1:3" x14ac:dyDescent="0.25">
      <c r="A738" s="41"/>
      <c r="C738" s="41"/>
    </row>
    <row r="739" spans="1:3" x14ac:dyDescent="0.25">
      <c r="A739" s="41"/>
      <c r="C739" s="41"/>
    </row>
    <row r="740" spans="1:3" x14ac:dyDescent="0.25">
      <c r="A740" s="41"/>
      <c r="C740" s="41"/>
    </row>
    <row r="741" spans="1:3" x14ac:dyDescent="0.25">
      <c r="A741" s="41"/>
      <c r="C741" s="41"/>
    </row>
    <row r="742" spans="1:3" x14ac:dyDescent="0.25">
      <c r="A742" s="41"/>
      <c r="C742" s="41"/>
    </row>
    <row r="743" spans="1:3" x14ac:dyDescent="0.25">
      <c r="A743" s="41"/>
      <c r="C743" s="41"/>
    </row>
    <row r="744" spans="1:3" x14ac:dyDescent="0.25">
      <c r="A744" s="41"/>
      <c r="C744" s="41"/>
    </row>
    <row r="745" spans="1:3" x14ac:dyDescent="0.25">
      <c r="A745" s="41"/>
      <c r="C745" s="41"/>
    </row>
    <row r="746" spans="1:3" x14ac:dyDescent="0.25">
      <c r="A746" s="41"/>
      <c r="C746" s="41"/>
    </row>
    <row r="747" spans="1:3" x14ac:dyDescent="0.25">
      <c r="A747" s="41"/>
      <c r="C747" s="41"/>
    </row>
    <row r="748" spans="1:3" x14ac:dyDescent="0.25">
      <c r="A748" s="41"/>
      <c r="C748" s="41"/>
    </row>
    <row r="749" spans="1:3" x14ac:dyDescent="0.25">
      <c r="A749" s="41"/>
      <c r="C749" s="41"/>
    </row>
    <row r="750" spans="1:3" x14ac:dyDescent="0.25">
      <c r="A750" s="41"/>
      <c r="C750" s="41"/>
    </row>
    <row r="751" spans="1:3" x14ac:dyDescent="0.25">
      <c r="A751" s="41"/>
      <c r="C751" s="41"/>
    </row>
    <row r="752" spans="1:3" x14ac:dyDescent="0.25">
      <c r="A752" s="41"/>
      <c r="C752" s="41"/>
    </row>
    <row r="753" spans="1:3" x14ac:dyDescent="0.25">
      <c r="A753" s="41"/>
      <c r="C753" s="41"/>
    </row>
    <row r="754" spans="1:3" x14ac:dyDescent="0.25">
      <c r="A754" s="41"/>
      <c r="C754" s="41"/>
    </row>
    <row r="755" spans="1:3" x14ac:dyDescent="0.25">
      <c r="A755" s="41"/>
      <c r="C755" s="41"/>
    </row>
    <row r="756" spans="1:3" x14ac:dyDescent="0.25">
      <c r="A756" s="41"/>
      <c r="C756" s="41"/>
    </row>
    <row r="757" spans="1:3" x14ac:dyDescent="0.25">
      <c r="A757" s="41"/>
      <c r="C757" s="41"/>
    </row>
    <row r="758" spans="1:3" x14ac:dyDescent="0.25">
      <c r="A758" s="41"/>
      <c r="C758" s="41"/>
    </row>
    <row r="759" spans="1:3" x14ac:dyDescent="0.25">
      <c r="A759" s="41"/>
      <c r="C759" s="41"/>
    </row>
    <row r="760" spans="1:3" x14ac:dyDescent="0.25">
      <c r="A760" s="41"/>
      <c r="C760" s="41"/>
    </row>
    <row r="761" spans="1:3" x14ac:dyDescent="0.25">
      <c r="A761" s="41"/>
      <c r="C761" s="41"/>
    </row>
    <row r="762" spans="1:3" x14ac:dyDescent="0.25">
      <c r="A762" s="41"/>
      <c r="C762" s="41"/>
    </row>
    <row r="763" spans="1:3" x14ac:dyDescent="0.25">
      <c r="A763" s="41"/>
      <c r="C763" s="41"/>
    </row>
  </sheetData>
  <sheetProtection selectLockedCells="1" selectUnlockedCells="1"/>
  <sortState ref="C1:Q839">
    <sortCondition ref="C1"/>
  </sortState>
  <conditionalFormatting sqref="W23:AN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3"/>
  <sheetViews>
    <sheetView topLeftCell="A26" workbookViewId="0">
      <selection activeCell="P63" sqref="P63"/>
    </sheetView>
  </sheetViews>
  <sheetFormatPr defaultColWidth="8.88671875" defaultRowHeight="13.8" x14ac:dyDescent="0.25"/>
  <cols>
    <col min="1" max="1" width="10.33203125" style="21" customWidth="1"/>
    <col min="2" max="3" width="11" style="21" customWidth="1"/>
    <col min="4" max="4" width="11.44140625" style="34" customWidth="1"/>
    <col min="5" max="5" width="11.44140625" style="21" customWidth="1"/>
    <col min="6" max="6" width="15" style="20" customWidth="1"/>
    <col min="7" max="7" width="6.109375" style="20" customWidth="1"/>
    <col min="8" max="9" width="11.109375" style="21" customWidth="1"/>
    <col min="10" max="13" width="9.88671875" style="21" customWidth="1"/>
    <col min="14" max="14" width="20.6640625" style="21" customWidth="1"/>
    <col min="15" max="15" width="5.44140625" style="21" customWidth="1"/>
    <col min="16" max="16" width="34.6640625" style="21" bestFit="1" customWidth="1"/>
    <col min="17" max="17" width="13.33203125" style="21" customWidth="1"/>
    <col min="18" max="16384" width="8.88671875" style="21"/>
  </cols>
  <sheetData>
    <row r="1" spans="1:21" s="16" customFormat="1" x14ac:dyDescent="0.25">
      <c r="A1" s="11" t="s">
        <v>402</v>
      </c>
      <c r="B1" s="12" t="s">
        <v>16</v>
      </c>
      <c r="C1" s="13" t="s">
        <v>17</v>
      </c>
      <c r="D1" s="12" t="s">
        <v>16</v>
      </c>
      <c r="E1" s="12" t="s">
        <v>18</v>
      </c>
      <c r="F1" s="14" t="s">
        <v>16</v>
      </c>
      <c r="G1" s="14"/>
      <c r="H1" s="15" t="s">
        <v>19</v>
      </c>
      <c r="I1" s="15" t="s">
        <v>20</v>
      </c>
      <c r="J1" s="15" t="s">
        <v>21</v>
      </c>
      <c r="K1" s="15" t="s">
        <v>22</v>
      </c>
      <c r="L1" s="15" t="s">
        <v>23</v>
      </c>
      <c r="M1" s="16" t="s">
        <v>24</v>
      </c>
      <c r="N1" s="17" t="s">
        <v>25</v>
      </c>
    </row>
    <row r="2" spans="1:21" x14ac:dyDescent="0.25">
      <c r="A2" s="18" t="s">
        <v>30</v>
      </c>
      <c r="B2" s="19">
        <f>VLOOKUP(A2,Sheet1!$A$1:$B$350,2,FALSE)</f>
        <v>1455</v>
      </c>
      <c r="C2" s="20" t="s">
        <v>29</v>
      </c>
      <c r="D2" s="19">
        <f>VLOOKUP(C2,Sheet1!$A$1:$B$350,2,FALSE)</f>
        <v>1153</v>
      </c>
      <c r="E2" s="20" t="s">
        <v>31</v>
      </c>
      <c r="F2" s="19">
        <f>VLOOKUP(E2,Sheet1!$A$1:$B$350,2,FALSE)</f>
        <v>533</v>
      </c>
      <c r="H2" s="21">
        <f>IF(B2&gt;D2,1,0)</f>
        <v>1</v>
      </c>
      <c r="I2" s="21">
        <f>IF(B2&lt;D2,1,0)</f>
        <v>0</v>
      </c>
      <c r="J2" s="21">
        <f>IF(B2&gt;F2,1,0)</f>
        <v>1</v>
      </c>
      <c r="K2" s="21">
        <f>IF(B2&lt;F2,1,0)</f>
        <v>0</v>
      </c>
      <c r="L2" s="21">
        <f>IF(D2&gt;F2,1,0)</f>
        <v>1</v>
      </c>
      <c r="M2" s="21">
        <f>IF(D2&lt;F2,1,0)</f>
        <v>0</v>
      </c>
      <c r="N2" s="21">
        <f>IF(AND(H2=J2,I2=K2),1,0)</f>
        <v>1</v>
      </c>
    </row>
    <row r="3" spans="1:21" x14ac:dyDescent="0.25">
      <c r="A3" s="18" t="s">
        <v>27</v>
      </c>
      <c r="B3" s="19">
        <f>VLOOKUP(A3,Sheet1!$A$1:$B$350,2,FALSE)</f>
        <v>946</v>
      </c>
      <c r="C3" s="20" t="s">
        <v>26</v>
      </c>
      <c r="D3" s="19">
        <f>VLOOKUP(C3,Sheet1!$A$1:$B$350,2,FALSE)</f>
        <v>387</v>
      </c>
      <c r="E3" s="28" t="s">
        <v>499</v>
      </c>
      <c r="F3" s="19">
        <f>VLOOKUP(E3,Sheet1!$A$1:$B$350,2,FALSE)</f>
        <v>210</v>
      </c>
      <c r="H3" s="21">
        <f t="shared" ref="H3:H66" si="0">IF(B3&gt;D3,1,0)</f>
        <v>1</v>
      </c>
      <c r="I3" s="21">
        <f t="shared" ref="I3:I66" si="1">IF(B3&lt;D3,1,0)</f>
        <v>0</v>
      </c>
      <c r="J3" s="21">
        <f t="shared" ref="J3:J66" si="2">IF(B3&gt;F3,1,0)</f>
        <v>1</v>
      </c>
      <c r="K3" s="21">
        <f t="shared" ref="K3:K66" si="3">IF(B3&lt;F3,1,0)</f>
        <v>0</v>
      </c>
      <c r="L3" s="21">
        <f t="shared" ref="L3:L66" si="4">IF(D3&gt;F3,1,0)</f>
        <v>1</v>
      </c>
      <c r="M3" s="21">
        <f t="shared" ref="M3:M66" si="5">IF(D3&lt;F3,1,0)</f>
        <v>0</v>
      </c>
      <c r="N3" s="21">
        <f t="shared" ref="N3:N66" si="6">IF(AND(H3=J3,I3=K3),1,0)</f>
        <v>1</v>
      </c>
      <c r="P3" s="21" t="s">
        <v>19</v>
      </c>
      <c r="Q3" s="21">
        <f>AVERAGE(H:H)</f>
        <v>0.43</v>
      </c>
    </row>
    <row r="4" spans="1:21" x14ac:dyDescent="0.25">
      <c r="A4" s="18" t="s">
        <v>35</v>
      </c>
      <c r="B4" s="19">
        <f>VLOOKUP(A4,Sheet1!$A$1:$B$350,2,FALSE)</f>
        <v>10951</v>
      </c>
      <c r="C4" s="20" t="s">
        <v>36</v>
      </c>
      <c r="D4" s="19">
        <f>VLOOKUP(C4,Sheet1!$A$1:$B$350,2,FALSE)</f>
        <v>95</v>
      </c>
      <c r="E4" s="20" t="s">
        <v>37</v>
      </c>
      <c r="F4" s="19">
        <f>VLOOKUP(E4,Sheet1!$A$1:$B$350,2,FALSE)</f>
        <v>26</v>
      </c>
      <c r="H4" s="21">
        <f t="shared" si="0"/>
        <v>1</v>
      </c>
      <c r="I4" s="21">
        <f t="shared" si="1"/>
        <v>0</v>
      </c>
      <c r="J4" s="21">
        <f t="shared" si="2"/>
        <v>1</v>
      </c>
      <c r="K4" s="21">
        <f t="shared" si="3"/>
        <v>0</v>
      </c>
      <c r="L4" s="21">
        <f t="shared" si="4"/>
        <v>1</v>
      </c>
      <c r="M4" s="21">
        <f t="shared" si="5"/>
        <v>0</v>
      </c>
      <c r="N4" s="21">
        <f t="shared" si="6"/>
        <v>1</v>
      </c>
      <c r="P4" s="21" t="s">
        <v>20</v>
      </c>
      <c r="Q4" s="21">
        <f>AVERAGE(I:I)</f>
        <v>0.56000000000000005</v>
      </c>
    </row>
    <row r="5" spans="1:21" x14ac:dyDescent="0.25">
      <c r="A5" s="18" t="s">
        <v>32</v>
      </c>
      <c r="B5" s="19">
        <f>VLOOKUP(A5,Sheet1!$A$1:$B$350,2,FALSE)</f>
        <v>36</v>
      </c>
      <c r="C5" s="20" t="s">
        <v>33</v>
      </c>
      <c r="D5" s="19">
        <f>VLOOKUP(C5,Sheet1!$A$1:$B$350,2,FALSE)</f>
        <v>566</v>
      </c>
      <c r="E5" s="20" t="s">
        <v>34</v>
      </c>
      <c r="F5" s="19">
        <f>VLOOKUP(E5,Sheet1!$A$1:$B$350,2,FALSE)</f>
        <v>386</v>
      </c>
      <c r="H5" s="21">
        <f t="shared" si="0"/>
        <v>0</v>
      </c>
      <c r="I5" s="21">
        <f t="shared" si="1"/>
        <v>1</v>
      </c>
      <c r="J5" s="21">
        <f t="shared" si="2"/>
        <v>0</v>
      </c>
      <c r="K5" s="21">
        <f t="shared" si="3"/>
        <v>1</v>
      </c>
      <c r="L5" s="21">
        <f t="shared" si="4"/>
        <v>1</v>
      </c>
      <c r="M5" s="21">
        <f t="shared" si="5"/>
        <v>0</v>
      </c>
      <c r="N5" s="21">
        <f t="shared" si="6"/>
        <v>1</v>
      </c>
      <c r="P5" s="21" t="s">
        <v>21</v>
      </c>
      <c r="Q5" s="21">
        <f>AVERAGE(J:J)</f>
        <v>0.45</v>
      </c>
    </row>
    <row r="6" spans="1:21" x14ac:dyDescent="0.25">
      <c r="A6" s="18" t="s">
        <v>39</v>
      </c>
      <c r="B6" s="19">
        <f>VLOOKUP(A6,Sheet1!$A$1:$B$350,2,FALSE)</f>
        <v>603</v>
      </c>
      <c r="C6" s="19" t="s">
        <v>38</v>
      </c>
      <c r="D6" s="19">
        <f>VLOOKUP(C6,Sheet1!$A$1:$B$350,2,FALSE)</f>
        <v>5</v>
      </c>
      <c r="E6" s="20" t="s">
        <v>40</v>
      </c>
      <c r="F6" s="19">
        <f>VLOOKUP(E6,Sheet1!$A$1:$B$350,2,FALSE)</f>
        <v>333</v>
      </c>
      <c r="H6" s="21">
        <f t="shared" si="0"/>
        <v>1</v>
      </c>
      <c r="I6" s="21">
        <f t="shared" si="1"/>
        <v>0</v>
      </c>
      <c r="J6" s="21">
        <f t="shared" si="2"/>
        <v>1</v>
      </c>
      <c r="K6" s="21">
        <f t="shared" si="3"/>
        <v>0</v>
      </c>
      <c r="L6" s="21">
        <f t="shared" si="4"/>
        <v>0</v>
      </c>
      <c r="M6" s="21">
        <f t="shared" si="5"/>
        <v>1</v>
      </c>
      <c r="N6" s="21">
        <f t="shared" si="6"/>
        <v>1</v>
      </c>
      <c r="P6" s="21" t="s">
        <v>22</v>
      </c>
      <c r="Q6" s="21">
        <f>AVERAGE(K:K)</f>
        <v>0.55000000000000004</v>
      </c>
    </row>
    <row r="7" spans="1:21" x14ac:dyDescent="0.25">
      <c r="A7" s="18" t="s">
        <v>41</v>
      </c>
      <c r="B7" s="19">
        <f>VLOOKUP(A7,Sheet1!$A$1:$B$350,2,FALSE)</f>
        <v>800</v>
      </c>
      <c r="C7" s="20" t="s">
        <v>42</v>
      </c>
      <c r="D7" s="19">
        <f>VLOOKUP(C7,Sheet1!$A$1:$B$350,2,FALSE)</f>
        <v>12</v>
      </c>
      <c r="E7" s="20" t="s">
        <v>43</v>
      </c>
      <c r="F7" s="19">
        <f>VLOOKUP(E7,Sheet1!$A$1:$B$350,2,FALSE)</f>
        <v>94</v>
      </c>
      <c r="H7" s="21">
        <f t="shared" si="0"/>
        <v>1</v>
      </c>
      <c r="I7" s="21">
        <f t="shared" si="1"/>
        <v>0</v>
      </c>
      <c r="J7" s="21">
        <f t="shared" si="2"/>
        <v>1</v>
      </c>
      <c r="K7" s="21">
        <f t="shared" si="3"/>
        <v>0</v>
      </c>
      <c r="L7" s="21">
        <f t="shared" si="4"/>
        <v>0</v>
      </c>
      <c r="M7" s="21">
        <f t="shared" si="5"/>
        <v>1</v>
      </c>
      <c r="N7" s="21">
        <f t="shared" si="6"/>
        <v>1</v>
      </c>
      <c r="P7" s="21" t="s">
        <v>23</v>
      </c>
      <c r="Q7" s="21">
        <f>AVERAGE(L:L)</f>
        <v>0.44</v>
      </c>
    </row>
    <row r="8" spans="1:21" x14ac:dyDescent="0.25">
      <c r="A8" s="18" t="s">
        <v>47</v>
      </c>
      <c r="B8" s="19">
        <f>VLOOKUP(A8,Sheet1!$A$1:$B$350,2,FALSE)</f>
        <v>4573</v>
      </c>
      <c r="C8" s="20" t="s">
        <v>46</v>
      </c>
      <c r="D8" s="19">
        <f>VLOOKUP(C8,Sheet1!$A$1:$B$350,2,FALSE)</f>
        <v>4537</v>
      </c>
      <c r="E8" s="28" t="s">
        <v>497</v>
      </c>
      <c r="F8" s="19">
        <f>VLOOKUP(E8,Sheet1!$A$1:$B$350,2,FALSE)</f>
        <v>1718</v>
      </c>
      <c r="H8" s="21">
        <f t="shared" si="0"/>
        <v>1</v>
      </c>
      <c r="I8" s="21">
        <f t="shared" si="1"/>
        <v>0</v>
      </c>
      <c r="J8" s="21">
        <f t="shared" si="2"/>
        <v>1</v>
      </c>
      <c r="K8" s="21">
        <f t="shared" si="3"/>
        <v>0</v>
      </c>
      <c r="L8" s="21">
        <f t="shared" si="4"/>
        <v>1</v>
      </c>
      <c r="M8" s="21">
        <f t="shared" si="5"/>
        <v>0</v>
      </c>
      <c r="N8" s="21">
        <f t="shared" si="6"/>
        <v>1</v>
      </c>
      <c r="P8" s="21" t="s">
        <v>24</v>
      </c>
      <c r="Q8" s="21">
        <f>AVERAGE(M:M)</f>
        <v>0.56000000000000005</v>
      </c>
      <c r="U8" s="22" t="s">
        <v>447</v>
      </c>
    </row>
    <row r="9" spans="1:21" x14ac:dyDescent="0.25">
      <c r="A9" s="18" t="s">
        <v>49</v>
      </c>
      <c r="B9" s="19">
        <f>VLOOKUP(A9,Sheet1!$A$1:$B$350,2,FALSE)</f>
        <v>530</v>
      </c>
      <c r="C9" s="20" t="s">
        <v>50</v>
      </c>
      <c r="D9" s="19">
        <f>VLOOKUP(C9,Sheet1!$A$1:$B$350,2,FALSE)</f>
        <v>50</v>
      </c>
      <c r="E9" s="20" t="s">
        <v>51</v>
      </c>
      <c r="F9" s="19">
        <f>VLOOKUP(E9,Sheet1!$A$1:$B$350,2,FALSE)</f>
        <v>294</v>
      </c>
      <c r="G9" s="19"/>
      <c r="H9" s="21">
        <f t="shared" si="0"/>
        <v>1</v>
      </c>
      <c r="I9" s="21">
        <f t="shared" si="1"/>
        <v>0</v>
      </c>
      <c r="J9" s="21">
        <f t="shared" si="2"/>
        <v>1</v>
      </c>
      <c r="K9" s="21">
        <f t="shared" si="3"/>
        <v>0</v>
      </c>
      <c r="L9" s="21">
        <f t="shared" si="4"/>
        <v>0</v>
      </c>
      <c r="M9" s="21">
        <f t="shared" si="5"/>
        <v>1</v>
      </c>
      <c r="N9" s="21">
        <f t="shared" si="6"/>
        <v>1</v>
      </c>
    </row>
    <row r="10" spans="1:21" x14ac:dyDescent="0.25">
      <c r="A10" s="18" t="s">
        <v>52</v>
      </c>
      <c r="B10" s="19">
        <f>VLOOKUP(A10,Sheet1!$A$1:$B$350,2,FALSE)</f>
        <v>3</v>
      </c>
      <c r="C10" s="20" t="s">
        <v>53</v>
      </c>
      <c r="D10" s="19">
        <f>VLOOKUP(C10,Sheet1!$A$1:$B$350,2,FALSE)</f>
        <v>19</v>
      </c>
      <c r="E10" s="20" t="s">
        <v>54</v>
      </c>
      <c r="F10" s="19">
        <f>VLOOKUP(E10,Sheet1!$A$1:$B$350,2,FALSE)</f>
        <v>44</v>
      </c>
      <c r="H10" s="21">
        <f t="shared" si="0"/>
        <v>0</v>
      </c>
      <c r="I10" s="21">
        <f t="shared" si="1"/>
        <v>1</v>
      </c>
      <c r="J10" s="21">
        <f t="shared" si="2"/>
        <v>0</v>
      </c>
      <c r="K10" s="21">
        <f t="shared" si="3"/>
        <v>1</v>
      </c>
      <c r="L10" s="21">
        <f t="shared" si="4"/>
        <v>0</v>
      </c>
      <c r="M10" s="21">
        <f t="shared" si="5"/>
        <v>1</v>
      </c>
      <c r="N10" s="21">
        <f t="shared" si="6"/>
        <v>1</v>
      </c>
      <c r="P10" s="21" t="s">
        <v>25</v>
      </c>
      <c r="Q10" s="21">
        <f>AVERAGE(N:N)</f>
        <v>0.95</v>
      </c>
    </row>
    <row r="11" spans="1:21" x14ac:dyDescent="0.25">
      <c r="A11" s="18" t="s">
        <v>55</v>
      </c>
      <c r="B11" s="19">
        <f>VLOOKUP(A11,Sheet1!$A$1:$B$350,2,FALSE)</f>
        <v>25</v>
      </c>
      <c r="C11" s="20" t="s">
        <v>56</v>
      </c>
      <c r="D11" s="19">
        <f>VLOOKUP(C11,Sheet1!$A$1:$B$350,2,FALSE)</f>
        <v>1</v>
      </c>
      <c r="E11" s="20" t="s">
        <v>57</v>
      </c>
      <c r="F11" s="19">
        <f>VLOOKUP(E11,Sheet1!$A$1:$B$350,2,FALSE)</f>
        <v>7</v>
      </c>
      <c r="H11" s="21">
        <f t="shared" si="0"/>
        <v>1</v>
      </c>
      <c r="I11" s="21">
        <f t="shared" si="1"/>
        <v>0</v>
      </c>
      <c r="J11" s="21">
        <f t="shared" si="2"/>
        <v>1</v>
      </c>
      <c r="K11" s="21">
        <f t="shared" si="3"/>
        <v>0</v>
      </c>
      <c r="L11" s="21">
        <f t="shared" si="4"/>
        <v>0</v>
      </c>
      <c r="M11" s="21">
        <f t="shared" si="5"/>
        <v>1</v>
      </c>
      <c r="N11" s="21">
        <f t="shared" si="6"/>
        <v>1</v>
      </c>
    </row>
    <row r="12" spans="1:21" x14ac:dyDescent="0.25">
      <c r="A12" s="18" t="s">
        <v>58</v>
      </c>
      <c r="B12" s="19">
        <f>VLOOKUP(A12,Sheet1!$A$1:$B$350,2,FALSE)</f>
        <v>10</v>
      </c>
      <c r="C12" s="20" t="s">
        <v>59</v>
      </c>
      <c r="D12" s="19">
        <f>VLOOKUP(C12,Sheet1!$A$1:$B$350,2,FALSE)</f>
        <v>76</v>
      </c>
      <c r="E12" s="23" t="s">
        <v>471</v>
      </c>
      <c r="F12" s="19">
        <f>VLOOKUP(E12,Sheet1!$A$1:$B$350,2,FALSE)</f>
        <v>341</v>
      </c>
      <c r="H12" s="21">
        <f t="shared" si="0"/>
        <v>0</v>
      </c>
      <c r="I12" s="21">
        <f t="shared" si="1"/>
        <v>1</v>
      </c>
      <c r="J12" s="21">
        <f t="shared" si="2"/>
        <v>0</v>
      </c>
      <c r="K12" s="21">
        <f t="shared" si="3"/>
        <v>1</v>
      </c>
      <c r="L12" s="21">
        <f t="shared" si="4"/>
        <v>0</v>
      </c>
      <c r="M12" s="21">
        <f t="shared" si="5"/>
        <v>1</v>
      </c>
      <c r="N12" s="21">
        <f t="shared" si="6"/>
        <v>1</v>
      </c>
    </row>
    <row r="13" spans="1:21" x14ac:dyDescent="0.25">
      <c r="A13" s="18" t="s">
        <v>45</v>
      </c>
      <c r="B13" s="19">
        <f>VLOOKUP(A13,Sheet1!$A$1:$B$350,2,FALSE)</f>
        <v>476</v>
      </c>
      <c r="C13" s="20" t="s">
        <v>44</v>
      </c>
      <c r="D13" s="19">
        <f>VLOOKUP(C13,Sheet1!$A$1:$B$350,2,FALSE)</f>
        <v>710</v>
      </c>
      <c r="E13" s="24" t="s">
        <v>470</v>
      </c>
      <c r="F13" s="19">
        <f>VLOOKUP(E13,Sheet1!$A$1:$B$350,2,FALSE)</f>
        <v>1663</v>
      </c>
      <c r="H13" s="21">
        <f t="shared" si="0"/>
        <v>0</v>
      </c>
      <c r="I13" s="21">
        <f t="shared" si="1"/>
        <v>1</v>
      </c>
      <c r="J13" s="21">
        <f t="shared" si="2"/>
        <v>0</v>
      </c>
      <c r="K13" s="21">
        <f t="shared" si="3"/>
        <v>1</v>
      </c>
      <c r="L13" s="21">
        <f t="shared" si="4"/>
        <v>0</v>
      </c>
      <c r="M13" s="21">
        <f t="shared" si="5"/>
        <v>1</v>
      </c>
      <c r="N13" s="21">
        <f t="shared" si="6"/>
        <v>1</v>
      </c>
    </row>
    <row r="14" spans="1:21" x14ac:dyDescent="0.25">
      <c r="A14" s="18" t="s">
        <v>60</v>
      </c>
      <c r="B14" s="19">
        <f>VLOOKUP(A14,Sheet1!$A$1:$B$350,2,FALSE)</f>
        <v>435</v>
      </c>
      <c r="C14" s="20" t="s">
        <v>61</v>
      </c>
      <c r="D14" s="19">
        <f>VLOOKUP(C14,Sheet1!$A$1:$B$350,2,FALSE)</f>
        <v>249</v>
      </c>
      <c r="E14" s="20" t="s">
        <v>62</v>
      </c>
      <c r="F14" s="19">
        <f>VLOOKUP(E14,Sheet1!$A$1:$B$350,2,FALSE)</f>
        <v>7</v>
      </c>
      <c r="H14" s="21">
        <f t="shared" si="0"/>
        <v>1</v>
      </c>
      <c r="I14" s="21">
        <f t="shared" si="1"/>
        <v>0</v>
      </c>
      <c r="J14" s="21">
        <f t="shared" si="2"/>
        <v>1</v>
      </c>
      <c r="K14" s="21">
        <f t="shared" si="3"/>
        <v>0</v>
      </c>
      <c r="L14" s="21">
        <f t="shared" si="4"/>
        <v>1</v>
      </c>
      <c r="M14" s="21">
        <f t="shared" si="5"/>
        <v>0</v>
      </c>
      <c r="N14" s="21">
        <f t="shared" si="6"/>
        <v>1</v>
      </c>
      <c r="P14" s="25" t="s">
        <v>450</v>
      </c>
      <c r="Q14" s="26" t="s">
        <v>437</v>
      </c>
    </row>
    <row r="15" spans="1:21" x14ac:dyDescent="0.25">
      <c r="A15" s="18" t="s">
        <v>63</v>
      </c>
      <c r="B15" s="19">
        <f>VLOOKUP(A15,Sheet1!$A$1:$B$350,2,FALSE)</f>
        <v>3</v>
      </c>
      <c r="C15" s="20" t="s">
        <v>64</v>
      </c>
      <c r="D15" s="19">
        <f>VLOOKUP(C15,Sheet1!$A$1:$B$350,2,FALSE)</f>
        <v>150</v>
      </c>
      <c r="E15" s="20" t="s">
        <v>65</v>
      </c>
      <c r="F15" s="19">
        <f>VLOOKUP(E15,Sheet1!$A$1:$B$350,2,FALSE)</f>
        <v>1765</v>
      </c>
      <c r="H15" s="21">
        <f t="shared" si="0"/>
        <v>0</v>
      </c>
      <c r="I15" s="21">
        <f t="shared" si="1"/>
        <v>1</v>
      </c>
      <c r="J15" s="21">
        <f t="shared" si="2"/>
        <v>0</v>
      </c>
      <c r="K15" s="21">
        <f t="shared" si="3"/>
        <v>1</v>
      </c>
      <c r="L15" s="21">
        <f t="shared" si="4"/>
        <v>0</v>
      </c>
      <c r="M15" s="21">
        <f t="shared" si="5"/>
        <v>1</v>
      </c>
      <c r="N15" s="21">
        <f t="shared" si="6"/>
        <v>1</v>
      </c>
    </row>
    <row r="16" spans="1:21" x14ac:dyDescent="0.25">
      <c r="A16" s="18" t="s">
        <v>66</v>
      </c>
      <c r="B16" s="19">
        <f>VLOOKUP(A16,Sheet1!$A$1:$B$350,2,FALSE)</f>
        <v>179</v>
      </c>
      <c r="C16" s="20" t="s">
        <v>67</v>
      </c>
      <c r="D16" s="19">
        <f>VLOOKUP(C16,Sheet1!$A$1:$B$350,2,FALSE)</f>
        <v>16</v>
      </c>
      <c r="E16" s="20" t="s">
        <v>68</v>
      </c>
      <c r="F16" s="19">
        <f>VLOOKUP(E16,Sheet1!$A$1:$B$350,2,FALSE)</f>
        <v>3</v>
      </c>
      <c r="H16" s="21">
        <f t="shared" si="0"/>
        <v>1</v>
      </c>
      <c r="I16" s="21">
        <f t="shared" si="1"/>
        <v>0</v>
      </c>
      <c r="J16" s="21">
        <f t="shared" si="2"/>
        <v>1</v>
      </c>
      <c r="K16" s="21">
        <f t="shared" si="3"/>
        <v>0</v>
      </c>
      <c r="L16" s="21">
        <f t="shared" si="4"/>
        <v>1</v>
      </c>
      <c r="M16" s="21">
        <f t="shared" si="5"/>
        <v>0</v>
      </c>
      <c r="N16" s="21">
        <f t="shared" si="6"/>
        <v>1</v>
      </c>
    </row>
    <row r="17" spans="1:16" x14ac:dyDescent="0.25">
      <c r="A17" s="18" t="s">
        <v>69</v>
      </c>
      <c r="B17" s="19">
        <f>VLOOKUP(A17,Sheet1!$A$1:$B$350,2,FALSE)</f>
        <v>2254</v>
      </c>
      <c r="C17" s="20" t="s">
        <v>70</v>
      </c>
      <c r="D17" s="19">
        <f>VLOOKUP(C17,Sheet1!$A$1:$B$350,2,FALSE)</f>
        <v>27</v>
      </c>
      <c r="E17" s="20" t="s">
        <v>71</v>
      </c>
      <c r="F17" s="19">
        <f>VLOOKUP(E17,Sheet1!$A$1:$B$350,2,FALSE)</f>
        <v>183</v>
      </c>
      <c r="H17" s="21">
        <f t="shared" si="0"/>
        <v>1</v>
      </c>
      <c r="I17" s="21">
        <f t="shared" si="1"/>
        <v>0</v>
      </c>
      <c r="J17" s="21">
        <f t="shared" si="2"/>
        <v>1</v>
      </c>
      <c r="K17" s="21">
        <f t="shared" si="3"/>
        <v>0</v>
      </c>
      <c r="L17" s="21">
        <f t="shared" si="4"/>
        <v>0</v>
      </c>
      <c r="M17" s="21">
        <f t="shared" si="5"/>
        <v>1</v>
      </c>
      <c r="N17" s="21">
        <f t="shared" si="6"/>
        <v>1</v>
      </c>
    </row>
    <row r="18" spans="1:16" x14ac:dyDescent="0.25">
      <c r="A18" s="18" t="s">
        <v>100</v>
      </c>
      <c r="B18" s="19">
        <f>VLOOKUP(A18,Sheet1!$A$1:$B$350,2,FALSE)</f>
        <v>24565</v>
      </c>
      <c r="C18" s="20" t="s">
        <v>80</v>
      </c>
      <c r="D18" s="19">
        <f>VLOOKUP(C18,Sheet1!$A$1:$B$350,2,FALSE)</f>
        <v>519</v>
      </c>
      <c r="E18" s="20" t="s">
        <v>101</v>
      </c>
      <c r="F18" s="19">
        <f>VLOOKUP(E18,Sheet1!$A$1:$B$350,2,FALSE)</f>
        <v>790</v>
      </c>
      <c r="H18" s="21">
        <f t="shared" si="0"/>
        <v>1</v>
      </c>
      <c r="I18" s="21">
        <f t="shared" si="1"/>
        <v>0</v>
      </c>
      <c r="J18" s="21">
        <f t="shared" si="2"/>
        <v>1</v>
      </c>
      <c r="K18" s="21">
        <f t="shared" si="3"/>
        <v>0</v>
      </c>
      <c r="L18" s="21">
        <f t="shared" si="4"/>
        <v>0</v>
      </c>
      <c r="M18" s="21">
        <f t="shared" si="5"/>
        <v>1</v>
      </c>
      <c r="N18" s="21">
        <f t="shared" si="6"/>
        <v>1</v>
      </c>
    </row>
    <row r="19" spans="1:16" x14ac:dyDescent="0.25">
      <c r="A19" s="18" t="s">
        <v>75</v>
      </c>
      <c r="B19" s="19">
        <f>VLOOKUP(A19,Sheet1!$A$1:$B$350,2,FALSE)</f>
        <v>2434</v>
      </c>
      <c r="C19" s="20" t="s">
        <v>76</v>
      </c>
      <c r="D19" s="19">
        <f>VLOOKUP(C19,Sheet1!$A$1:$B$350,2,FALSE)</f>
        <v>789</v>
      </c>
      <c r="E19" s="20" t="s">
        <v>77</v>
      </c>
      <c r="F19" s="19">
        <f>VLOOKUP(E19,Sheet1!$A$1:$B$350,2,FALSE)</f>
        <v>52</v>
      </c>
      <c r="H19" s="21">
        <f t="shared" si="0"/>
        <v>1</v>
      </c>
      <c r="I19" s="21">
        <f t="shared" si="1"/>
        <v>0</v>
      </c>
      <c r="J19" s="21">
        <f t="shared" si="2"/>
        <v>1</v>
      </c>
      <c r="K19" s="21">
        <f t="shared" si="3"/>
        <v>0</v>
      </c>
      <c r="L19" s="21">
        <f t="shared" si="4"/>
        <v>1</v>
      </c>
      <c r="M19" s="21">
        <f t="shared" si="5"/>
        <v>0</v>
      </c>
      <c r="N19" s="21">
        <f t="shared" si="6"/>
        <v>1</v>
      </c>
    </row>
    <row r="20" spans="1:16" x14ac:dyDescent="0.25">
      <c r="A20" s="18" t="s">
        <v>78</v>
      </c>
      <c r="B20" s="19">
        <f>VLOOKUP(A20,Sheet1!$A$1:$B$350,2,FALSE)</f>
        <v>14071</v>
      </c>
      <c r="C20" s="20" t="s">
        <v>79</v>
      </c>
      <c r="D20" s="19">
        <f>VLOOKUP(C20,Sheet1!$A$1:$B$350,2,FALSE)</f>
        <v>226</v>
      </c>
      <c r="E20" s="20" t="s">
        <v>80</v>
      </c>
      <c r="F20" s="19">
        <f>VLOOKUP(E20,Sheet1!$A$1:$B$350,2,FALSE)</f>
        <v>519</v>
      </c>
      <c r="H20" s="21">
        <f t="shared" si="0"/>
        <v>1</v>
      </c>
      <c r="I20" s="21">
        <f t="shared" si="1"/>
        <v>0</v>
      </c>
      <c r="J20" s="21">
        <f t="shared" si="2"/>
        <v>1</v>
      </c>
      <c r="K20" s="21">
        <f t="shared" si="3"/>
        <v>0</v>
      </c>
      <c r="L20" s="21">
        <f t="shared" si="4"/>
        <v>0</v>
      </c>
      <c r="M20" s="21">
        <f t="shared" si="5"/>
        <v>1</v>
      </c>
      <c r="N20" s="21">
        <f t="shared" si="6"/>
        <v>1</v>
      </c>
    </row>
    <row r="21" spans="1:16" x14ac:dyDescent="0.25">
      <c r="A21" s="18" t="s">
        <v>105</v>
      </c>
      <c r="B21" s="19">
        <f>VLOOKUP(A21,Sheet1!$A$1:$B$350,2,FALSE)</f>
        <v>6</v>
      </c>
      <c r="C21" s="20" t="s">
        <v>106</v>
      </c>
      <c r="D21" s="19">
        <f>VLOOKUP(C21,Sheet1!$A$1:$B$350,2,FALSE)</f>
        <v>126</v>
      </c>
      <c r="E21" s="20" t="s">
        <v>107</v>
      </c>
      <c r="F21" s="19">
        <f>VLOOKUP(E21,Sheet1!$A$1:$B$350,2,FALSE)</f>
        <v>15</v>
      </c>
      <c r="H21" s="21">
        <f t="shared" si="0"/>
        <v>0</v>
      </c>
      <c r="I21" s="21">
        <f t="shared" si="1"/>
        <v>1</v>
      </c>
      <c r="J21" s="21">
        <f t="shared" si="2"/>
        <v>0</v>
      </c>
      <c r="K21" s="21">
        <f t="shared" si="3"/>
        <v>1</v>
      </c>
      <c r="L21" s="21">
        <f t="shared" si="4"/>
        <v>1</v>
      </c>
      <c r="M21" s="21">
        <f t="shared" si="5"/>
        <v>0</v>
      </c>
      <c r="N21" s="21">
        <f t="shared" si="6"/>
        <v>1</v>
      </c>
    </row>
    <row r="22" spans="1:16" x14ac:dyDescent="0.25">
      <c r="A22" s="18" t="s">
        <v>81</v>
      </c>
      <c r="B22" s="19">
        <f>VLOOKUP(A22,Sheet1!$A$1:$B$350,2,FALSE)</f>
        <v>637</v>
      </c>
      <c r="C22" s="20" t="s">
        <v>82</v>
      </c>
      <c r="D22" s="19">
        <f>VLOOKUP(C22,Sheet1!$A$1:$B$350,2,FALSE)</f>
        <v>212</v>
      </c>
      <c r="E22" s="20" t="s">
        <v>83</v>
      </c>
      <c r="F22" s="19">
        <f>VLOOKUP(E22,Sheet1!$A$1:$B$350,2,FALSE)</f>
        <v>21</v>
      </c>
      <c r="H22" s="21">
        <f t="shared" si="0"/>
        <v>1</v>
      </c>
      <c r="I22" s="21">
        <f t="shared" si="1"/>
        <v>0</v>
      </c>
      <c r="J22" s="21">
        <f t="shared" si="2"/>
        <v>1</v>
      </c>
      <c r="K22" s="21">
        <f t="shared" si="3"/>
        <v>0</v>
      </c>
      <c r="L22" s="21">
        <f t="shared" si="4"/>
        <v>1</v>
      </c>
      <c r="M22" s="21">
        <f t="shared" si="5"/>
        <v>0</v>
      </c>
      <c r="N22" s="21">
        <f t="shared" si="6"/>
        <v>1</v>
      </c>
    </row>
    <row r="23" spans="1:16" x14ac:dyDescent="0.25">
      <c r="A23" s="18" t="s">
        <v>95</v>
      </c>
      <c r="B23" s="19">
        <f>VLOOKUP(A23,Sheet1!$A$1:$B$350,2,FALSE)</f>
        <v>343</v>
      </c>
      <c r="C23" s="20" t="s">
        <v>96</v>
      </c>
      <c r="D23" s="19">
        <f>VLOOKUP(C23,Sheet1!$A$1:$B$350,2,FALSE)</f>
        <v>109189</v>
      </c>
      <c r="E23" s="28" t="s">
        <v>492</v>
      </c>
      <c r="F23" s="19">
        <f>VLOOKUP(E23,Sheet1!$A$1:$B$350,2,FALSE)</f>
        <v>513</v>
      </c>
      <c r="H23" s="21">
        <f t="shared" si="0"/>
        <v>0</v>
      </c>
      <c r="I23" s="21">
        <f t="shared" si="1"/>
        <v>1</v>
      </c>
      <c r="J23" s="21">
        <f t="shared" si="2"/>
        <v>0</v>
      </c>
      <c r="K23" s="21">
        <f t="shared" si="3"/>
        <v>1</v>
      </c>
      <c r="L23" s="21">
        <f t="shared" si="4"/>
        <v>1</v>
      </c>
      <c r="M23" s="21">
        <f t="shared" si="5"/>
        <v>0</v>
      </c>
      <c r="N23" s="21">
        <f t="shared" si="6"/>
        <v>1</v>
      </c>
      <c r="P23" s="27" t="s">
        <v>439</v>
      </c>
    </row>
    <row r="24" spans="1:16" x14ac:dyDescent="0.25">
      <c r="A24" s="18" t="s">
        <v>84</v>
      </c>
      <c r="B24" s="19">
        <f>VLOOKUP(A24,Sheet1!$A$1:$B$350,2,FALSE)</f>
        <v>35096</v>
      </c>
      <c r="C24" s="20" t="s">
        <v>85</v>
      </c>
      <c r="D24" s="19">
        <f>VLOOKUP(C24,Sheet1!$A$1:$B$350,2,FALSE)</f>
        <v>176</v>
      </c>
      <c r="E24" s="20" t="s">
        <v>86</v>
      </c>
      <c r="F24" s="19">
        <f>VLOOKUP(E24,Sheet1!$A$1:$B$350,2,FALSE)</f>
        <v>254</v>
      </c>
      <c r="H24" s="21">
        <f t="shared" si="0"/>
        <v>1</v>
      </c>
      <c r="I24" s="21">
        <f t="shared" si="1"/>
        <v>0</v>
      </c>
      <c r="J24" s="21">
        <f t="shared" si="2"/>
        <v>1</v>
      </c>
      <c r="K24" s="21">
        <f t="shared" si="3"/>
        <v>0</v>
      </c>
      <c r="L24" s="21">
        <f t="shared" si="4"/>
        <v>0</v>
      </c>
      <c r="M24" s="21">
        <f t="shared" si="5"/>
        <v>1</v>
      </c>
      <c r="N24" s="21">
        <f t="shared" si="6"/>
        <v>1</v>
      </c>
    </row>
    <row r="25" spans="1:16" x14ac:dyDescent="0.25">
      <c r="A25" s="18" t="s">
        <v>90</v>
      </c>
      <c r="B25" s="19">
        <f>VLOOKUP(A25,Sheet1!$A$1:$B$350,2,FALSE)</f>
        <v>405</v>
      </c>
      <c r="C25" s="20" t="s">
        <v>91</v>
      </c>
      <c r="D25" s="19">
        <f>VLOOKUP(C25,Sheet1!$A$1:$B$350,2,FALSE)</f>
        <v>113</v>
      </c>
      <c r="E25" s="20" t="s">
        <v>92</v>
      </c>
      <c r="F25" s="19">
        <f>VLOOKUP(E25,Sheet1!$A$1:$B$350,2,FALSE)</f>
        <v>27</v>
      </c>
      <c r="H25" s="21">
        <f t="shared" si="0"/>
        <v>1</v>
      </c>
      <c r="I25" s="21">
        <f t="shared" si="1"/>
        <v>0</v>
      </c>
      <c r="J25" s="21">
        <f t="shared" si="2"/>
        <v>1</v>
      </c>
      <c r="K25" s="21">
        <f t="shared" si="3"/>
        <v>0</v>
      </c>
      <c r="L25" s="21">
        <f t="shared" si="4"/>
        <v>1</v>
      </c>
      <c r="M25" s="21">
        <f t="shared" si="5"/>
        <v>0</v>
      </c>
      <c r="N25" s="21">
        <f t="shared" si="6"/>
        <v>1</v>
      </c>
    </row>
    <row r="26" spans="1:16" x14ac:dyDescent="0.25">
      <c r="A26" s="18" t="s">
        <v>93</v>
      </c>
      <c r="B26" s="19">
        <f>VLOOKUP(A26,Sheet1!$A$1:$B$350,2,FALSE)</f>
        <v>499</v>
      </c>
      <c r="C26" s="20" t="s">
        <v>94</v>
      </c>
      <c r="D26" s="19">
        <f>VLOOKUP(C26,Sheet1!$A$1:$B$350,2,FALSE)</f>
        <v>244</v>
      </c>
      <c r="E26" s="24" t="s">
        <v>472</v>
      </c>
      <c r="F26" s="19">
        <f>VLOOKUP(E26,Sheet1!$A$1:$B$350,2,FALSE)</f>
        <v>1327</v>
      </c>
      <c r="H26" s="21">
        <f t="shared" si="0"/>
        <v>1</v>
      </c>
      <c r="I26" s="21">
        <f t="shared" si="1"/>
        <v>0</v>
      </c>
      <c r="J26" s="21">
        <f t="shared" si="2"/>
        <v>0</v>
      </c>
      <c r="K26" s="21">
        <f t="shared" si="3"/>
        <v>1</v>
      </c>
      <c r="L26" s="21">
        <f t="shared" si="4"/>
        <v>0</v>
      </c>
      <c r="M26" s="21">
        <f t="shared" si="5"/>
        <v>1</v>
      </c>
      <c r="N26" s="21">
        <f t="shared" si="6"/>
        <v>0</v>
      </c>
    </row>
    <row r="27" spans="1:16" x14ac:dyDescent="0.25">
      <c r="A27" s="18" t="s">
        <v>87</v>
      </c>
      <c r="B27" s="19">
        <f>VLOOKUP(A27,Sheet1!$A$1:$B$350,2,FALSE)</f>
        <v>6</v>
      </c>
      <c r="C27" s="20" t="s">
        <v>88</v>
      </c>
      <c r="D27" s="19">
        <f>VLOOKUP(C27,Sheet1!$A$1:$B$350,2,FALSE)</f>
        <v>9637</v>
      </c>
      <c r="E27" s="20" t="s">
        <v>89</v>
      </c>
      <c r="F27" s="19">
        <f>VLOOKUP(E27,Sheet1!$A$1:$B$350,2,FALSE)</f>
        <v>28</v>
      </c>
      <c r="H27" s="21">
        <f t="shared" si="0"/>
        <v>0</v>
      </c>
      <c r="I27" s="21">
        <f t="shared" si="1"/>
        <v>1</v>
      </c>
      <c r="J27" s="21">
        <f t="shared" si="2"/>
        <v>0</v>
      </c>
      <c r="K27" s="21">
        <f t="shared" si="3"/>
        <v>1</v>
      </c>
      <c r="L27" s="21">
        <f t="shared" si="4"/>
        <v>1</v>
      </c>
      <c r="M27" s="21">
        <f t="shared" si="5"/>
        <v>0</v>
      </c>
      <c r="N27" s="21">
        <f t="shared" si="6"/>
        <v>1</v>
      </c>
    </row>
    <row r="28" spans="1:16" x14ac:dyDescent="0.25">
      <c r="A28" s="18" t="s">
        <v>73</v>
      </c>
      <c r="B28" s="19">
        <f>VLOOKUP(A28,Sheet1!$A$1:$B$350,2,FALSE)</f>
        <v>18</v>
      </c>
      <c r="C28" s="20" t="s">
        <v>72</v>
      </c>
      <c r="D28" s="19">
        <f>VLOOKUP(C28,Sheet1!$A$1:$B$350,2,FALSE)</f>
        <v>32</v>
      </c>
      <c r="E28" s="20" t="s">
        <v>493</v>
      </c>
      <c r="F28" s="19">
        <f>VLOOKUP(E28,Sheet1!$A$1:$B$350,2,FALSE)</f>
        <v>97</v>
      </c>
      <c r="H28" s="21">
        <f t="shared" si="0"/>
        <v>0</v>
      </c>
      <c r="I28" s="21">
        <f t="shared" si="1"/>
        <v>1</v>
      </c>
      <c r="J28" s="21">
        <f t="shared" si="2"/>
        <v>0</v>
      </c>
      <c r="K28" s="21">
        <f t="shared" si="3"/>
        <v>1</v>
      </c>
      <c r="L28" s="21">
        <f t="shared" si="4"/>
        <v>0</v>
      </c>
      <c r="M28" s="21">
        <f t="shared" si="5"/>
        <v>1</v>
      </c>
      <c r="N28" s="21">
        <f t="shared" si="6"/>
        <v>1</v>
      </c>
    </row>
    <row r="29" spans="1:16" x14ac:dyDescent="0.25">
      <c r="A29" s="38" t="s">
        <v>454</v>
      </c>
      <c r="B29" s="19">
        <f>VLOOKUP(A29,Sheet1!$A$1:$B$350,2,FALSE)</f>
        <v>0</v>
      </c>
      <c r="C29" s="23" t="s">
        <v>99</v>
      </c>
      <c r="D29" s="19">
        <f>VLOOKUP(C29,Sheet1!$A$1:$B$350,2,FALSE)</f>
        <v>166</v>
      </c>
      <c r="E29" s="28" t="s">
        <v>477</v>
      </c>
      <c r="F29" s="19">
        <f>VLOOKUP(E29,Sheet1!$A$1:$B$350,2,FALSE)</f>
        <v>178</v>
      </c>
      <c r="H29" s="21">
        <f t="shared" si="0"/>
        <v>0</v>
      </c>
      <c r="I29" s="21">
        <f t="shared" si="1"/>
        <v>1</v>
      </c>
      <c r="J29" s="21">
        <f t="shared" si="2"/>
        <v>0</v>
      </c>
      <c r="K29" s="21">
        <f t="shared" si="3"/>
        <v>1</v>
      </c>
      <c r="L29" s="21">
        <f t="shared" si="4"/>
        <v>0</v>
      </c>
      <c r="M29" s="21">
        <f t="shared" si="5"/>
        <v>1</v>
      </c>
      <c r="N29" s="21">
        <f t="shared" si="6"/>
        <v>1</v>
      </c>
    </row>
    <row r="30" spans="1:16" x14ac:dyDescent="0.25">
      <c r="A30" s="18" t="s">
        <v>97</v>
      </c>
      <c r="B30" s="19">
        <f>VLOOKUP(A30,Sheet1!$A$1:$B$350,2,FALSE)</f>
        <v>1</v>
      </c>
      <c r="C30" s="20" t="s">
        <v>98</v>
      </c>
      <c r="D30" s="19">
        <f>VLOOKUP(C30,Sheet1!$A$1:$B$350,2,FALSE)</f>
        <v>55</v>
      </c>
      <c r="E30" s="24" t="s">
        <v>473</v>
      </c>
      <c r="F30" s="19">
        <f>VLOOKUP(E30,Sheet1!$A$1:$B$350,2,FALSE)</f>
        <v>168</v>
      </c>
      <c r="H30" s="21">
        <f t="shared" si="0"/>
        <v>0</v>
      </c>
      <c r="I30" s="21">
        <f t="shared" si="1"/>
        <v>1</v>
      </c>
      <c r="J30" s="21">
        <f t="shared" si="2"/>
        <v>0</v>
      </c>
      <c r="K30" s="21">
        <f t="shared" si="3"/>
        <v>1</v>
      </c>
      <c r="L30" s="21">
        <f t="shared" si="4"/>
        <v>0</v>
      </c>
      <c r="M30" s="21">
        <f t="shared" si="5"/>
        <v>1</v>
      </c>
      <c r="N30" s="21">
        <f t="shared" si="6"/>
        <v>1</v>
      </c>
    </row>
    <row r="31" spans="1:16" x14ac:dyDescent="0.25">
      <c r="A31" s="18" t="s">
        <v>102</v>
      </c>
      <c r="B31" s="19">
        <f>VLOOKUP(A31,Sheet1!$A$1:$B$350,2,FALSE)</f>
        <v>5237</v>
      </c>
      <c r="C31" s="20" t="s">
        <v>103</v>
      </c>
      <c r="D31" s="19">
        <f>VLOOKUP(C31,Sheet1!$A$1:$B$350,2,FALSE)</f>
        <v>51</v>
      </c>
      <c r="E31" s="20" t="s">
        <v>104</v>
      </c>
      <c r="F31" s="19">
        <f>VLOOKUP(E31,Sheet1!$A$1:$B$350,2,FALSE)</f>
        <v>8</v>
      </c>
      <c r="H31" s="21">
        <f t="shared" si="0"/>
        <v>1</v>
      </c>
      <c r="I31" s="21">
        <f t="shared" si="1"/>
        <v>0</v>
      </c>
      <c r="J31" s="21">
        <f t="shared" si="2"/>
        <v>1</v>
      </c>
      <c r="K31" s="21">
        <f t="shared" si="3"/>
        <v>0</v>
      </c>
      <c r="L31" s="21">
        <f t="shared" si="4"/>
        <v>1</v>
      </c>
      <c r="M31" s="21">
        <f t="shared" si="5"/>
        <v>0</v>
      </c>
      <c r="N31" s="21">
        <f t="shared" si="6"/>
        <v>1</v>
      </c>
      <c r="P31" s="26" t="s">
        <v>438</v>
      </c>
    </row>
    <row r="32" spans="1:16" x14ac:dyDescent="0.25">
      <c r="A32" s="18" t="s">
        <v>111</v>
      </c>
      <c r="B32" s="19">
        <f>VLOOKUP(A32,Sheet1!$A$1:$B$350,2,FALSE)</f>
        <v>8</v>
      </c>
      <c r="C32" s="20" t="s">
        <v>112</v>
      </c>
      <c r="D32" s="19">
        <f>VLOOKUP(C32,Sheet1!$A$1:$B$350,2,FALSE)</f>
        <v>96</v>
      </c>
      <c r="E32" s="20" t="s">
        <v>113</v>
      </c>
      <c r="F32" s="19">
        <f>VLOOKUP(E32,Sheet1!$A$1:$B$350,2,FALSE)</f>
        <v>41</v>
      </c>
      <c r="H32" s="21">
        <f t="shared" si="0"/>
        <v>0</v>
      </c>
      <c r="I32" s="21">
        <f t="shared" si="1"/>
        <v>1</v>
      </c>
      <c r="J32" s="21">
        <f t="shared" si="2"/>
        <v>0</v>
      </c>
      <c r="K32" s="21">
        <f t="shared" si="3"/>
        <v>1</v>
      </c>
      <c r="L32" s="21">
        <f t="shared" si="4"/>
        <v>1</v>
      </c>
      <c r="M32" s="21">
        <f t="shared" si="5"/>
        <v>0</v>
      </c>
      <c r="N32" s="21">
        <f t="shared" si="6"/>
        <v>1</v>
      </c>
    </row>
    <row r="33" spans="1:14" x14ac:dyDescent="0.25">
      <c r="A33" s="38" t="s">
        <v>121</v>
      </c>
      <c r="B33" s="19">
        <f>VLOOKUP(A33,Sheet1!$A$1:$B$350,2,FALSE)</f>
        <v>31</v>
      </c>
      <c r="C33" s="23" t="s">
        <v>455</v>
      </c>
      <c r="D33" s="19">
        <f>VLOOKUP(C33,Sheet1!$A$1:$B$350,2,FALSE)</f>
        <v>79</v>
      </c>
      <c r="E33" s="28" t="s">
        <v>478</v>
      </c>
      <c r="F33" s="19">
        <f>VLOOKUP(E33,Sheet1!$A$1:$B$350,2,FALSE)</f>
        <v>374</v>
      </c>
      <c r="H33" s="21">
        <f t="shared" si="0"/>
        <v>0</v>
      </c>
      <c r="I33" s="21">
        <f t="shared" si="1"/>
        <v>1</v>
      </c>
      <c r="J33" s="21">
        <f t="shared" si="2"/>
        <v>0</v>
      </c>
      <c r="K33" s="21">
        <f t="shared" si="3"/>
        <v>1</v>
      </c>
      <c r="L33" s="21">
        <f t="shared" si="4"/>
        <v>0</v>
      </c>
      <c r="M33" s="21">
        <f t="shared" si="5"/>
        <v>1</v>
      </c>
      <c r="N33" s="21">
        <f t="shared" si="6"/>
        <v>1</v>
      </c>
    </row>
    <row r="34" spans="1:14" x14ac:dyDescent="0.25">
      <c r="A34" s="18" t="s">
        <v>109</v>
      </c>
      <c r="B34" s="19">
        <f>VLOOKUP(A34,Sheet1!$A$1:$B$350,2,FALSE)</f>
        <v>49</v>
      </c>
      <c r="C34" s="20" t="s">
        <v>108</v>
      </c>
      <c r="D34" s="19">
        <f>VLOOKUP(C34,Sheet1!$A$1:$B$350,2,FALSE)</f>
        <v>136</v>
      </c>
      <c r="E34" s="23" t="s">
        <v>474</v>
      </c>
      <c r="F34" s="19">
        <f>VLOOKUP(E34,Sheet1!$A$1:$B$350,2,FALSE)</f>
        <v>429</v>
      </c>
      <c r="H34" s="21">
        <f t="shared" si="0"/>
        <v>0</v>
      </c>
      <c r="I34" s="21">
        <f t="shared" si="1"/>
        <v>1</v>
      </c>
      <c r="J34" s="21">
        <f t="shared" si="2"/>
        <v>0</v>
      </c>
      <c r="K34" s="21">
        <f t="shared" si="3"/>
        <v>1</v>
      </c>
      <c r="L34" s="21">
        <f t="shared" si="4"/>
        <v>0</v>
      </c>
      <c r="M34" s="21">
        <f t="shared" si="5"/>
        <v>1</v>
      </c>
      <c r="N34" s="21">
        <f t="shared" si="6"/>
        <v>1</v>
      </c>
    </row>
    <row r="35" spans="1:14" x14ac:dyDescent="0.25">
      <c r="A35" s="18" t="s">
        <v>115</v>
      </c>
      <c r="B35" s="19">
        <f>VLOOKUP(A35,Sheet1!$A$1:$B$350,2,FALSE)</f>
        <v>1</v>
      </c>
      <c r="C35" s="20" t="s">
        <v>114</v>
      </c>
      <c r="D35" s="19">
        <f>VLOOKUP(C35,Sheet1!$A$1:$B$350,2,FALSE)</f>
        <v>3</v>
      </c>
      <c r="E35" s="20" t="s">
        <v>116</v>
      </c>
      <c r="F35" s="19">
        <f>VLOOKUP(E35,Sheet1!$A$1:$B$350,2,FALSE)</f>
        <v>5</v>
      </c>
      <c r="H35" s="21">
        <f t="shared" si="0"/>
        <v>0</v>
      </c>
      <c r="I35" s="21">
        <f t="shared" si="1"/>
        <v>1</v>
      </c>
      <c r="J35" s="21">
        <f t="shared" si="2"/>
        <v>0</v>
      </c>
      <c r="K35" s="21">
        <f t="shared" si="3"/>
        <v>1</v>
      </c>
      <c r="L35" s="21">
        <f t="shared" si="4"/>
        <v>0</v>
      </c>
      <c r="M35" s="21">
        <f t="shared" si="5"/>
        <v>1</v>
      </c>
      <c r="N35" s="21">
        <f t="shared" si="6"/>
        <v>1</v>
      </c>
    </row>
    <row r="36" spans="1:14" x14ac:dyDescent="0.25">
      <c r="A36" s="18" t="s">
        <v>120</v>
      </c>
      <c r="B36" s="19">
        <f>VLOOKUP(A36,Sheet1!$A$1:$B$350,2,FALSE)</f>
        <v>34</v>
      </c>
      <c r="C36" s="20" t="s">
        <v>119</v>
      </c>
      <c r="D36" s="19">
        <f>VLOOKUP(C36,Sheet1!$A$1:$B$350,2,FALSE)</f>
        <v>123</v>
      </c>
      <c r="E36" s="24" t="s">
        <v>475</v>
      </c>
      <c r="F36" s="19">
        <f>VLOOKUP(E36,Sheet1!$A$1:$B$350,2,FALSE)</f>
        <v>663</v>
      </c>
      <c r="H36" s="21">
        <f t="shared" si="0"/>
        <v>0</v>
      </c>
      <c r="I36" s="21">
        <f t="shared" si="1"/>
        <v>1</v>
      </c>
      <c r="J36" s="21">
        <f t="shared" si="2"/>
        <v>0</v>
      </c>
      <c r="K36" s="21">
        <f t="shared" si="3"/>
        <v>1</v>
      </c>
      <c r="L36" s="21">
        <f t="shared" si="4"/>
        <v>0</v>
      </c>
      <c r="M36" s="21">
        <f t="shared" si="5"/>
        <v>1</v>
      </c>
      <c r="N36" s="21">
        <f t="shared" si="6"/>
        <v>1</v>
      </c>
    </row>
    <row r="37" spans="1:14" x14ac:dyDescent="0.25">
      <c r="A37" s="18" t="s">
        <v>110</v>
      </c>
      <c r="B37" s="19">
        <f>VLOOKUP(A37,Sheet1!$A$1:$B$350,2,FALSE)</f>
        <v>4</v>
      </c>
      <c r="C37" s="20" t="s">
        <v>117</v>
      </c>
      <c r="D37" s="19">
        <f>VLOOKUP(C37,Sheet1!$A$1:$B$350,2,FALSE)</f>
        <v>32</v>
      </c>
      <c r="E37" s="20" t="s">
        <v>118</v>
      </c>
      <c r="F37" s="19">
        <f>VLOOKUP(E37,Sheet1!$A$1:$B$350,2,FALSE)</f>
        <v>9</v>
      </c>
      <c r="H37" s="21">
        <f t="shared" si="0"/>
        <v>0</v>
      </c>
      <c r="I37" s="21">
        <f t="shared" si="1"/>
        <v>1</v>
      </c>
      <c r="J37" s="21">
        <f t="shared" si="2"/>
        <v>0</v>
      </c>
      <c r="K37" s="21">
        <f t="shared" si="3"/>
        <v>1</v>
      </c>
      <c r="L37" s="21">
        <f t="shared" si="4"/>
        <v>1</v>
      </c>
      <c r="M37" s="21">
        <f t="shared" si="5"/>
        <v>0</v>
      </c>
      <c r="N37" s="21">
        <f t="shared" si="6"/>
        <v>1</v>
      </c>
    </row>
    <row r="38" spans="1:14" x14ac:dyDescent="0.25">
      <c r="A38" s="18" t="s">
        <v>122</v>
      </c>
      <c r="B38" s="19">
        <f>VLOOKUP(A38,Sheet1!$A$1:$B$350,2,FALSE)</f>
        <v>759</v>
      </c>
      <c r="C38" s="20" t="s">
        <v>123</v>
      </c>
      <c r="D38" s="19">
        <f>VLOOKUP(C38,Sheet1!$A$1:$B$350,2,FALSE)</f>
        <v>51</v>
      </c>
      <c r="E38" s="20" t="s">
        <v>124</v>
      </c>
      <c r="F38" s="19">
        <f>VLOOKUP(E38,Sheet1!$A$1:$B$350,2,FALSE)</f>
        <v>65</v>
      </c>
      <c r="H38" s="21">
        <f t="shared" si="0"/>
        <v>1</v>
      </c>
      <c r="I38" s="21">
        <f t="shared" si="1"/>
        <v>0</v>
      </c>
      <c r="J38" s="21">
        <f t="shared" si="2"/>
        <v>1</v>
      </c>
      <c r="K38" s="21">
        <f t="shared" si="3"/>
        <v>0</v>
      </c>
      <c r="L38" s="21">
        <f t="shared" si="4"/>
        <v>0</v>
      </c>
      <c r="M38" s="21">
        <f t="shared" si="5"/>
        <v>1</v>
      </c>
      <c r="N38" s="21">
        <f t="shared" si="6"/>
        <v>1</v>
      </c>
    </row>
    <row r="39" spans="1:14" x14ac:dyDescent="0.25">
      <c r="A39" s="18" t="s">
        <v>128</v>
      </c>
      <c r="B39" s="19">
        <f>VLOOKUP(A39,Sheet1!$A$1:$B$350,2,FALSE)</f>
        <v>52</v>
      </c>
      <c r="C39" s="20" t="s">
        <v>129</v>
      </c>
      <c r="D39" s="19">
        <f>VLOOKUP(C39,Sheet1!$A$1:$B$350,2,FALSE)</f>
        <v>143</v>
      </c>
      <c r="E39" s="24" t="s">
        <v>476</v>
      </c>
      <c r="F39" s="19">
        <f>VLOOKUP(E39,Sheet1!$A$1:$B$350,2,FALSE)</f>
        <v>710</v>
      </c>
      <c r="H39" s="21">
        <f t="shared" si="0"/>
        <v>0</v>
      </c>
      <c r="I39" s="21">
        <f t="shared" si="1"/>
        <v>1</v>
      </c>
      <c r="J39" s="21">
        <f t="shared" si="2"/>
        <v>0</v>
      </c>
      <c r="K39" s="21">
        <f t="shared" si="3"/>
        <v>1</v>
      </c>
      <c r="L39" s="21">
        <f t="shared" si="4"/>
        <v>0</v>
      </c>
      <c r="M39" s="21">
        <f t="shared" si="5"/>
        <v>1</v>
      </c>
      <c r="N39" s="21">
        <f t="shared" si="6"/>
        <v>1</v>
      </c>
    </row>
    <row r="40" spans="1:14" x14ac:dyDescent="0.25">
      <c r="A40" s="18" t="s">
        <v>125</v>
      </c>
      <c r="B40" s="19">
        <f>VLOOKUP(A40,Sheet1!$A$1:$B$350,2,FALSE)</f>
        <v>6</v>
      </c>
      <c r="C40" s="20" t="s">
        <v>126</v>
      </c>
      <c r="D40" s="19">
        <f>VLOOKUP(C40,Sheet1!$A$1:$B$350,2,FALSE)</f>
        <v>16</v>
      </c>
      <c r="E40" s="20" t="s">
        <v>127</v>
      </c>
      <c r="F40" s="19">
        <f>VLOOKUP(E40,Sheet1!$A$1:$B$350,2,FALSE)</f>
        <v>12</v>
      </c>
      <c r="H40" s="21">
        <f t="shared" si="0"/>
        <v>0</v>
      </c>
      <c r="I40" s="21">
        <f t="shared" si="1"/>
        <v>1</v>
      </c>
      <c r="J40" s="21">
        <f t="shared" si="2"/>
        <v>0</v>
      </c>
      <c r="K40" s="21">
        <f t="shared" si="3"/>
        <v>1</v>
      </c>
      <c r="L40" s="21">
        <f t="shared" si="4"/>
        <v>1</v>
      </c>
      <c r="M40" s="21">
        <f t="shared" si="5"/>
        <v>0</v>
      </c>
      <c r="N40" s="21">
        <f t="shared" si="6"/>
        <v>1</v>
      </c>
    </row>
    <row r="41" spans="1:14" x14ac:dyDescent="0.25">
      <c r="A41" s="18" t="s">
        <v>130</v>
      </c>
      <c r="B41" s="19">
        <f>VLOOKUP(A41,Sheet1!$A$1:$B$350,2,FALSE)</f>
        <v>143</v>
      </c>
      <c r="C41" s="20" t="s">
        <v>131</v>
      </c>
      <c r="D41" s="19">
        <f>VLOOKUP(C41,Sheet1!$A$1:$B$350,2,FALSE)</f>
        <v>27</v>
      </c>
      <c r="E41" s="20" t="s">
        <v>132</v>
      </c>
      <c r="F41" s="19">
        <f>VLOOKUP(E41,Sheet1!$A$1:$B$350,2,FALSE)</f>
        <v>8</v>
      </c>
      <c r="H41" s="21">
        <f t="shared" si="0"/>
        <v>1</v>
      </c>
      <c r="I41" s="21">
        <f t="shared" si="1"/>
        <v>0</v>
      </c>
      <c r="J41" s="21">
        <f t="shared" si="2"/>
        <v>1</v>
      </c>
      <c r="K41" s="21">
        <f t="shared" si="3"/>
        <v>0</v>
      </c>
      <c r="L41" s="21">
        <f t="shared" si="4"/>
        <v>1</v>
      </c>
      <c r="M41" s="21">
        <f t="shared" si="5"/>
        <v>0</v>
      </c>
      <c r="N41" s="21">
        <f t="shared" si="6"/>
        <v>1</v>
      </c>
    </row>
    <row r="42" spans="1:14" x14ac:dyDescent="0.25">
      <c r="A42" s="18" t="s">
        <v>133</v>
      </c>
      <c r="B42" s="19">
        <f>VLOOKUP(A42,Sheet1!$A$1:$B$350,2,FALSE)</f>
        <v>79</v>
      </c>
      <c r="C42" s="20" t="s">
        <v>134</v>
      </c>
      <c r="D42" s="19">
        <f>VLOOKUP(C42,Sheet1!$A$1:$B$350,2,FALSE)</f>
        <v>72</v>
      </c>
      <c r="E42" s="20" t="s">
        <v>135</v>
      </c>
      <c r="F42" s="19">
        <f>VLOOKUP(E42,Sheet1!$A$1:$B$350,2,FALSE)</f>
        <v>53</v>
      </c>
      <c r="H42" s="21">
        <f t="shared" si="0"/>
        <v>1</v>
      </c>
      <c r="I42" s="21">
        <f t="shared" si="1"/>
        <v>0</v>
      </c>
      <c r="J42" s="21">
        <f t="shared" si="2"/>
        <v>1</v>
      </c>
      <c r="K42" s="21">
        <f t="shared" si="3"/>
        <v>0</v>
      </c>
      <c r="L42" s="21">
        <f t="shared" si="4"/>
        <v>1</v>
      </c>
      <c r="M42" s="21">
        <f t="shared" si="5"/>
        <v>0</v>
      </c>
      <c r="N42" s="21">
        <f t="shared" si="6"/>
        <v>1</v>
      </c>
    </row>
    <row r="43" spans="1:14" x14ac:dyDescent="0.25">
      <c r="A43" s="18" t="s">
        <v>136</v>
      </c>
      <c r="B43" s="19">
        <f>VLOOKUP(A43,Sheet1!$A$1:$B$350,2,FALSE)</f>
        <v>4557</v>
      </c>
      <c r="C43" s="20" t="s">
        <v>137</v>
      </c>
      <c r="D43" s="19">
        <f>VLOOKUP(C43,Sheet1!$A$1:$B$350,2,FALSE)</f>
        <v>655</v>
      </c>
      <c r="E43" s="20" t="s">
        <v>138</v>
      </c>
      <c r="F43" s="19">
        <f>VLOOKUP(E43,Sheet1!$A$1:$B$350,2,FALSE)</f>
        <v>300</v>
      </c>
      <c r="H43" s="21">
        <f t="shared" si="0"/>
        <v>1</v>
      </c>
      <c r="I43" s="21">
        <f t="shared" si="1"/>
        <v>0</v>
      </c>
      <c r="J43" s="21">
        <f t="shared" si="2"/>
        <v>1</v>
      </c>
      <c r="K43" s="21">
        <f t="shared" si="3"/>
        <v>0</v>
      </c>
      <c r="L43" s="21">
        <f t="shared" si="4"/>
        <v>1</v>
      </c>
      <c r="M43" s="21">
        <f t="shared" si="5"/>
        <v>0</v>
      </c>
      <c r="N43" s="21">
        <f t="shared" si="6"/>
        <v>1</v>
      </c>
    </row>
    <row r="44" spans="1:14" x14ac:dyDescent="0.25">
      <c r="A44" s="18" t="s">
        <v>142</v>
      </c>
      <c r="B44" s="19">
        <f>VLOOKUP(A44,Sheet1!$A$1:$B$350,2,FALSE)</f>
        <v>101</v>
      </c>
      <c r="C44" s="20" t="s">
        <v>143</v>
      </c>
      <c r="D44" s="19">
        <f>VLOOKUP(C44,Sheet1!$A$1:$B$350,2,FALSE)</f>
        <v>265</v>
      </c>
      <c r="E44" s="20" t="s">
        <v>144</v>
      </c>
      <c r="F44" s="19">
        <f>VLOOKUP(E44,Sheet1!$A$1:$B$350,2,FALSE)</f>
        <v>197</v>
      </c>
      <c r="H44" s="21">
        <f t="shared" si="0"/>
        <v>0</v>
      </c>
      <c r="I44" s="21">
        <f t="shared" si="1"/>
        <v>1</v>
      </c>
      <c r="J44" s="21">
        <f t="shared" si="2"/>
        <v>0</v>
      </c>
      <c r="K44" s="21">
        <f t="shared" si="3"/>
        <v>1</v>
      </c>
      <c r="L44" s="21">
        <f t="shared" si="4"/>
        <v>1</v>
      </c>
      <c r="M44" s="21">
        <f t="shared" si="5"/>
        <v>0</v>
      </c>
      <c r="N44" s="21">
        <f t="shared" si="6"/>
        <v>1</v>
      </c>
    </row>
    <row r="45" spans="1:14" x14ac:dyDescent="0.25">
      <c r="A45" s="18" t="s">
        <v>145</v>
      </c>
      <c r="B45" s="19">
        <f>VLOOKUP(A45,Sheet1!$A$1:$B$350,2,FALSE)</f>
        <v>19</v>
      </c>
      <c r="C45" s="20" t="s">
        <v>146</v>
      </c>
      <c r="D45" s="19">
        <f>VLOOKUP(C45,Sheet1!$A$1:$B$350,2,FALSE)</f>
        <v>2938</v>
      </c>
      <c r="E45" s="20" t="s">
        <v>147</v>
      </c>
      <c r="F45" s="19">
        <f>VLOOKUP(E45,Sheet1!$A$1:$B$350,2,FALSE)</f>
        <v>1691</v>
      </c>
      <c r="H45" s="21">
        <f t="shared" si="0"/>
        <v>0</v>
      </c>
      <c r="I45" s="21">
        <f t="shared" si="1"/>
        <v>1</v>
      </c>
      <c r="J45" s="21">
        <f t="shared" si="2"/>
        <v>0</v>
      </c>
      <c r="K45" s="21">
        <f t="shared" si="3"/>
        <v>1</v>
      </c>
      <c r="L45" s="21">
        <f t="shared" si="4"/>
        <v>1</v>
      </c>
      <c r="M45" s="21">
        <f t="shared" si="5"/>
        <v>0</v>
      </c>
      <c r="N45" s="21">
        <f t="shared" si="6"/>
        <v>1</v>
      </c>
    </row>
    <row r="46" spans="1:14" x14ac:dyDescent="0.25">
      <c r="A46" s="38" t="s">
        <v>456</v>
      </c>
      <c r="B46" s="19">
        <f>VLOOKUP(A46,Sheet1!$A$1:$B$350,2,FALSE)</f>
        <v>511</v>
      </c>
      <c r="C46" s="23" t="s">
        <v>153</v>
      </c>
      <c r="D46" s="19">
        <f>VLOOKUP(C46,Sheet1!$A$1:$B$350,2,FALSE)</f>
        <v>14692</v>
      </c>
      <c r="E46" s="28" t="s">
        <v>480</v>
      </c>
      <c r="F46" s="19">
        <f>VLOOKUP(E46,Sheet1!$A$1:$B$350,2,FALSE)</f>
        <v>7760</v>
      </c>
      <c r="H46" s="21">
        <f t="shared" si="0"/>
        <v>0</v>
      </c>
      <c r="I46" s="21">
        <f t="shared" si="1"/>
        <v>1</v>
      </c>
      <c r="J46" s="21">
        <f t="shared" si="2"/>
        <v>0</v>
      </c>
      <c r="K46" s="21">
        <f t="shared" si="3"/>
        <v>1</v>
      </c>
      <c r="L46" s="21">
        <f t="shared" si="4"/>
        <v>1</v>
      </c>
      <c r="M46" s="21">
        <f t="shared" si="5"/>
        <v>0</v>
      </c>
      <c r="N46" s="21">
        <f t="shared" si="6"/>
        <v>1</v>
      </c>
    </row>
    <row r="47" spans="1:14" x14ac:dyDescent="0.25">
      <c r="A47" s="18" t="s">
        <v>149</v>
      </c>
      <c r="B47" s="19">
        <f>VLOOKUP(A47,Sheet1!$A$1:$B$350,2,FALSE)</f>
        <v>144</v>
      </c>
      <c r="C47" s="20" t="s">
        <v>148</v>
      </c>
      <c r="D47" s="19">
        <f>VLOOKUP(C47,Sheet1!$A$1:$B$350,2,FALSE)</f>
        <v>478</v>
      </c>
      <c r="E47" s="20" t="s">
        <v>150</v>
      </c>
      <c r="F47" s="19">
        <f>VLOOKUP(E47,Sheet1!$A$1:$B$350,2,FALSE)</f>
        <v>3838</v>
      </c>
      <c r="H47" s="21">
        <f t="shared" si="0"/>
        <v>0</v>
      </c>
      <c r="I47" s="21">
        <f t="shared" si="1"/>
        <v>1</v>
      </c>
      <c r="J47" s="21">
        <f t="shared" si="2"/>
        <v>0</v>
      </c>
      <c r="K47" s="21">
        <f t="shared" si="3"/>
        <v>1</v>
      </c>
      <c r="L47" s="21">
        <f t="shared" si="4"/>
        <v>0</v>
      </c>
      <c r="M47" s="21">
        <f t="shared" si="5"/>
        <v>1</v>
      </c>
      <c r="N47" s="21">
        <f t="shared" si="6"/>
        <v>1</v>
      </c>
    </row>
    <row r="48" spans="1:14" x14ac:dyDescent="0.25">
      <c r="A48" s="18" t="s">
        <v>139</v>
      </c>
      <c r="B48" s="19">
        <f>VLOOKUP(A48,Sheet1!$A$1:$B$350,2,FALSE)</f>
        <v>141</v>
      </c>
      <c r="C48" s="20" t="s">
        <v>140</v>
      </c>
      <c r="D48" s="19">
        <f>VLOOKUP(C48,Sheet1!$A$1:$B$350,2,FALSE)</f>
        <v>12816</v>
      </c>
      <c r="E48" s="20" t="s">
        <v>141</v>
      </c>
      <c r="F48" s="19">
        <f>VLOOKUP(E48,Sheet1!$A$1:$B$350,2,FALSE)</f>
        <v>3756</v>
      </c>
      <c r="H48" s="21">
        <f t="shared" si="0"/>
        <v>0</v>
      </c>
      <c r="I48" s="21">
        <f t="shared" si="1"/>
        <v>1</v>
      </c>
      <c r="J48" s="21">
        <f t="shared" si="2"/>
        <v>0</v>
      </c>
      <c r="K48" s="21">
        <f t="shared" si="3"/>
        <v>1</v>
      </c>
      <c r="L48" s="21">
        <f t="shared" si="4"/>
        <v>1</v>
      </c>
      <c r="M48" s="21">
        <f t="shared" si="5"/>
        <v>0</v>
      </c>
      <c r="N48" s="21">
        <f t="shared" si="6"/>
        <v>1</v>
      </c>
    </row>
    <row r="49" spans="1:16" x14ac:dyDescent="0.25">
      <c r="A49" s="18" t="s">
        <v>152</v>
      </c>
      <c r="B49" s="19">
        <f>VLOOKUP(A49,Sheet1!$A$1:$B$350,2,FALSE)</f>
        <v>5652</v>
      </c>
      <c r="C49" s="20" t="s">
        <v>151</v>
      </c>
      <c r="D49" s="19">
        <f>VLOOKUP(C49,Sheet1!$A$1:$B$350,2,FALSE)</f>
        <v>748</v>
      </c>
      <c r="E49" s="24" t="s">
        <v>479</v>
      </c>
      <c r="F49" s="19">
        <f>VLOOKUP(E49,Sheet1!$A$1:$B$350,2,FALSE)</f>
        <v>438</v>
      </c>
      <c r="H49" s="21">
        <f t="shared" si="0"/>
        <v>1</v>
      </c>
      <c r="I49" s="21">
        <f t="shared" si="1"/>
        <v>0</v>
      </c>
      <c r="J49" s="21">
        <f t="shared" si="2"/>
        <v>1</v>
      </c>
      <c r="K49" s="21">
        <f t="shared" si="3"/>
        <v>0</v>
      </c>
      <c r="L49" s="21">
        <f t="shared" si="4"/>
        <v>1</v>
      </c>
      <c r="M49" s="21">
        <f t="shared" si="5"/>
        <v>0</v>
      </c>
      <c r="N49" s="21">
        <f t="shared" si="6"/>
        <v>1</v>
      </c>
    </row>
    <row r="50" spans="1:16" x14ac:dyDescent="0.25">
      <c r="A50" s="18" t="s">
        <v>163</v>
      </c>
      <c r="B50" s="19">
        <f>VLOOKUP(A50,Sheet1!$A$1:$B$350,2,FALSE)</f>
        <v>17</v>
      </c>
      <c r="C50" s="20" t="s">
        <v>162</v>
      </c>
      <c r="D50" s="19">
        <f>VLOOKUP(C50,Sheet1!$A$1:$B$350,2,FALSE)</f>
        <v>96</v>
      </c>
      <c r="E50" s="20" t="s">
        <v>164</v>
      </c>
      <c r="F50" s="19">
        <f>VLOOKUP(E50,Sheet1!$A$1:$B$350,2,FALSE)</f>
        <v>108</v>
      </c>
      <c r="H50" s="21">
        <f t="shared" si="0"/>
        <v>0</v>
      </c>
      <c r="I50" s="21">
        <f t="shared" si="1"/>
        <v>1</v>
      </c>
      <c r="J50" s="21">
        <f t="shared" si="2"/>
        <v>0</v>
      </c>
      <c r="K50" s="21">
        <f t="shared" si="3"/>
        <v>1</v>
      </c>
      <c r="L50" s="21">
        <f t="shared" si="4"/>
        <v>0</v>
      </c>
      <c r="M50" s="21">
        <f t="shared" si="5"/>
        <v>1</v>
      </c>
      <c r="N50" s="21">
        <f t="shared" si="6"/>
        <v>1</v>
      </c>
    </row>
    <row r="51" spans="1:16" x14ac:dyDescent="0.25">
      <c r="A51" s="18" t="s">
        <v>154</v>
      </c>
      <c r="B51" s="19">
        <f>VLOOKUP(A51,Sheet1!$A$1:$B$350,2,FALSE)</f>
        <v>131</v>
      </c>
      <c r="C51" s="20" t="s">
        <v>155</v>
      </c>
      <c r="D51" s="19">
        <f>VLOOKUP(C51,Sheet1!$A$1:$B$350,2,FALSE)</f>
        <v>277</v>
      </c>
      <c r="E51" s="20" t="s">
        <v>156</v>
      </c>
      <c r="F51" s="19">
        <f>VLOOKUP(E51,Sheet1!$A$1:$B$350,2,FALSE)</f>
        <v>8754</v>
      </c>
      <c r="H51" s="21">
        <f t="shared" si="0"/>
        <v>0</v>
      </c>
      <c r="I51" s="21">
        <f t="shared" si="1"/>
        <v>1</v>
      </c>
      <c r="J51" s="21">
        <f t="shared" si="2"/>
        <v>0</v>
      </c>
      <c r="K51" s="21">
        <f t="shared" si="3"/>
        <v>1</v>
      </c>
      <c r="L51" s="21">
        <f t="shared" si="4"/>
        <v>0</v>
      </c>
      <c r="M51" s="21">
        <f t="shared" si="5"/>
        <v>1</v>
      </c>
      <c r="N51" s="21">
        <f t="shared" si="6"/>
        <v>1</v>
      </c>
    </row>
    <row r="52" spans="1:16" x14ac:dyDescent="0.25">
      <c r="A52" s="18" t="s">
        <v>157</v>
      </c>
      <c r="B52" s="19">
        <f>VLOOKUP(A52,Sheet1!$A$1:$B$350,2,FALSE)</f>
        <v>28039</v>
      </c>
      <c r="C52" s="20" t="s">
        <v>158</v>
      </c>
      <c r="D52" s="19">
        <f>VLOOKUP(C52,Sheet1!$A$1:$B$350,2,FALSE)</f>
        <v>281</v>
      </c>
      <c r="E52" s="20" t="s">
        <v>159</v>
      </c>
      <c r="F52" s="19">
        <f>VLOOKUP(E52,Sheet1!$A$1:$B$350,2,FALSE)</f>
        <v>927</v>
      </c>
      <c r="H52" s="21">
        <f t="shared" si="0"/>
        <v>1</v>
      </c>
      <c r="I52" s="21">
        <f t="shared" si="1"/>
        <v>0</v>
      </c>
      <c r="J52" s="21">
        <f t="shared" si="2"/>
        <v>1</v>
      </c>
      <c r="K52" s="21">
        <f t="shared" si="3"/>
        <v>0</v>
      </c>
      <c r="L52" s="21">
        <f t="shared" si="4"/>
        <v>0</v>
      </c>
      <c r="M52" s="21">
        <f t="shared" si="5"/>
        <v>1</v>
      </c>
      <c r="N52" s="21">
        <f t="shared" si="6"/>
        <v>1</v>
      </c>
    </row>
    <row r="53" spans="1:16" x14ac:dyDescent="0.25">
      <c r="A53" s="18" t="s">
        <v>160</v>
      </c>
      <c r="B53" s="19">
        <f>VLOOKUP(A53,Sheet1!$A$1:$B$350,2,FALSE)</f>
        <v>15140</v>
      </c>
      <c r="C53" s="20" t="s">
        <v>161</v>
      </c>
      <c r="D53" s="19">
        <f>VLOOKUP(C53,Sheet1!$A$1:$B$350,2,FALSE)</f>
        <v>285</v>
      </c>
      <c r="E53" s="20" t="s">
        <v>457</v>
      </c>
      <c r="F53" s="19">
        <f>VLOOKUP(E53,Sheet1!$A$1:$B$350,2,FALSE)</f>
        <v>3436</v>
      </c>
      <c r="H53" s="21">
        <f t="shared" si="0"/>
        <v>1</v>
      </c>
      <c r="I53" s="21">
        <f t="shared" si="1"/>
        <v>0</v>
      </c>
      <c r="J53" s="21">
        <f t="shared" si="2"/>
        <v>1</v>
      </c>
      <c r="K53" s="21">
        <f t="shared" si="3"/>
        <v>0</v>
      </c>
      <c r="L53" s="21">
        <f t="shared" si="4"/>
        <v>0</v>
      </c>
      <c r="M53" s="21">
        <f t="shared" si="5"/>
        <v>1</v>
      </c>
      <c r="N53" s="21">
        <f t="shared" si="6"/>
        <v>1</v>
      </c>
    </row>
    <row r="54" spans="1:16" x14ac:dyDescent="0.25">
      <c r="A54" s="18" t="s">
        <v>147</v>
      </c>
      <c r="B54" s="19">
        <f>VLOOKUP(A54,Sheet1!$A$1:$B$350,2,FALSE)</f>
        <v>1691</v>
      </c>
      <c r="C54" s="20" t="s">
        <v>165</v>
      </c>
      <c r="D54" s="19">
        <f>VLOOKUP(C54,Sheet1!$A$1:$B$350,2,FALSE)</f>
        <v>54</v>
      </c>
      <c r="E54" s="20" t="s">
        <v>145</v>
      </c>
      <c r="F54" s="19">
        <f>VLOOKUP(E54,Sheet1!$A$1:$B$350,2,FALSE)</f>
        <v>19</v>
      </c>
      <c r="H54" s="21">
        <f t="shared" si="0"/>
        <v>1</v>
      </c>
      <c r="I54" s="21">
        <f t="shared" si="1"/>
        <v>0</v>
      </c>
      <c r="J54" s="21">
        <f t="shared" si="2"/>
        <v>1</v>
      </c>
      <c r="K54" s="21">
        <f t="shared" si="3"/>
        <v>0</v>
      </c>
      <c r="L54" s="21">
        <f t="shared" si="4"/>
        <v>1</v>
      </c>
      <c r="M54" s="21">
        <f t="shared" si="5"/>
        <v>0</v>
      </c>
      <c r="N54" s="21">
        <f t="shared" si="6"/>
        <v>1</v>
      </c>
    </row>
    <row r="55" spans="1:16" x14ac:dyDescent="0.25">
      <c r="A55" s="18" t="s">
        <v>167</v>
      </c>
      <c r="B55" s="19">
        <f>VLOOKUP(A55,Sheet1!$A$1:$B$350,2,FALSE)</f>
        <v>4594</v>
      </c>
      <c r="C55" s="20" t="s">
        <v>166</v>
      </c>
      <c r="D55" s="19">
        <f>VLOOKUP(C55,Sheet1!$A$1:$B$350,2,FALSE)</f>
        <v>3479</v>
      </c>
      <c r="E55" s="20" t="s">
        <v>168</v>
      </c>
      <c r="F55" s="19">
        <f>VLOOKUP(E55,Sheet1!$A$1:$B$350,2,FALSE)</f>
        <v>159</v>
      </c>
      <c r="H55" s="21">
        <f t="shared" si="0"/>
        <v>1</v>
      </c>
      <c r="I55" s="21">
        <f t="shared" si="1"/>
        <v>0</v>
      </c>
      <c r="J55" s="21">
        <f t="shared" si="2"/>
        <v>1</v>
      </c>
      <c r="K55" s="21">
        <f t="shared" si="3"/>
        <v>0</v>
      </c>
      <c r="L55" s="21">
        <f t="shared" si="4"/>
        <v>1</v>
      </c>
      <c r="M55" s="21">
        <f t="shared" si="5"/>
        <v>0</v>
      </c>
      <c r="N55" s="21">
        <f t="shared" si="6"/>
        <v>1</v>
      </c>
    </row>
    <row r="56" spans="1:16" x14ac:dyDescent="0.25">
      <c r="A56" s="18" t="s">
        <v>275</v>
      </c>
      <c r="B56" s="19">
        <f>VLOOKUP(A56,Sheet1!$A$1:$B$350,2,FALSE)</f>
        <v>244</v>
      </c>
      <c r="C56" s="20" t="s">
        <v>276</v>
      </c>
      <c r="D56" s="19">
        <f>VLOOKUP(C56,Sheet1!$A$1:$B$350,2,FALSE)</f>
        <v>27173</v>
      </c>
      <c r="E56" s="20" t="s">
        <v>277</v>
      </c>
      <c r="F56" s="19">
        <f>VLOOKUP(E56,Sheet1!$A$1:$B$350,2,FALSE)</f>
        <v>7443</v>
      </c>
      <c r="H56" s="21">
        <f t="shared" si="0"/>
        <v>0</v>
      </c>
      <c r="I56" s="21">
        <f t="shared" si="1"/>
        <v>1</v>
      </c>
      <c r="J56" s="21">
        <f t="shared" si="2"/>
        <v>0</v>
      </c>
      <c r="K56" s="21">
        <f t="shared" si="3"/>
        <v>1</v>
      </c>
      <c r="L56" s="21">
        <f t="shared" si="4"/>
        <v>1</v>
      </c>
      <c r="M56" s="21">
        <f t="shared" si="5"/>
        <v>0</v>
      </c>
      <c r="N56" s="21">
        <f t="shared" si="6"/>
        <v>1</v>
      </c>
    </row>
    <row r="57" spans="1:16" x14ac:dyDescent="0.25">
      <c r="A57" s="18" t="s">
        <v>180</v>
      </c>
      <c r="B57" s="19">
        <f>VLOOKUP(A57,Sheet1!$A$1:$B$350,2,FALSE)</f>
        <v>846</v>
      </c>
      <c r="C57" s="20" t="s">
        <v>181</v>
      </c>
      <c r="D57" s="19">
        <f>VLOOKUP(C57,Sheet1!$A$1:$B$350,2,FALSE)</f>
        <v>1836</v>
      </c>
      <c r="E57" s="20" t="s">
        <v>182</v>
      </c>
      <c r="F57" s="19">
        <f>VLOOKUP(E57,Sheet1!$A$1:$B$350,2,FALSE)</f>
        <v>337</v>
      </c>
      <c r="H57" s="21">
        <f t="shared" si="0"/>
        <v>0</v>
      </c>
      <c r="I57" s="21">
        <f t="shared" si="1"/>
        <v>1</v>
      </c>
      <c r="J57" s="21">
        <f t="shared" si="2"/>
        <v>1</v>
      </c>
      <c r="K57" s="21">
        <f t="shared" si="3"/>
        <v>0</v>
      </c>
      <c r="L57" s="21">
        <f t="shared" si="4"/>
        <v>1</v>
      </c>
      <c r="M57" s="21">
        <f t="shared" si="5"/>
        <v>0</v>
      </c>
      <c r="N57" s="21">
        <f t="shared" si="6"/>
        <v>0</v>
      </c>
    </row>
    <row r="58" spans="1:16" x14ac:dyDescent="0.25">
      <c r="A58" s="18" t="s">
        <v>169</v>
      </c>
      <c r="B58" s="19">
        <f>VLOOKUP(A58,Sheet1!$A$1:$B$350,2,FALSE)</f>
        <v>902</v>
      </c>
      <c r="C58" s="20" t="s">
        <v>170</v>
      </c>
      <c r="D58" s="19">
        <f>VLOOKUP(C58,Sheet1!$A$1:$B$350,2,FALSE)</f>
        <v>273</v>
      </c>
      <c r="E58" s="20" t="s">
        <v>171</v>
      </c>
      <c r="F58" s="19">
        <f>VLOOKUP(E58,Sheet1!$A$1:$B$350,2,FALSE)</f>
        <v>527</v>
      </c>
      <c r="H58" s="21">
        <f t="shared" si="0"/>
        <v>1</v>
      </c>
      <c r="I58" s="21">
        <f t="shared" si="1"/>
        <v>0</v>
      </c>
      <c r="J58" s="21">
        <f t="shared" si="2"/>
        <v>1</v>
      </c>
      <c r="K58" s="21">
        <f t="shared" si="3"/>
        <v>0</v>
      </c>
      <c r="L58" s="21">
        <f t="shared" si="4"/>
        <v>0</v>
      </c>
      <c r="M58" s="21">
        <f t="shared" si="5"/>
        <v>1</v>
      </c>
      <c r="N58" s="21">
        <f t="shared" si="6"/>
        <v>1</v>
      </c>
    </row>
    <row r="59" spans="1:16" x14ac:dyDescent="0.25">
      <c r="A59" s="18" t="s">
        <v>172</v>
      </c>
      <c r="B59" s="19">
        <f>VLOOKUP(A59,Sheet1!$A$1:$B$350,2,FALSE)</f>
        <v>275</v>
      </c>
      <c r="C59" s="20" t="s">
        <v>173</v>
      </c>
      <c r="D59" s="19">
        <f>VLOOKUP(C59,Sheet1!$A$1:$B$350,2,FALSE)</f>
        <v>529</v>
      </c>
      <c r="E59" s="28" t="s">
        <v>498</v>
      </c>
      <c r="F59" s="19">
        <f>VLOOKUP(E59,Sheet1!$A$1:$B$350,2,FALSE)</f>
        <v>546</v>
      </c>
      <c r="H59" s="21">
        <f t="shared" si="0"/>
        <v>0</v>
      </c>
      <c r="I59" s="21">
        <f t="shared" si="1"/>
        <v>1</v>
      </c>
      <c r="J59" s="21">
        <f t="shared" si="2"/>
        <v>0</v>
      </c>
      <c r="K59" s="21">
        <f t="shared" si="3"/>
        <v>1</v>
      </c>
      <c r="L59" s="21">
        <f t="shared" si="4"/>
        <v>0</v>
      </c>
      <c r="M59" s="21">
        <f t="shared" si="5"/>
        <v>1</v>
      </c>
      <c r="N59" s="21">
        <f t="shared" si="6"/>
        <v>1</v>
      </c>
    </row>
    <row r="60" spans="1:16" x14ac:dyDescent="0.25">
      <c r="A60" s="18" t="s">
        <v>175</v>
      </c>
      <c r="B60" s="19">
        <f>VLOOKUP(A60,Sheet1!$A$1:$B$350,2,FALSE)</f>
        <v>361</v>
      </c>
      <c r="C60" s="20" t="s">
        <v>176</v>
      </c>
      <c r="D60" s="19">
        <f>VLOOKUP(C60,Sheet1!$A$1:$B$350,2,FALSE)</f>
        <v>94</v>
      </c>
      <c r="E60" s="20" t="s">
        <v>177</v>
      </c>
      <c r="F60" s="19">
        <f>VLOOKUP(E60,Sheet1!$A$1:$B$350,2,FALSE)</f>
        <v>132</v>
      </c>
      <c r="H60" s="21">
        <f t="shared" si="0"/>
        <v>1</v>
      </c>
      <c r="I60" s="21">
        <f t="shared" si="1"/>
        <v>0</v>
      </c>
      <c r="J60" s="21">
        <f t="shared" si="2"/>
        <v>1</v>
      </c>
      <c r="K60" s="21">
        <f t="shared" si="3"/>
        <v>0</v>
      </c>
      <c r="L60" s="21">
        <f t="shared" si="4"/>
        <v>0</v>
      </c>
      <c r="M60" s="21">
        <f t="shared" si="5"/>
        <v>1</v>
      </c>
      <c r="N60" s="21">
        <f t="shared" si="6"/>
        <v>1</v>
      </c>
    </row>
    <row r="61" spans="1:16" x14ac:dyDescent="0.25">
      <c r="A61" s="18" t="s">
        <v>178</v>
      </c>
      <c r="B61" s="19">
        <f>VLOOKUP(A61,Sheet1!$A$1:$B$350,2,FALSE)</f>
        <v>1282</v>
      </c>
      <c r="C61" s="20" t="s">
        <v>179</v>
      </c>
      <c r="D61" s="19">
        <f>VLOOKUP(C61,Sheet1!$A$1:$B$350,2,FALSE)</f>
        <v>4</v>
      </c>
      <c r="E61" s="23" t="s">
        <v>481</v>
      </c>
      <c r="F61" s="19">
        <f>VLOOKUP(E61,Sheet1!$A$1:$B$350,2,FALSE)</f>
        <v>660</v>
      </c>
      <c r="H61" s="21">
        <f t="shared" si="0"/>
        <v>1</v>
      </c>
      <c r="I61" s="21">
        <f t="shared" si="1"/>
        <v>0</v>
      </c>
      <c r="J61" s="21">
        <f t="shared" si="2"/>
        <v>1</v>
      </c>
      <c r="K61" s="21">
        <f t="shared" si="3"/>
        <v>0</v>
      </c>
      <c r="L61" s="21">
        <f t="shared" si="4"/>
        <v>0</v>
      </c>
      <c r="M61" s="21">
        <f t="shared" si="5"/>
        <v>1</v>
      </c>
      <c r="N61" s="21">
        <f t="shared" si="6"/>
        <v>1</v>
      </c>
    </row>
    <row r="62" spans="1:16" x14ac:dyDescent="0.25">
      <c r="A62" s="18" t="s">
        <v>183</v>
      </c>
      <c r="B62" s="19">
        <f>VLOOKUP(A62,Sheet1!$A$1:$B$350,2,FALSE)</f>
        <v>46</v>
      </c>
      <c r="C62" s="20" t="s">
        <v>184</v>
      </c>
      <c r="D62" s="19">
        <f>VLOOKUP(C62,Sheet1!$A$1:$B$350,2,FALSE)</f>
        <v>1353</v>
      </c>
      <c r="E62" s="20" t="s">
        <v>185</v>
      </c>
      <c r="F62" s="19">
        <f>VLOOKUP(E62,Sheet1!$A$1:$B$350,2,FALSE)</f>
        <v>1297</v>
      </c>
      <c r="H62" s="21">
        <f t="shared" si="0"/>
        <v>0</v>
      </c>
      <c r="I62" s="21">
        <f t="shared" si="1"/>
        <v>1</v>
      </c>
      <c r="J62" s="21">
        <f t="shared" si="2"/>
        <v>0</v>
      </c>
      <c r="K62" s="21">
        <f t="shared" si="3"/>
        <v>1</v>
      </c>
      <c r="L62" s="21">
        <f t="shared" si="4"/>
        <v>1</v>
      </c>
      <c r="M62" s="21">
        <f t="shared" si="5"/>
        <v>0</v>
      </c>
      <c r="N62" s="21">
        <f t="shared" si="6"/>
        <v>1</v>
      </c>
    </row>
    <row r="63" spans="1:16" x14ac:dyDescent="0.25">
      <c r="A63" s="18" t="s">
        <v>189</v>
      </c>
      <c r="B63" s="19">
        <f>VLOOKUP(A63,Sheet1!$A$1:$B$350,2,FALSE)</f>
        <v>719</v>
      </c>
      <c r="C63" s="20" t="s">
        <v>190</v>
      </c>
      <c r="D63" s="19">
        <f>VLOOKUP(C63,Sheet1!$A$1:$B$350,2,FALSE)</f>
        <v>1709</v>
      </c>
      <c r="E63" s="20" t="s">
        <v>191</v>
      </c>
      <c r="F63" s="19">
        <f>VLOOKUP(E63,Sheet1!$A$1:$B$350,2,FALSE)</f>
        <v>6608</v>
      </c>
      <c r="H63" s="21">
        <f t="shared" si="0"/>
        <v>0</v>
      </c>
      <c r="I63" s="21">
        <f t="shared" si="1"/>
        <v>1</v>
      </c>
      <c r="J63" s="21">
        <f t="shared" si="2"/>
        <v>0</v>
      </c>
      <c r="K63" s="21">
        <f t="shared" si="3"/>
        <v>1</v>
      </c>
      <c r="L63" s="21">
        <f t="shared" si="4"/>
        <v>0</v>
      </c>
      <c r="M63" s="21">
        <f t="shared" si="5"/>
        <v>1</v>
      </c>
      <c r="N63" s="21">
        <f t="shared" si="6"/>
        <v>1</v>
      </c>
      <c r="P63" s="29" t="s">
        <v>449</v>
      </c>
    </row>
    <row r="64" spans="1:16" x14ac:dyDescent="0.25">
      <c r="A64" s="18" t="s">
        <v>192</v>
      </c>
      <c r="B64" s="19">
        <f>VLOOKUP(A64,Sheet1!$A$1:$B$350,2,FALSE)</f>
        <v>208</v>
      </c>
      <c r="C64" s="20" t="s">
        <v>193</v>
      </c>
      <c r="D64" s="19">
        <f>VLOOKUP(C64,Sheet1!$A$1:$B$350,2,FALSE)</f>
        <v>2101</v>
      </c>
      <c r="E64" s="20" t="s">
        <v>194</v>
      </c>
      <c r="F64" s="19">
        <f>VLOOKUP(E64,Sheet1!$A$1:$B$350,2,FALSE)</f>
        <v>1537</v>
      </c>
      <c r="H64" s="21">
        <f t="shared" si="0"/>
        <v>0</v>
      </c>
      <c r="I64" s="21">
        <f t="shared" si="1"/>
        <v>1</v>
      </c>
      <c r="J64" s="21">
        <f t="shared" si="2"/>
        <v>0</v>
      </c>
      <c r="K64" s="21">
        <f t="shared" si="3"/>
        <v>1</v>
      </c>
      <c r="L64" s="21">
        <f t="shared" si="4"/>
        <v>1</v>
      </c>
      <c r="M64" s="21">
        <f t="shared" si="5"/>
        <v>0</v>
      </c>
      <c r="N64" s="21">
        <f t="shared" si="6"/>
        <v>1</v>
      </c>
    </row>
    <row r="65" spans="1:16" x14ac:dyDescent="0.25">
      <c r="A65" s="18" t="s">
        <v>198</v>
      </c>
      <c r="B65" s="19">
        <f>VLOOKUP(A65,Sheet1!$A$1:$B$350,2,FALSE)</f>
        <v>77</v>
      </c>
      <c r="C65" s="20" t="s">
        <v>199</v>
      </c>
      <c r="D65" s="19">
        <f>VLOOKUP(C65,Sheet1!$A$1:$B$350,2,FALSE)</f>
        <v>569</v>
      </c>
      <c r="E65" s="20" t="s">
        <v>200</v>
      </c>
      <c r="F65" s="19">
        <f>VLOOKUP(E65,Sheet1!$A$1:$B$350,2,FALSE)</f>
        <v>1119</v>
      </c>
      <c r="H65" s="21">
        <f t="shared" si="0"/>
        <v>0</v>
      </c>
      <c r="I65" s="21">
        <f t="shared" si="1"/>
        <v>1</v>
      </c>
      <c r="J65" s="21">
        <f t="shared" si="2"/>
        <v>0</v>
      </c>
      <c r="K65" s="21">
        <f t="shared" si="3"/>
        <v>1</v>
      </c>
      <c r="L65" s="21">
        <f t="shared" si="4"/>
        <v>0</v>
      </c>
      <c r="M65" s="21">
        <f t="shared" si="5"/>
        <v>1</v>
      </c>
      <c r="N65" s="21">
        <f t="shared" si="6"/>
        <v>1</v>
      </c>
      <c r="P65" s="29" t="s">
        <v>449</v>
      </c>
    </row>
    <row r="66" spans="1:16" x14ac:dyDescent="0.25">
      <c r="A66" s="18" t="s">
        <v>186</v>
      </c>
      <c r="B66" s="19">
        <f>VLOOKUP(A66,Sheet1!$A$1:$B$350,2,FALSE)</f>
        <v>56</v>
      </c>
      <c r="C66" s="20" t="s">
        <v>187</v>
      </c>
      <c r="D66" s="19">
        <f>VLOOKUP(C66,Sheet1!$A$1:$B$350,2,FALSE)</f>
        <v>144</v>
      </c>
      <c r="E66" s="20" t="s">
        <v>188</v>
      </c>
      <c r="F66" s="19">
        <f>VLOOKUP(E66,Sheet1!$A$1:$B$350,2,FALSE)</f>
        <v>582</v>
      </c>
      <c r="H66" s="21">
        <f t="shared" si="0"/>
        <v>0</v>
      </c>
      <c r="I66" s="21">
        <f t="shared" si="1"/>
        <v>1</v>
      </c>
      <c r="J66" s="21">
        <f t="shared" si="2"/>
        <v>0</v>
      </c>
      <c r="K66" s="21">
        <f t="shared" si="3"/>
        <v>1</v>
      </c>
      <c r="L66" s="21">
        <f t="shared" si="4"/>
        <v>0</v>
      </c>
      <c r="M66" s="21">
        <f t="shared" si="5"/>
        <v>1</v>
      </c>
      <c r="N66" s="21">
        <f t="shared" si="6"/>
        <v>1</v>
      </c>
    </row>
    <row r="67" spans="1:16" x14ac:dyDescent="0.25">
      <c r="A67" s="18" t="s">
        <v>193</v>
      </c>
      <c r="B67" s="19">
        <f>VLOOKUP(A67,Sheet1!$A$1:$B$350,2,FALSE)</f>
        <v>2101</v>
      </c>
      <c r="C67" s="20" t="s">
        <v>192</v>
      </c>
      <c r="D67" s="19">
        <f>VLOOKUP(C67,Sheet1!$A$1:$B$350,2,FALSE)</f>
        <v>208</v>
      </c>
      <c r="E67" s="20" t="s">
        <v>201</v>
      </c>
      <c r="F67" s="19">
        <f>VLOOKUP(E67,Sheet1!$A$1:$B$350,2,FALSE)</f>
        <v>454</v>
      </c>
      <c r="H67" s="21">
        <f t="shared" ref="H67:H101" si="7">IF(B67&gt;D67,1,0)</f>
        <v>1</v>
      </c>
      <c r="I67" s="21">
        <f t="shared" ref="I67:I101" si="8">IF(B67&lt;D67,1,0)</f>
        <v>0</v>
      </c>
      <c r="J67" s="21">
        <f t="shared" ref="J67:J101" si="9">IF(B67&gt;F67,1,0)</f>
        <v>1</v>
      </c>
      <c r="K67" s="21">
        <f t="shared" ref="K67:K101" si="10">IF(B67&lt;F67,1,0)</f>
        <v>0</v>
      </c>
      <c r="L67" s="21">
        <f t="shared" ref="L67:L101" si="11">IF(D67&gt;F67,1,0)</f>
        <v>0</v>
      </c>
      <c r="M67" s="21">
        <f t="shared" ref="M67:M101" si="12">IF(D67&lt;F67,1,0)</f>
        <v>1</v>
      </c>
      <c r="N67" s="21">
        <f t="shared" ref="N67:N101" si="13">IF(AND(H67=J67,I67=K67),1,0)</f>
        <v>1</v>
      </c>
    </row>
    <row r="68" spans="1:16" x14ac:dyDescent="0.25">
      <c r="A68" s="18" t="s">
        <v>202</v>
      </c>
      <c r="B68" s="19">
        <f>VLOOKUP(A68,Sheet1!$A$1:$B$350,2,FALSE)</f>
        <v>283</v>
      </c>
      <c r="C68" s="20" t="s">
        <v>203</v>
      </c>
      <c r="D68" s="19">
        <f>VLOOKUP(C68,Sheet1!$A$1:$B$350,2,FALSE)</f>
        <v>523</v>
      </c>
      <c r="E68" s="20" t="s">
        <v>204</v>
      </c>
      <c r="F68" s="19">
        <f>VLOOKUP(E68,Sheet1!$A$1:$B$350,2,FALSE)</f>
        <v>584</v>
      </c>
      <c r="H68" s="21">
        <f t="shared" si="7"/>
        <v>0</v>
      </c>
      <c r="I68" s="21">
        <f t="shared" si="8"/>
        <v>1</v>
      </c>
      <c r="J68" s="21">
        <f t="shared" si="9"/>
        <v>0</v>
      </c>
      <c r="K68" s="21">
        <f t="shared" si="10"/>
        <v>1</v>
      </c>
      <c r="L68" s="21">
        <f t="shared" si="11"/>
        <v>0</v>
      </c>
      <c r="M68" s="21">
        <f t="shared" si="12"/>
        <v>1</v>
      </c>
      <c r="N68" s="21">
        <f t="shared" si="13"/>
        <v>1</v>
      </c>
    </row>
    <row r="69" spans="1:16" x14ac:dyDescent="0.25">
      <c r="A69" s="20" t="s">
        <v>205</v>
      </c>
      <c r="B69" s="19">
        <f>VLOOKUP(A69,Sheet1!$A$1:$B$350,2,FALSE)</f>
        <v>543</v>
      </c>
      <c r="C69" s="20" t="s">
        <v>206</v>
      </c>
      <c r="D69" s="19">
        <f>VLOOKUP(C69,Sheet1!$A$1:$B$350,2,FALSE)</f>
        <v>5</v>
      </c>
      <c r="E69" s="20" t="s">
        <v>207</v>
      </c>
      <c r="F69" s="19">
        <f>VLOOKUP(E69,Sheet1!$A$1:$B$350,2,FALSE)</f>
        <v>51</v>
      </c>
      <c r="H69" s="21">
        <f t="shared" si="7"/>
        <v>1</v>
      </c>
      <c r="I69" s="21">
        <f t="shared" si="8"/>
        <v>0</v>
      </c>
      <c r="J69" s="21">
        <f t="shared" si="9"/>
        <v>1</v>
      </c>
      <c r="K69" s="21">
        <f t="shared" si="10"/>
        <v>0</v>
      </c>
      <c r="L69" s="21">
        <f t="shared" si="11"/>
        <v>0</v>
      </c>
      <c r="M69" s="21">
        <f t="shared" si="12"/>
        <v>1</v>
      </c>
      <c r="N69" s="21">
        <f t="shared" si="13"/>
        <v>1</v>
      </c>
    </row>
    <row r="70" spans="1:16" x14ac:dyDescent="0.25">
      <c r="A70" s="18" t="s">
        <v>208</v>
      </c>
      <c r="B70" s="19">
        <f>VLOOKUP(A70,Sheet1!$A$1:$B$350,2,FALSE)</f>
        <v>199</v>
      </c>
      <c r="C70" s="20" t="s">
        <v>209</v>
      </c>
      <c r="D70" s="19">
        <f>VLOOKUP(C70,Sheet1!$A$1:$B$350,2,FALSE)</f>
        <v>1294</v>
      </c>
      <c r="E70" s="20" t="s">
        <v>210</v>
      </c>
      <c r="F70" s="19">
        <f>VLOOKUP(E70,Sheet1!$A$1:$B$350,2,FALSE)</f>
        <v>615</v>
      </c>
      <c r="H70" s="21">
        <f t="shared" si="7"/>
        <v>0</v>
      </c>
      <c r="I70" s="21">
        <f t="shared" si="8"/>
        <v>1</v>
      </c>
      <c r="J70" s="21">
        <f t="shared" si="9"/>
        <v>0</v>
      </c>
      <c r="K70" s="21">
        <f t="shared" si="10"/>
        <v>1</v>
      </c>
      <c r="L70" s="21">
        <f t="shared" si="11"/>
        <v>1</v>
      </c>
      <c r="M70" s="21">
        <f t="shared" si="12"/>
        <v>0</v>
      </c>
      <c r="N70" s="21">
        <f t="shared" si="13"/>
        <v>1</v>
      </c>
    </row>
    <row r="71" spans="1:16" x14ac:dyDescent="0.25">
      <c r="A71" s="18" t="s">
        <v>212</v>
      </c>
      <c r="B71" s="19">
        <f>VLOOKUP(A71,Sheet1!$A$1:$B$350,2,FALSE)</f>
        <v>82</v>
      </c>
      <c r="C71" s="20" t="s">
        <v>211</v>
      </c>
      <c r="D71" s="19">
        <f>VLOOKUP(C71,Sheet1!$A$1:$B$350,2,FALSE)</f>
        <v>43</v>
      </c>
      <c r="E71" s="20" t="s">
        <v>213</v>
      </c>
      <c r="F71" s="19">
        <f>VLOOKUP(E71,Sheet1!$A$1:$B$350,2,FALSE)</f>
        <v>31</v>
      </c>
      <c r="H71" s="21">
        <f t="shared" si="7"/>
        <v>1</v>
      </c>
      <c r="I71" s="21">
        <f t="shared" si="8"/>
        <v>0</v>
      </c>
      <c r="J71" s="21">
        <f t="shared" si="9"/>
        <v>1</v>
      </c>
      <c r="K71" s="21">
        <f t="shared" si="10"/>
        <v>0</v>
      </c>
      <c r="L71" s="21">
        <f t="shared" si="11"/>
        <v>1</v>
      </c>
      <c r="M71" s="21">
        <f t="shared" si="12"/>
        <v>0</v>
      </c>
      <c r="N71" s="21">
        <f t="shared" si="13"/>
        <v>1</v>
      </c>
    </row>
    <row r="72" spans="1:16" x14ac:dyDescent="0.25">
      <c r="A72" s="18" t="s">
        <v>214</v>
      </c>
      <c r="B72" s="19">
        <f>VLOOKUP(A72,Sheet1!$A$1:$B$350,2,FALSE)</f>
        <v>2698</v>
      </c>
      <c r="C72" s="20" t="s">
        <v>215</v>
      </c>
      <c r="D72" s="19">
        <f>VLOOKUP(C72,Sheet1!$A$1:$B$350,2,FALSE)</f>
        <v>44</v>
      </c>
      <c r="E72" s="20" t="s">
        <v>216</v>
      </c>
      <c r="F72" s="19">
        <f>VLOOKUP(E72,Sheet1!$A$1:$B$350,2,FALSE)</f>
        <v>802</v>
      </c>
      <c r="H72" s="21">
        <f t="shared" si="7"/>
        <v>1</v>
      </c>
      <c r="I72" s="21">
        <f t="shared" si="8"/>
        <v>0</v>
      </c>
      <c r="J72" s="21">
        <f t="shared" si="9"/>
        <v>1</v>
      </c>
      <c r="K72" s="21">
        <f t="shared" si="10"/>
        <v>0</v>
      </c>
      <c r="L72" s="21">
        <f t="shared" si="11"/>
        <v>0</v>
      </c>
      <c r="M72" s="21">
        <f t="shared" si="12"/>
        <v>1</v>
      </c>
      <c r="N72" s="21">
        <f t="shared" si="13"/>
        <v>1</v>
      </c>
    </row>
    <row r="73" spans="1:16" x14ac:dyDescent="0.25">
      <c r="A73" s="18" t="s">
        <v>217</v>
      </c>
      <c r="B73" s="19">
        <f>VLOOKUP(A73,Sheet1!$A$1:$B$350,2,FALSE)</f>
        <v>2473</v>
      </c>
      <c r="C73" s="20" t="s">
        <v>218</v>
      </c>
      <c r="D73" s="19">
        <f>VLOOKUP(C73,Sheet1!$A$1:$B$350,2,FALSE)</f>
        <v>140</v>
      </c>
      <c r="E73" s="20" t="s">
        <v>219</v>
      </c>
      <c r="F73" s="19">
        <f>VLOOKUP(E73,Sheet1!$A$1:$B$350,2,FALSE)</f>
        <v>1272</v>
      </c>
      <c r="H73" s="21">
        <f t="shared" si="7"/>
        <v>1</v>
      </c>
      <c r="I73" s="21">
        <f t="shared" si="8"/>
        <v>0</v>
      </c>
      <c r="J73" s="21">
        <f t="shared" si="9"/>
        <v>1</v>
      </c>
      <c r="K73" s="21">
        <f t="shared" si="10"/>
        <v>0</v>
      </c>
      <c r="L73" s="21">
        <f t="shared" si="11"/>
        <v>0</v>
      </c>
      <c r="M73" s="21">
        <f t="shared" si="12"/>
        <v>1</v>
      </c>
      <c r="N73" s="21">
        <f t="shared" si="13"/>
        <v>1</v>
      </c>
    </row>
    <row r="74" spans="1:16" x14ac:dyDescent="0.25">
      <c r="A74" s="18" t="s">
        <v>221</v>
      </c>
      <c r="B74" s="19">
        <f>VLOOKUP(A74,Sheet1!$A$1:$B$350,2,FALSE)</f>
        <v>4248</v>
      </c>
      <c r="C74" s="20" t="s">
        <v>220</v>
      </c>
      <c r="D74" s="19">
        <f>VLOOKUP(C74,Sheet1!$A$1:$B$350,2,FALSE)</f>
        <v>5157</v>
      </c>
      <c r="E74" s="20" t="s">
        <v>436</v>
      </c>
      <c r="F74" s="19">
        <f>VLOOKUP(E74,Sheet1!$A$1:$B$350,2,FALSE)</f>
        <v>8196</v>
      </c>
      <c r="H74" s="21">
        <f t="shared" si="7"/>
        <v>0</v>
      </c>
      <c r="I74" s="21">
        <f t="shared" si="8"/>
        <v>1</v>
      </c>
      <c r="J74" s="21">
        <f t="shared" si="9"/>
        <v>0</v>
      </c>
      <c r="K74" s="21">
        <f t="shared" si="10"/>
        <v>1</v>
      </c>
      <c r="L74" s="21">
        <f t="shared" si="11"/>
        <v>0</v>
      </c>
      <c r="M74" s="21">
        <f t="shared" si="12"/>
        <v>1</v>
      </c>
      <c r="N74" s="21">
        <f t="shared" si="13"/>
        <v>1</v>
      </c>
    </row>
    <row r="75" spans="1:16" x14ac:dyDescent="0.25">
      <c r="A75" s="18" t="s">
        <v>222</v>
      </c>
      <c r="B75" s="19">
        <f>VLOOKUP(A75,Sheet1!$A$1:$B$350,2,FALSE)</f>
        <v>58</v>
      </c>
      <c r="C75" s="20" t="s">
        <v>223</v>
      </c>
      <c r="D75" s="19">
        <f>VLOOKUP(C75,Sheet1!$A$1:$B$350,2,FALSE)</f>
        <v>988</v>
      </c>
      <c r="E75" s="20" t="s">
        <v>224</v>
      </c>
      <c r="F75" s="19">
        <f>VLOOKUP(E75,Sheet1!$A$1:$B$350,2,FALSE)</f>
        <v>1412</v>
      </c>
      <c r="H75" s="21">
        <f t="shared" si="7"/>
        <v>0</v>
      </c>
      <c r="I75" s="21">
        <f t="shared" si="8"/>
        <v>1</v>
      </c>
      <c r="J75" s="21">
        <f t="shared" si="9"/>
        <v>0</v>
      </c>
      <c r="K75" s="21">
        <f t="shared" si="10"/>
        <v>1</v>
      </c>
      <c r="L75" s="21">
        <f t="shared" si="11"/>
        <v>0</v>
      </c>
      <c r="M75" s="21">
        <f t="shared" si="12"/>
        <v>1</v>
      </c>
      <c r="N75" s="21">
        <f t="shared" si="13"/>
        <v>1</v>
      </c>
    </row>
    <row r="76" spans="1:16" x14ac:dyDescent="0.25">
      <c r="A76" s="18" t="s">
        <v>226</v>
      </c>
      <c r="B76" s="19">
        <f>VLOOKUP(A76,Sheet1!$A$1:$B$350,2,FALSE)</f>
        <v>69</v>
      </c>
      <c r="C76" s="20" t="s">
        <v>225</v>
      </c>
      <c r="D76" s="19">
        <f>VLOOKUP(C76,Sheet1!$A$1:$B$350,2,FALSE)</f>
        <v>40</v>
      </c>
      <c r="E76" s="20" t="s">
        <v>227</v>
      </c>
      <c r="F76" s="19">
        <f>VLOOKUP(E76,Sheet1!$A$1:$B$350,2,FALSE)</f>
        <v>13</v>
      </c>
      <c r="H76" s="21">
        <f t="shared" si="7"/>
        <v>1</v>
      </c>
      <c r="I76" s="21">
        <f t="shared" si="8"/>
        <v>0</v>
      </c>
      <c r="J76" s="21">
        <f t="shared" si="9"/>
        <v>1</v>
      </c>
      <c r="K76" s="21">
        <f t="shared" si="10"/>
        <v>0</v>
      </c>
      <c r="L76" s="21">
        <f t="shared" si="11"/>
        <v>1</v>
      </c>
      <c r="M76" s="21">
        <f t="shared" si="12"/>
        <v>0</v>
      </c>
      <c r="N76" s="21">
        <f t="shared" si="13"/>
        <v>1</v>
      </c>
    </row>
    <row r="77" spans="1:16" x14ac:dyDescent="0.25">
      <c r="A77" s="18" t="s">
        <v>228</v>
      </c>
      <c r="B77" s="19">
        <f>VLOOKUP(A77,Sheet1!$A$1:$B$350,2,FALSE)</f>
        <v>505</v>
      </c>
      <c r="C77" s="20" t="s">
        <v>229</v>
      </c>
      <c r="D77" s="19">
        <f>VLOOKUP(C77,Sheet1!$A$1:$B$350,2,FALSE)</f>
        <v>10</v>
      </c>
      <c r="E77" s="20" t="s">
        <v>230</v>
      </c>
      <c r="F77" s="19">
        <f>VLOOKUP(E77,Sheet1!$A$1:$B$350,2,FALSE)</f>
        <v>155</v>
      </c>
      <c r="H77" s="21">
        <f t="shared" si="7"/>
        <v>1</v>
      </c>
      <c r="I77" s="21">
        <f t="shared" si="8"/>
        <v>0</v>
      </c>
      <c r="J77" s="21">
        <f t="shared" si="9"/>
        <v>1</v>
      </c>
      <c r="K77" s="21">
        <f t="shared" si="10"/>
        <v>0</v>
      </c>
      <c r="L77" s="21">
        <f t="shared" si="11"/>
        <v>0</v>
      </c>
      <c r="M77" s="21">
        <f t="shared" si="12"/>
        <v>1</v>
      </c>
      <c r="N77" s="21">
        <f t="shared" si="13"/>
        <v>1</v>
      </c>
    </row>
    <row r="78" spans="1:16" x14ac:dyDescent="0.25">
      <c r="A78" s="18" t="s">
        <v>231</v>
      </c>
      <c r="B78" s="19">
        <f>VLOOKUP(A78,Sheet1!$A$1:$B$350,2,FALSE)</f>
        <v>529</v>
      </c>
      <c r="C78" s="20" t="s">
        <v>232</v>
      </c>
      <c r="D78" s="19">
        <f>VLOOKUP(C78,Sheet1!$A$1:$B$350,2,FALSE)</f>
        <v>564</v>
      </c>
      <c r="E78" s="30" t="s">
        <v>482</v>
      </c>
      <c r="F78" s="19">
        <f>VLOOKUP(E78,Sheet1!$A$1:$B$350,2,FALSE)</f>
        <v>819</v>
      </c>
      <c r="H78" s="21">
        <f t="shared" si="7"/>
        <v>0</v>
      </c>
      <c r="I78" s="21">
        <f t="shared" si="8"/>
        <v>1</v>
      </c>
      <c r="J78" s="21">
        <f t="shared" si="9"/>
        <v>0</v>
      </c>
      <c r="K78" s="21">
        <f t="shared" si="10"/>
        <v>1</v>
      </c>
      <c r="L78" s="21">
        <f t="shared" si="11"/>
        <v>0</v>
      </c>
      <c r="M78" s="21">
        <f t="shared" si="12"/>
        <v>1</v>
      </c>
      <c r="N78" s="21">
        <f t="shared" si="13"/>
        <v>1</v>
      </c>
      <c r="P78" s="21" t="s">
        <v>448</v>
      </c>
    </row>
    <row r="79" spans="1:16" x14ac:dyDescent="0.25">
      <c r="A79" s="18" t="s">
        <v>233</v>
      </c>
      <c r="B79" s="19">
        <f>VLOOKUP(A79,Sheet1!$A$1:$B$350,2,FALSE)</f>
        <v>25</v>
      </c>
      <c r="C79" s="20" t="s">
        <v>234</v>
      </c>
      <c r="D79" s="19">
        <f>VLOOKUP(C79,Sheet1!$A$1:$B$350,2,FALSE)</f>
        <v>128</v>
      </c>
      <c r="E79" s="20" t="s">
        <v>235</v>
      </c>
      <c r="F79" s="19">
        <f>VLOOKUP(E79,Sheet1!$A$1:$B$350,2,FALSE)</f>
        <v>195</v>
      </c>
      <c r="H79" s="21">
        <f t="shared" si="7"/>
        <v>0</v>
      </c>
      <c r="I79" s="21">
        <f t="shared" si="8"/>
        <v>1</v>
      </c>
      <c r="J79" s="21">
        <f t="shared" si="9"/>
        <v>0</v>
      </c>
      <c r="K79" s="21">
        <f t="shared" si="10"/>
        <v>1</v>
      </c>
      <c r="L79" s="21">
        <f t="shared" si="11"/>
        <v>0</v>
      </c>
      <c r="M79" s="21">
        <f t="shared" si="12"/>
        <v>1</v>
      </c>
      <c r="N79" s="21">
        <f t="shared" si="13"/>
        <v>1</v>
      </c>
    </row>
    <row r="80" spans="1:16" x14ac:dyDescent="0.25">
      <c r="A80" s="18" t="s">
        <v>239</v>
      </c>
      <c r="B80" s="19">
        <f>VLOOKUP(A80,Sheet1!$A$1:$B$350,2,FALSE)</f>
        <v>511</v>
      </c>
      <c r="C80" s="20" t="s">
        <v>240</v>
      </c>
      <c r="D80" s="19">
        <f>VLOOKUP(C80,Sheet1!$A$1:$B$350,2,FALSE)</f>
        <v>369</v>
      </c>
      <c r="E80" s="20" t="s">
        <v>241</v>
      </c>
      <c r="F80" s="19">
        <f>VLOOKUP(E80,Sheet1!$A$1:$B$350,2,FALSE)</f>
        <v>46</v>
      </c>
      <c r="H80" s="21">
        <f t="shared" si="7"/>
        <v>1</v>
      </c>
      <c r="I80" s="21">
        <f t="shared" si="8"/>
        <v>0</v>
      </c>
      <c r="J80" s="21">
        <f t="shared" si="9"/>
        <v>1</v>
      </c>
      <c r="K80" s="21">
        <f t="shared" si="10"/>
        <v>0</v>
      </c>
      <c r="L80" s="21">
        <f t="shared" si="11"/>
        <v>1</v>
      </c>
      <c r="M80" s="21">
        <f t="shared" si="12"/>
        <v>0</v>
      </c>
      <c r="N80" s="21">
        <f t="shared" si="13"/>
        <v>1</v>
      </c>
    </row>
    <row r="81" spans="1:16" x14ac:dyDescent="0.25">
      <c r="A81" s="18" t="s">
        <v>236</v>
      </c>
      <c r="B81" s="19">
        <f>VLOOKUP(A81,Sheet1!$A$1:$B$350,2,FALSE)</f>
        <v>67</v>
      </c>
      <c r="C81" s="20" t="s">
        <v>237</v>
      </c>
      <c r="D81" s="19">
        <f>VLOOKUP(C81,Sheet1!$A$1:$B$350,2,FALSE)</f>
        <v>2072</v>
      </c>
      <c r="E81" s="24" t="s">
        <v>483</v>
      </c>
      <c r="F81" s="19">
        <f>VLOOKUP(E81,Sheet1!$A$1:$B$350,2,FALSE)</f>
        <v>338</v>
      </c>
      <c r="H81" s="21">
        <f t="shared" si="7"/>
        <v>0</v>
      </c>
      <c r="I81" s="21">
        <f t="shared" si="8"/>
        <v>1</v>
      </c>
      <c r="J81" s="21">
        <f t="shared" si="9"/>
        <v>0</v>
      </c>
      <c r="K81" s="21">
        <f t="shared" si="10"/>
        <v>1</v>
      </c>
      <c r="L81" s="21">
        <f t="shared" si="11"/>
        <v>1</v>
      </c>
      <c r="M81" s="21">
        <f t="shared" si="12"/>
        <v>0</v>
      </c>
      <c r="N81" s="21">
        <f t="shared" si="13"/>
        <v>1</v>
      </c>
    </row>
    <row r="82" spans="1:16" x14ac:dyDescent="0.25">
      <c r="A82" s="18" t="s">
        <v>242</v>
      </c>
      <c r="B82" s="19">
        <f>VLOOKUP(A82,Sheet1!$A$1:$B$350,2,FALSE)</f>
        <v>1253</v>
      </c>
      <c r="C82" s="20" t="s">
        <v>243</v>
      </c>
      <c r="D82" s="19">
        <f>VLOOKUP(C82,Sheet1!$A$1:$B$350,2,FALSE)</f>
        <v>666</v>
      </c>
      <c r="E82" s="20" t="s">
        <v>244</v>
      </c>
      <c r="F82" s="19">
        <f>VLOOKUP(E82,Sheet1!$A$1:$B$350,2,FALSE)</f>
        <v>14</v>
      </c>
      <c r="H82" s="21">
        <f t="shared" si="7"/>
        <v>1</v>
      </c>
      <c r="I82" s="21">
        <f t="shared" si="8"/>
        <v>0</v>
      </c>
      <c r="J82" s="21">
        <f t="shared" si="9"/>
        <v>1</v>
      </c>
      <c r="K82" s="21">
        <f t="shared" si="10"/>
        <v>0</v>
      </c>
      <c r="L82" s="21">
        <f t="shared" si="11"/>
        <v>1</v>
      </c>
      <c r="M82" s="21">
        <f t="shared" si="12"/>
        <v>0</v>
      </c>
      <c r="N82" s="21">
        <f t="shared" si="13"/>
        <v>1</v>
      </c>
    </row>
    <row r="83" spans="1:16" x14ac:dyDescent="0.25">
      <c r="A83" s="18" t="s">
        <v>245</v>
      </c>
      <c r="B83" s="19">
        <f>VLOOKUP(A83,Sheet1!$A$1:$B$350,2,FALSE)</f>
        <v>766</v>
      </c>
      <c r="C83" s="20" t="s">
        <v>238</v>
      </c>
      <c r="D83" s="19">
        <f>VLOOKUP(C83,Sheet1!$A$1:$B$350,2,FALSE)</f>
        <v>4821</v>
      </c>
      <c r="E83" s="20" t="s">
        <v>246</v>
      </c>
      <c r="F83" s="19">
        <f>VLOOKUP(E83,Sheet1!$A$1:$B$350,2,FALSE)</f>
        <v>1126</v>
      </c>
      <c r="H83" s="21">
        <f t="shared" si="7"/>
        <v>0</v>
      </c>
      <c r="I83" s="21">
        <f t="shared" si="8"/>
        <v>1</v>
      </c>
      <c r="J83" s="21">
        <f t="shared" si="9"/>
        <v>0</v>
      </c>
      <c r="K83" s="21">
        <f t="shared" si="10"/>
        <v>1</v>
      </c>
      <c r="L83" s="21">
        <f t="shared" si="11"/>
        <v>1</v>
      </c>
      <c r="M83" s="21">
        <f t="shared" si="12"/>
        <v>0</v>
      </c>
      <c r="N83" s="21">
        <f t="shared" si="13"/>
        <v>1</v>
      </c>
      <c r="P83" s="31" t="s">
        <v>440</v>
      </c>
    </row>
    <row r="84" spans="1:16" x14ac:dyDescent="0.25">
      <c r="A84" s="18" t="s">
        <v>247</v>
      </c>
      <c r="B84" s="19">
        <f>VLOOKUP(A84,Sheet1!$A$1:$B$350,2,FALSE)</f>
        <v>1685</v>
      </c>
      <c r="C84" s="20" t="s">
        <v>248</v>
      </c>
      <c r="D84" s="19">
        <f>VLOOKUP(C84,Sheet1!$A$1:$B$350,2,FALSE)</f>
        <v>200</v>
      </c>
      <c r="E84" s="23" t="s">
        <v>484</v>
      </c>
      <c r="F84" s="19">
        <f>VLOOKUP(E84,Sheet1!$A$1:$B$350,2,FALSE)</f>
        <v>1505</v>
      </c>
      <c r="H84" s="21">
        <f t="shared" si="7"/>
        <v>1</v>
      </c>
      <c r="I84" s="21">
        <f t="shared" si="8"/>
        <v>0</v>
      </c>
      <c r="J84" s="21">
        <f t="shared" si="9"/>
        <v>1</v>
      </c>
      <c r="K84" s="21">
        <f t="shared" si="10"/>
        <v>0</v>
      </c>
      <c r="L84" s="21">
        <f t="shared" si="11"/>
        <v>0</v>
      </c>
      <c r="M84" s="21">
        <f t="shared" si="12"/>
        <v>1</v>
      </c>
      <c r="N84" s="21">
        <f t="shared" si="13"/>
        <v>1</v>
      </c>
    </row>
    <row r="85" spans="1:16" x14ac:dyDescent="0.25">
      <c r="A85" s="18" t="s">
        <v>249</v>
      </c>
      <c r="B85" s="19">
        <f>VLOOKUP(A85,Sheet1!$A$1:$B$350,2,FALSE)</f>
        <v>282</v>
      </c>
      <c r="C85" s="20" t="s">
        <v>250</v>
      </c>
      <c r="D85" s="19">
        <f>VLOOKUP(C85,Sheet1!$A$1:$B$350,2,FALSE)</f>
        <v>1094</v>
      </c>
      <c r="E85" s="20" t="s">
        <v>251</v>
      </c>
      <c r="F85" s="19">
        <f>VLOOKUP(E85,Sheet1!$A$1:$B$350,2,FALSE)</f>
        <v>370</v>
      </c>
      <c r="H85" s="21">
        <f t="shared" si="7"/>
        <v>0</v>
      </c>
      <c r="I85" s="21">
        <f t="shared" si="8"/>
        <v>1</v>
      </c>
      <c r="J85" s="21">
        <f t="shared" si="9"/>
        <v>0</v>
      </c>
      <c r="K85" s="21">
        <f t="shared" si="10"/>
        <v>1</v>
      </c>
      <c r="L85" s="21">
        <f t="shared" si="11"/>
        <v>1</v>
      </c>
      <c r="M85" s="21">
        <f t="shared" si="12"/>
        <v>0</v>
      </c>
      <c r="N85" s="21">
        <f t="shared" si="13"/>
        <v>1</v>
      </c>
    </row>
    <row r="86" spans="1:16" x14ac:dyDescent="0.25">
      <c r="A86" s="32" t="s">
        <v>451</v>
      </c>
      <c r="B86" s="19">
        <f>VLOOKUP(A86,Sheet1!$A$1:$B$350,2,FALSE)</f>
        <v>31</v>
      </c>
      <c r="C86" s="33" t="s">
        <v>452</v>
      </c>
      <c r="D86" s="19">
        <f>VLOOKUP(C86,Sheet1!$A$1:$B$350,2,FALSE)</f>
        <v>214</v>
      </c>
      <c r="E86" s="28" t="s">
        <v>453</v>
      </c>
      <c r="F86" s="19">
        <f>VLOOKUP(E86,Sheet1!$A$1:$B$350,2,FALSE)</f>
        <v>64</v>
      </c>
      <c r="H86" s="21">
        <f t="shared" si="7"/>
        <v>0</v>
      </c>
      <c r="I86" s="21">
        <f t="shared" si="8"/>
        <v>1</v>
      </c>
      <c r="J86" s="21">
        <f t="shared" si="9"/>
        <v>0</v>
      </c>
      <c r="K86" s="21">
        <f t="shared" si="10"/>
        <v>1</v>
      </c>
      <c r="L86" s="21">
        <f t="shared" si="11"/>
        <v>1</v>
      </c>
      <c r="M86" s="21">
        <f t="shared" si="12"/>
        <v>0</v>
      </c>
      <c r="N86" s="21">
        <f t="shared" si="13"/>
        <v>1</v>
      </c>
    </row>
    <row r="87" spans="1:16" x14ac:dyDescent="0.25">
      <c r="A87" s="18" t="s">
        <v>252</v>
      </c>
      <c r="B87" s="19">
        <f>VLOOKUP(A87,Sheet1!$A$1:$B$350,2,FALSE)</f>
        <v>444</v>
      </c>
      <c r="C87" s="20" t="s">
        <v>253</v>
      </c>
      <c r="D87" s="19">
        <f>VLOOKUP(C87,Sheet1!$A$1:$B$350,2,FALSE)</f>
        <v>475</v>
      </c>
      <c r="E87" s="20" t="s">
        <v>254</v>
      </c>
      <c r="F87" s="19">
        <f>VLOOKUP(E87,Sheet1!$A$1:$B$350,2,FALSE)</f>
        <v>622</v>
      </c>
      <c r="G87" s="19"/>
      <c r="H87" s="21">
        <f t="shared" si="7"/>
        <v>0</v>
      </c>
      <c r="I87" s="21">
        <f t="shared" si="8"/>
        <v>1</v>
      </c>
      <c r="J87" s="21">
        <f t="shared" si="9"/>
        <v>0</v>
      </c>
      <c r="K87" s="21">
        <f t="shared" si="10"/>
        <v>1</v>
      </c>
      <c r="L87" s="21">
        <f t="shared" si="11"/>
        <v>0</v>
      </c>
      <c r="M87" s="21">
        <f t="shared" si="12"/>
        <v>1</v>
      </c>
      <c r="N87" s="21">
        <f t="shared" si="13"/>
        <v>1</v>
      </c>
    </row>
    <row r="88" spans="1:16" x14ac:dyDescent="0.25">
      <c r="A88" s="18" t="s">
        <v>255</v>
      </c>
      <c r="B88" s="19">
        <f>VLOOKUP(A88,Sheet1!$A$1:$B$350,2,FALSE)</f>
        <v>73</v>
      </c>
      <c r="C88" s="20" t="s">
        <v>256</v>
      </c>
      <c r="D88" s="19">
        <f>VLOOKUP(C88,Sheet1!$A$1:$B$350,2,FALSE)</f>
        <v>15</v>
      </c>
      <c r="E88" s="20" t="s">
        <v>257</v>
      </c>
      <c r="F88" s="19">
        <f>VLOOKUP(E88,Sheet1!$A$1:$B$350,2,FALSE)</f>
        <v>2</v>
      </c>
      <c r="H88" s="21">
        <f t="shared" si="7"/>
        <v>1</v>
      </c>
      <c r="I88" s="21">
        <f t="shared" si="8"/>
        <v>0</v>
      </c>
      <c r="J88" s="21">
        <f t="shared" si="9"/>
        <v>1</v>
      </c>
      <c r="K88" s="21">
        <f t="shared" si="10"/>
        <v>0</v>
      </c>
      <c r="L88" s="21">
        <f t="shared" si="11"/>
        <v>1</v>
      </c>
      <c r="M88" s="21">
        <f t="shared" si="12"/>
        <v>0</v>
      </c>
      <c r="N88" s="21">
        <f t="shared" si="13"/>
        <v>1</v>
      </c>
    </row>
    <row r="89" spans="1:16" x14ac:dyDescent="0.25">
      <c r="A89" s="18" t="s">
        <v>258</v>
      </c>
      <c r="B89" s="19">
        <f>VLOOKUP(A89,Sheet1!$A$1:$B$350,2,FALSE)</f>
        <v>3141</v>
      </c>
      <c r="C89" s="20" t="s">
        <v>259</v>
      </c>
      <c r="D89" s="19">
        <f>VLOOKUP(C89,Sheet1!$A$1:$B$350,2,FALSE)</f>
        <v>2763</v>
      </c>
      <c r="E89" s="20" t="s">
        <v>260</v>
      </c>
      <c r="F89" s="19">
        <f>VLOOKUP(E89,Sheet1!$A$1:$B$350,2,FALSE)</f>
        <v>860</v>
      </c>
      <c r="H89" s="21">
        <f t="shared" si="7"/>
        <v>1</v>
      </c>
      <c r="I89" s="21">
        <f t="shared" si="8"/>
        <v>0</v>
      </c>
      <c r="J89" s="21">
        <f t="shared" si="9"/>
        <v>1</v>
      </c>
      <c r="K89" s="21">
        <f t="shared" si="10"/>
        <v>0</v>
      </c>
      <c r="L89" s="21">
        <f t="shared" si="11"/>
        <v>1</v>
      </c>
      <c r="M89" s="21">
        <f t="shared" si="12"/>
        <v>0</v>
      </c>
      <c r="N89" s="21">
        <f t="shared" si="13"/>
        <v>1</v>
      </c>
    </row>
    <row r="90" spans="1:16" x14ac:dyDescent="0.25">
      <c r="A90" s="18" t="s">
        <v>261</v>
      </c>
      <c r="B90" s="19">
        <f>VLOOKUP(A90,Sheet1!$A$1:$B$350,2,FALSE)</f>
        <v>1</v>
      </c>
      <c r="C90" s="20" t="s">
        <v>262</v>
      </c>
      <c r="D90" s="19">
        <f>VLOOKUP(C90,Sheet1!$A$1:$B$350,2,FALSE)</f>
        <v>29</v>
      </c>
      <c r="E90" s="24" t="s">
        <v>485</v>
      </c>
      <c r="F90" s="19">
        <f>VLOOKUP(E90,Sheet1!$A$1:$B$350,2,FALSE)</f>
        <v>159</v>
      </c>
      <c r="H90" s="21">
        <f t="shared" si="7"/>
        <v>0</v>
      </c>
      <c r="I90" s="21">
        <f t="shared" si="8"/>
        <v>1</v>
      </c>
      <c r="J90" s="21">
        <f t="shared" si="9"/>
        <v>0</v>
      </c>
      <c r="K90" s="21">
        <f t="shared" si="10"/>
        <v>1</v>
      </c>
      <c r="L90" s="21">
        <f t="shared" si="11"/>
        <v>0</v>
      </c>
      <c r="M90" s="21">
        <f t="shared" si="12"/>
        <v>1</v>
      </c>
      <c r="N90" s="21">
        <f t="shared" si="13"/>
        <v>1</v>
      </c>
    </row>
    <row r="91" spans="1:16" x14ac:dyDescent="0.25">
      <c r="A91" s="18" t="s">
        <v>263</v>
      </c>
      <c r="B91" s="19">
        <f>VLOOKUP(A91,Sheet1!$A$1:$B$350,2,FALSE)</f>
        <v>0</v>
      </c>
      <c r="C91" s="20" t="s">
        <v>264</v>
      </c>
      <c r="D91" s="19">
        <f>VLOOKUP(C91,Sheet1!$A$1:$B$350,2,FALSE)</f>
        <v>161</v>
      </c>
      <c r="E91" s="20" t="s">
        <v>265</v>
      </c>
      <c r="F91" s="19">
        <f>VLOOKUP(E91,Sheet1!$A$1:$B$350,2,FALSE)</f>
        <v>435</v>
      </c>
      <c r="H91" s="21">
        <f t="shared" si="7"/>
        <v>0</v>
      </c>
      <c r="I91" s="21">
        <f t="shared" si="8"/>
        <v>1</v>
      </c>
      <c r="J91" s="21">
        <f t="shared" si="9"/>
        <v>0</v>
      </c>
      <c r="K91" s="21">
        <f t="shared" si="10"/>
        <v>1</v>
      </c>
      <c r="L91" s="21">
        <f t="shared" si="11"/>
        <v>0</v>
      </c>
      <c r="M91" s="21">
        <f t="shared" si="12"/>
        <v>1</v>
      </c>
      <c r="N91" s="21">
        <f t="shared" si="13"/>
        <v>1</v>
      </c>
    </row>
    <row r="92" spans="1:16" x14ac:dyDescent="0.25">
      <c r="A92" s="18" t="s">
        <v>267</v>
      </c>
      <c r="B92" s="19">
        <f>VLOOKUP(A92,Sheet1!$A$1:$B$350,2,FALSE)</f>
        <v>1</v>
      </c>
      <c r="C92" s="20" t="s">
        <v>266</v>
      </c>
      <c r="D92" s="19">
        <f>VLOOKUP(C92,Sheet1!$A$1:$B$350,2,FALSE)</f>
        <v>7</v>
      </c>
      <c r="E92" s="20" t="s">
        <v>268</v>
      </c>
      <c r="F92" s="19">
        <f>VLOOKUP(E92,Sheet1!$A$1:$B$350,2,FALSE)</f>
        <v>13</v>
      </c>
      <c r="H92" s="21">
        <f t="shared" si="7"/>
        <v>0</v>
      </c>
      <c r="I92" s="21">
        <f t="shared" si="8"/>
        <v>1</v>
      </c>
      <c r="J92" s="21">
        <f t="shared" si="9"/>
        <v>0</v>
      </c>
      <c r="K92" s="21">
        <f t="shared" si="10"/>
        <v>1</v>
      </c>
      <c r="L92" s="21">
        <f t="shared" si="11"/>
        <v>0</v>
      </c>
      <c r="M92" s="21">
        <f t="shared" si="12"/>
        <v>1</v>
      </c>
      <c r="N92" s="21">
        <f t="shared" si="13"/>
        <v>1</v>
      </c>
    </row>
    <row r="93" spans="1:16" x14ac:dyDescent="0.25">
      <c r="A93" s="18" t="s">
        <v>269</v>
      </c>
      <c r="B93" s="19">
        <f>VLOOKUP(A93,Sheet1!$A$1:$B$350,2,FALSE)</f>
        <v>0</v>
      </c>
      <c r="C93" s="20" t="s">
        <v>270</v>
      </c>
      <c r="D93" s="19">
        <f>VLOOKUP(C93,Sheet1!$A$1:$B$350,2,FALSE)</f>
        <v>0</v>
      </c>
      <c r="E93" s="20" t="s">
        <v>271</v>
      </c>
      <c r="F93" s="19">
        <f>VLOOKUP(E93,Sheet1!$A$1:$B$350,2,FALSE)</f>
        <v>63</v>
      </c>
      <c r="H93" s="21">
        <f t="shared" si="7"/>
        <v>0</v>
      </c>
      <c r="I93" s="21">
        <f t="shared" si="8"/>
        <v>0</v>
      </c>
      <c r="J93" s="21">
        <f t="shared" si="9"/>
        <v>0</v>
      </c>
      <c r="K93" s="21">
        <f t="shared" si="10"/>
        <v>1</v>
      </c>
      <c r="L93" s="21">
        <f t="shared" si="11"/>
        <v>0</v>
      </c>
      <c r="M93" s="21">
        <f t="shared" si="12"/>
        <v>1</v>
      </c>
      <c r="N93" s="21">
        <f t="shared" si="13"/>
        <v>0</v>
      </c>
    </row>
    <row r="94" spans="1:16" x14ac:dyDescent="0.25">
      <c r="A94" s="20" t="s">
        <v>272</v>
      </c>
      <c r="B94" s="19">
        <f>VLOOKUP(A94,Sheet1!$A$1:$B$350,2,FALSE)</f>
        <v>6</v>
      </c>
      <c r="C94" s="20" t="s">
        <v>273</v>
      </c>
      <c r="D94" s="19">
        <f>VLOOKUP(C94,Sheet1!$A$1:$B$350,2,FALSE)</f>
        <v>113</v>
      </c>
      <c r="E94" s="20" t="s">
        <v>274</v>
      </c>
      <c r="F94" s="19">
        <f>VLOOKUP(E94,Sheet1!$A$1:$B$350,2,FALSE)</f>
        <v>190</v>
      </c>
      <c r="H94" s="21">
        <f t="shared" si="7"/>
        <v>0</v>
      </c>
      <c r="I94" s="21">
        <f t="shared" si="8"/>
        <v>1</v>
      </c>
      <c r="J94" s="21">
        <f t="shared" si="9"/>
        <v>0</v>
      </c>
      <c r="K94" s="21">
        <f t="shared" si="10"/>
        <v>1</v>
      </c>
      <c r="L94" s="21">
        <f t="shared" si="11"/>
        <v>0</v>
      </c>
      <c r="M94" s="21">
        <f t="shared" si="12"/>
        <v>1</v>
      </c>
      <c r="N94" s="21">
        <f t="shared" si="13"/>
        <v>1</v>
      </c>
    </row>
    <row r="95" spans="1:16" x14ac:dyDescent="0.25">
      <c r="A95" s="37" t="s">
        <v>458</v>
      </c>
      <c r="B95" s="19">
        <f>VLOOKUP(A95,Sheet1!$A$1:$B$350,2,FALSE)</f>
        <v>315</v>
      </c>
      <c r="C95" s="36" t="s">
        <v>459</v>
      </c>
      <c r="D95" s="19">
        <f>VLOOKUP(C95,Sheet1!$A$1:$B$350,2,FALSE)</f>
        <v>550</v>
      </c>
      <c r="E95" s="35" t="s">
        <v>486</v>
      </c>
      <c r="F95" s="19">
        <f>VLOOKUP(E95,Sheet1!$A$1:$B$350,2,FALSE)</f>
        <v>919</v>
      </c>
      <c r="H95" s="21">
        <f t="shared" si="7"/>
        <v>0</v>
      </c>
      <c r="I95" s="21">
        <f t="shared" si="8"/>
        <v>1</v>
      </c>
      <c r="J95" s="21">
        <f t="shared" si="9"/>
        <v>0</v>
      </c>
      <c r="K95" s="21">
        <f t="shared" si="10"/>
        <v>1</v>
      </c>
      <c r="L95" s="21">
        <f t="shared" si="11"/>
        <v>0</v>
      </c>
      <c r="M95" s="21">
        <f t="shared" si="12"/>
        <v>1</v>
      </c>
      <c r="N95" s="21">
        <f t="shared" si="13"/>
        <v>1</v>
      </c>
    </row>
    <row r="96" spans="1:16" x14ac:dyDescent="0.25">
      <c r="A96" s="35" t="s">
        <v>461</v>
      </c>
      <c r="B96" s="19">
        <f>VLOOKUP(A96,Sheet1!$A$1:$B$350,2,FALSE)</f>
        <v>82</v>
      </c>
      <c r="C96" s="36" t="s">
        <v>460</v>
      </c>
      <c r="D96" s="19">
        <f>VLOOKUP(C96,Sheet1!$A$1:$B$350,2,FALSE)</f>
        <v>1519</v>
      </c>
      <c r="E96" s="35" t="s">
        <v>487</v>
      </c>
      <c r="F96" s="19">
        <f>VLOOKUP(E96,Sheet1!$A$1:$B$350,2,FALSE)</f>
        <v>37293</v>
      </c>
      <c r="H96" s="21">
        <f t="shared" si="7"/>
        <v>0</v>
      </c>
      <c r="I96" s="21">
        <f t="shared" si="8"/>
        <v>1</v>
      </c>
      <c r="J96" s="21">
        <f t="shared" si="9"/>
        <v>0</v>
      </c>
      <c r="K96" s="21">
        <f t="shared" si="10"/>
        <v>1</v>
      </c>
      <c r="L96" s="21">
        <f t="shared" si="11"/>
        <v>0</v>
      </c>
      <c r="M96" s="21">
        <f t="shared" si="12"/>
        <v>1</v>
      </c>
      <c r="N96" s="21">
        <f t="shared" si="13"/>
        <v>1</v>
      </c>
    </row>
    <row r="97" spans="1:14" x14ac:dyDescent="0.25">
      <c r="A97" s="36" t="s">
        <v>463</v>
      </c>
      <c r="B97" s="19">
        <f>VLOOKUP(A97,Sheet1!$A$1:$B$350,2,FALSE)</f>
        <v>163</v>
      </c>
      <c r="C97" s="37" t="s">
        <v>462</v>
      </c>
      <c r="D97" s="19">
        <f>VLOOKUP(C97,Sheet1!$A$1:$B$350,2,FALSE)</f>
        <v>218</v>
      </c>
      <c r="E97" s="35" t="s">
        <v>488</v>
      </c>
      <c r="F97" s="19">
        <f>VLOOKUP(E97,Sheet1!$A$1:$B$350,2,FALSE)</f>
        <v>62</v>
      </c>
      <c r="H97" s="21">
        <f t="shared" si="7"/>
        <v>0</v>
      </c>
      <c r="I97" s="21">
        <f t="shared" si="8"/>
        <v>1</v>
      </c>
      <c r="J97" s="21">
        <f t="shared" si="9"/>
        <v>1</v>
      </c>
      <c r="K97" s="21">
        <f t="shared" si="10"/>
        <v>0</v>
      </c>
      <c r="L97" s="21">
        <f t="shared" si="11"/>
        <v>1</v>
      </c>
      <c r="M97" s="21">
        <f t="shared" si="12"/>
        <v>0</v>
      </c>
      <c r="N97" s="21">
        <f t="shared" si="13"/>
        <v>0</v>
      </c>
    </row>
    <row r="98" spans="1:14" x14ac:dyDescent="0.25">
      <c r="A98" s="37" t="s">
        <v>464</v>
      </c>
      <c r="B98" s="19">
        <f>VLOOKUP(A98,Sheet1!$A$1:$B$350,2,FALSE)</f>
        <v>474</v>
      </c>
      <c r="C98" s="36" t="s">
        <v>465</v>
      </c>
      <c r="D98" s="19">
        <f>VLOOKUP(C98,Sheet1!$A$1:$B$350,2,FALSE)</f>
        <v>925</v>
      </c>
      <c r="E98" s="35" t="s">
        <v>489</v>
      </c>
      <c r="F98" s="19">
        <f>VLOOKUP(E98,Sheet1!$A$1:$B$350,2,FALSE)</f>
        <v>2893</v>
      </c>
      <c r="H98" s="21">
        <f t="shared" si="7"/>
        <v>0</v>
      </c>
      <c r="I98" s="21">
        <f t="shared" si="8"/>
        <v>1</v>
      </c>
      <c r="J98" s="21">
        <f t="shared" si="9"/>
        <v>0</v>
      </c>
      <c r="K98" s="21">
        <f t="shared" si="10"/>
        <v>1</v>
      </c>
      <c r="L98" s="21">
        <f t="shared" si="11"/>
        <v>0</v>
      </c>
      <c r="M98" s="21">
        <f t="shared" si="12"/>
        <v>1</v>
      </c>
      <c r="N98" s="21">
        <f t="shared" si="13"/>
        <v>1</v>
      </c>
    </row>
    <row r="99" spans="1:14" x14ac:dyDescent="0.25">
      <c r="A99" s="36" t="s">
        <v>467</v>
      </c>
      <c r="B99" s="19">
        <f>VLOOKUP(A99,Sheet1!$A$1:$B$350,2,FALSE)</f>
        <v>97</v>
      </c>
      <c r="C99" s="37" t="s">
        <v>466</v>
      </c>
      <c r="D99" s="19">
        <f>VLOOKUP(C99,Sheet1!$A$1:$B$350,2,FALSE)</f>
        <v>380</v>
      </c>
      <c r="E99" s="35" t="s">
        <v>490</v>
      </c>
      <c r="F99" s="19">
        <f>VLOOKUP(E99,Sheet1!$A$1:$B$350,2,FALSE)</f>
        <v>688</v>
      </c>
      <c r="H99" s="21">
        <f t="shared" si="7"/>
        <v>0</v>
      </c>
      <c r="I99" s="21">
        <f t="shared" si="8"/>
        <v>1</v>
      </c>
      <c r="J99" s="21">
        <f t="shared" si="9"/>
        <v>0</v>
      </c>
      <c r="K99" s="21">
        <f t="shared" si="10"/>
        <v>1</v>
      </c>
      <c r="L99" s="21">
        <f t="shared" si="11"/>
        <v>0</v>
      </c>
      <c r="M99" s="21">
        <f t="shared" si="12"/>
        <v>1</v>
      </c>
      <c r="N99" s="21">
        <f t="shared" si="13"/>
        <v>1</v>
      </c>
    </row>
    <row r="100" spans="1:14" x14ac:dyDescent="0.25">
      <c r="A100" s="37" t="s">
        <v>468</v>
      </c>
      <c r="B100" s="19">
        <f>VLOOKUP(A100,Sheet1!$A$1:$B$350,2,FALSE)</f>
        <v>155</v>
      </c>
      <c r="C100" s="36" t="s">
        <v>469</v>
      </c>
      <c r="D100" s="19">
        <f>VLOOKUP(C100,Sheet1!$A$1:$B$350,2,FALSE)</f>
        <v>176</v>
      </c>
      <c r="E100" s="35" t="s">
        <v>491</v>
      </c>
      <c r="F100" s="19">
        <f>VLOOKUP(E100,Sheet1!$A$1:$B$350,2,FALSE)</f>
        <v>764</v>
      </c>
      <c r="H100" s="21">
        <f t="shared" si="7"/>
        <v>0</v>
      </c>
      <c r="I100" s="21">
        <f t="shared" si="8"/>
        <v>1</v>
      </c>
      <c r="J100" s="21">
        <f t="shared" si="9"/>
        <v>0</v>
      </c>
      <c r="K100" s="21">
        <f t="shared" si="10"/>
        <v>1</v>
      </c>
      <c r="L100" s="21">
        <f t="shared" si="11"/>
        <v>0</v>
      </c>
      <c r="M100" s="21">
        <f t="shared" si="12"/>
        <v>1</v>
      </c>
      <c r="N100" s="21">
        <f t="shared" si="13"/>
        <v>1</v>
      </c>
    </row>
    <row r="101" spans="1:14" x14ac:dyDescent="0.25">
      <c r="A101" s="35" t="s">
        <v>495</v>
      </c>
      <c r="B101" s="19">
        <f>VLOOKUP(A101,Sheet1!$A$1:$B$350,2,FALSE)</f>
        <v>328</v>
      </c>
      <c r="C101" s="35" t="s">
        <v>494</v>
      </c>
      <c r="D101" s="19">
        <f>VLOOKUP(C101,Sheet1!$A$1:$B$350,2,FALSE)</f>
        <v>3143</v>
      </c>
      <c r="E101" s="35" t="s">
        <v>496</v>
      </c>
      <c r="F101" s="19">
        <f>VLOOKUP(E101,Sheet1!$A$1:$B$350,2,FALSE)</f>
        <v>107</v>
      </c>
      <c r="H101" s="21">
        <f t="shared" si="7"/>
        <v>0</v>
      </c>
      <c r="I101" s="21">
        <f t="shared" si="8"/>
        <v>1</v>
      </c>
      <c r="J101" s="21">
        <f t="shared" si="9"/>
        <v>1</v>
      </c>
      <c r="K101" s="21">
        <f t="shared" si="10"/>
        <v>0</v>
      </c>
      <c r="L101" s="21">
        <f t="shared" si="11"/>
        <v>1</v>
      </c>
      <c r="M101" s="21">
        <f t="shared" si="12"/>
        <v>0</v>
      </c>
      <c r="N101" s="21">
        <f t="shared" si="13"/>
        <v>0</v>
      </c>
    </row>
    <row r="103" spans="1:14" x14ac:dyDescent="0.25">
      <c r="C103" s="34"/>
    </row>
  </sheetData>
  <sheetProtection selectLockedCells="1" selectUnlockedCells="1"/>
  <sortState ref="A2:F94">
    <sortCondition ref="A2"/>
  </sortState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09"/>
  <sheetViews>
    <sheetView topLeftCell="A287" workbookViewId="0">
      <selection activeCell="B310" sqref="B310"/>
    </sheetView>
  </sheetViews>
  <sheetFormatPr defaultRowHeight="13.2" x14ac:dyDescent="0.25"/>
  <sheetData>
    <row r="1" spans="1:2" x14ac:dyDescent="0.25">
      <c r="A1" s="7" t="s">
        <v>35</v>
      </c>
      <c r="B1" s="7">
        <v>10951</v>
      </c>
    </row>
    <row r="2" spans="1:2" x14ac:dyDescent="0.25">
      <c r="A2" s="7" t="s">
        <v>36</v>
      </c>
      <c r="B2" s="7">
        <v>95</v>
      </c>
    </row>
    <row r="3" spans="1:2" x14ac:dyDescent="0.25">
      <c r="A3" s="7" t="s">
        <v>37</v>
      </c>
      <c r="B3" s="7">
        <v>26</v>
      </c>
    </row>
    <row r="4" spans="1:2" x14ac:dyDescent="0.25">
      <c r="A4" s="7" t="s">
        <v>55</v>
      </c>
      <c r="B4" s="7">
        <v>25</v>
      </c>
    </row>
    <row r="5" spans="1:2" x14ac:dyDescent="0.25">
      <c r="A5" s="7" t="s">
        <v>56</v>
      </c>
      <c r="B5" s="7">
        <v>1</v>
      </c>
    </row>
    <row r="6" spans="1:2" x14ac:dyDescent="0.25">
      <c r="A6" s="7" t="s">
        <v>57</v>
      </c>
      <c r="B6" s="7">
        <v>7</v>
      </c>
    </row>
    <row r="7" spans="1:2" x14ac:dyDescent="0.25">
      <c r="A7" s="7" t="s">
        <v>130</v>
      </c>
      <c r="B7" s="7">
        <v>143</v>
      </c>
    </row>
    <row r="8" spans="1:2" x14ac:dyDescent="0.25">
      <c r="A8" s="7" t="s">
        <v>131</v>
      </c>
      <c r="B8" s="7">
        <v>27</v>
      </c>
    </row>
    <row r="9" spans="1:2" x14ac:dyDescent="0.25">
      <c r="A9" s="7" t="s">
        <v>132</v>
      </c>
      <c r="B9" s="7">
        <v>8</v>
      </c>
    </row>
    <row r="10" spans="1:2" x14ac:dyDescent="0.25">
      <c r="A10" s="7" t="s">
        <v>266</v>
      </c>
      <c r="B10" s="7">
        <v>7</v>
      </c>
    </row>
    <row r="11" spans="1:2" x14ac:dyDescent="0.25">
      <c r="A11" s="7" t="s">
        <v>267</v>
      </c>
      <c r="B11" s="7">
        <v>1</v>
      </c>
    </row>
    <row r="12" spans="1:2" x14ac:dyDescent="0.25">
      <c r="A12" s="7" t="s">
        <v>268</v>
      </c>
      <c r="B12" s="7">
        <v>13</v>
      </c>
    </row>
    <row r="13" spans="1:2" x14ac:dyDescent="0.25">
      <c r="A13" s="7" t="s">
        <v>41</v>
      </c>
      <c r="B13" s="7">
        <v>800</v>
      </c>
    </row>
    <row r="14" spans="1:2" x14ac:dyDescent="0.25">
      <c r="A14" s="7" t="s">
        <v>42</v>
      </c>
      <c r="B14" s="7">
        <v>12</v>
      </c>
    </row>
    <row r="15" spans="1:2" x14ac:dyDescent="0.25">
      <c r="A15" s="7" t="s">
        <v>43</v>
      </c>
      <c r="B15" s="7">
        <v>94</v>
      </c>
    </row>
    <row r="16" spans="1:2" x14ac:dyDescent="0.25">
      <c r="A16" s="7" t="s">
        <v>52</v>
      </c>
      <c r="B16" s="7">
        <v>3</v>
      </c>
    </row>
    <row r="17" spans="1:2" x14ac:dyDescent="0.25">
      <c r="A17" s="7" t="s">
        <v>53</v>
      </c>
      <c r="B17" s="7">
        <v>19</v>
      </c>
    </row>
    <row r="18" spans="1:2" x14ac:dyDescent="0.25">
      <c r="A18" s="7" t="s">
        <v>54</v>
      </c>
      <c r="B18" s="7">
        <v>44</v>
      </c>
    </row>
    <row r="19" spans="1:2" x14ac:dyDescent="0.25">
      <c r="A19" s="7" t="s">
        <v>60</v>
      </c>
      <c r="B19" s="7">
        <v>435</v>
      </c>
    </row>
    <row r="20" spans="1:2" x14ac:dyDescent="0.25">
      <c r="A20" s="7" t="s">
        <v>61</v>
      </c>
      <c r="B20" s="7">
        <v>249</v>
      </c>
    </row>
    <row r="21" spans="1:2" x14ac:dyDescent="0.25">
      <c r="A21" s="7" t="s">
        <v>62</v>
      </c>
      <c r="B21" s="7">
        <v>7</v>
      </c>
    </row>
    <row r="22" spans="1:2" x14ac:dyDescent="0.25">
      <c r="A22" s="7" t="s">
        <v>66</v>
      </c>
      <c r="B22" s="7">
        <v>179</v>
      </c>
    </row>
    <row r="23" spans="1:2" x14ac:dyDescent="0.25">
      <c r="A23" s="7" t="s">
        <v>67</v>
      </c>
      <c r="B23" s="7">
        <v>16</v>
      </c>
    </row>
    <row r="24" spans="1:2" x14ac:dyDescent="0.25">
      <c r="A24" s="7" t="s">
        <v>68</v>
      </c>
      <c r="B24" s="7">
        <v>3</v>
      </c>
    </row>
    <row r="25" spans="1:2" x14ac:dyDescent="0.25">
      <c r="A25" s="7" t="s">
        <v>72</v>
      </c>
      <c r="B25" s="7">
        <v>32</v>
      </c>
    </row>
    <row r="26" spans="1:2" x14ac:dyDescent="0.25">
      <c r="A26" s="7" t="s">
        <v>73</v>
      </c>
      <c r="B26" s="7">
        <v>18</v>
      </c>
    </row>
    <row r="27" spans="1:2" x14ac:dyDescent="0.25">
      <c r="A27" s="7" t="s">
        <v>74</v>
      </c>
      <c r="B27" s="7">
        <v>78</v>
      </c>
    </row>
    <row r="28" spans="1:2" x14ac:dyDescent="0.25">
      <c r="A28" s="7" t="s">
        <v>75</v>
      </c>
      <c r="B28" s="7">
        <v>2434</v>
      </c>
    </row>
    <row r="29" spans="1:2" x14ac:dyDescent="0.25">
      <c r="A29" s="7" t="s">
        <v>76</v>
      </c>
      <c r="B29" s="7">
        <v>789</v>
      </c>
    </row>
    <row r="30" spans="1:2" x14ac:dyDescent="0.25">
      <c r="A30" s="7" t="s">
        <v>77</v>
      </c>
      <c r="B30" s="7">
        <v>52</v>
      </c>
    </row>
    <row r="31" spans="1:2" x14ac:dyDescent="0.25">
      <c r="A31" s="7" t="s">
        <v>81</v>
      </c>
      <c r="B31" s="7">
        <v>637</v>
      </c>
    </row>
    <row r="32" spans="1:2" x14ac:dyDescent="0.25">
      <c r="A32" s="7" t="s">
        <v>82</v>
      </c>
      <c r="B32" s="7">
        <v>212</v>
      </c>
    </row>
    <row r="33" spans="1:2" x14ac:dyDescent="0.25">
      <c r="A33" s="7" t="s">
        <v>83</v>
      </c>
      <c r="B33" s="7">
        <v>21</v>
      </c>
    </row>
    <row r="34" spans="1:2" x14ac:dyDescent="0.25">
      <c r="A34" s="7" t="s">
        <v>84</v>
      </c>
      <c r="B34" s="7">
        <v>35096</v>
      </c>
    </row>
    <row r="35" spans="1:2" x14ac:dyDescent="0.25">
      <c r="A35" s="7" t="s">
        <v>85</v>
      </c>
      <c r="B35" s="7">
        <v>176</v>
      </c>
    </row>
    <row r="36" spans="1:2" x14ac:dyDescent="0.25">
      <c r="A36" s="7" t="s">
        <v>86</v>
      </c>
      <c r="B36" s="7">
        <v>254</v>
      </c>
    </row>
    <row r="37" spans="1:2" x14ac:dyDescent="0.25">
      <c r="A37" s="7" t="s">
        <v>87</v>
      </c>
      <c r="B37" s="7">
        <v>6</v>
      </c>
    </row>
    <row r="38" spans="1:2" x14ac:dyDescent="0.25">
      <c r="A38" s="7" t="s">
        <v>88</v>
      </c>
      <c r="B38" s="7">
        <v>9637</v>
      </c>
    </row>
    <row r="39" spans="1:2" x14ac:dyDescent="0.25">
      <c r="A39" s="7" t="s">
        <v>89</v>
      </c>
      <c r="B39" s="7">
        <v>28</v>
      </c>
    </row>
    <row r="40" spans="1:2" x14ac:dyDescent="0.25">
      <c r="A40" s="7" t="s">
        <v>90</v>
      </c>
      <c r="B40" s="7">
        <v>405</v>
      </c>
    </row>
    <row r="41" spans="1:2" x14ac:dyDescent="0.25">
      <c r="A41" s="7" t="s">
        <v>91</v>
      </c>
      <c r="B41" s="7">
        <v>113</v>
      </c>
    </row>
    <row r="42" spans="1:2" x14ac:dyDescent="0.25">
      <c r="A42" s="7" t="s">
        <v>92</v>
      </c>
      <c r="B42" s="7">
        <v>27</v>
      </c>
    </row>
    <row r="43" spans="1:2" x14ac:dyDescent="0.25">
      <c r="A43" s="7" t="s">
        <v>100</v>
      </c>
      <c r="B43" s="7">
        <v>24565</v>
      </c>
    </row>
    <row r="44" spans="1:2" x14ac:dyDescent="0.25">
      <c r="A44" s="7" t="s">
        <v>80</v>
      </c>
      <c r="B44" s="7">
        <v>519</v>
      </c>
    </row>
    <row r="45" spans="1:2" x14ac:dyDescent="0.25">
      <c r="A45" s="7" t="s">
        <v>101</v>
      </c>
      <c r="B45" s="7">
        <v>790</v>
      </c>
    </row>
    <row r="46" spans="1:2" x14ac:dyDescent="0.25">
      <c r="A46" s="7" t="s">
        <v>102</v>
      </c>
      <c r="B46" s="7">
        <v>5237</v>
      </c>
    </row>
    <row r="47" spans="1:2" x14ac:dyDescent="0.25">
      <c r="A47" s="7" t="s">
        <v>103</v>
      </c>
      <c r="B47" s="7">
        <v>51</v>
      </c>
    </row>
    <row r="48" spans="1:2" x14ac:dyDescent="0.25">
      <c r="A48" s="7" t="s">
        <v>104</v>
      </c>
      <c r="B48" s="7">
        <v>8</v>
      </c>
    </row>
    <row r="49" spans="1:2" x14ac:dyDescent="0.25">
      <c r="A49" s="7" t="s">
        <v>111</v>
      </c>
      <c r="B49" s="7">
        <v>8</v>
      </c>
    </row>
    <row r="50" spans="1:2" x14ac:dyDescent="0.25">
      <c r="A50" s="7" t="s">
        <v>112</v>
      </c>
      <c r="B50" s="7">
        <v>96</v>
      </c>
    </row>
    <row r="51" spans="1:2" x14ac:dyDescent="0.25">
      <c r="A51" s="7" t="s">
        <v>113</v>
      </c>
      <c r="B51" s="7">
        <v>41</v>
      </c>
    </row>
    <row r="52" spans="1:2" x14ac:dyDescent="0.25">
      <c r="A52" s="7" t="s">
        <v>114</v>
      </c>
      <c r="B52" s="7">
        <v>3</v>
      </c>
    </row>
    <row r="53" spans="1:2" x14ac:dyDescent="0.25">
      <c r="A53" s="7" t="s">
        <v>115</v>
      </c>
      <c r="B53" s="7">
        <v>1</v>
      </c>
    </row>
    <row r="54" spans="1:2" x14ac:dyDescent="0.25">
      <c r="A54" s="7" t="s">
        <v>116</v>
      </c>
      <c r="B54" s="7">
        <v>5</v>
      </c>
    </row>
    <row r="55" spans="1:2" x14ac:dyDescent="0.25">
      <c r="A55" s="7" t="s">
        <v>110</v>
      </c>
      <c r="B55" s="7">
        <v>4</v>
      </c>
    </row>
    <row r="56" spans="1:2" x14ac:dyDescent="0.25">
      <c r="A56" s="7" t="s">
        <v>117</v>
      </c>
      <c r="B56" s="7">
        <v>32</v>
      </c>
    </row>
    <row r="57" spans="1:2" x14ac:dyDescent="0.25">
      <c r="A57" s="7" t="s">
        <v>118</v>
      </c>
      <c r="B57" s="7">
        <v>9</v>
      </c>
    </row>
    <row r="58" spans="1:2" x14ac:dyDescent="0.25">
      <c r="A58" s="7" t="s">
        <v>122</v>
      </c>
      <c r="B58" s="7">
        <v>759</v>
      </c>
    </row>
    <row r="59" spans="1:2" x14ac:dyDescent="0.25">
      <c r="A59" s="7" t="s">
        <v>123</v>
      </c>
      <c r="B59" s="7">
        <v>51</v>
      </c>
    </row>
    <row r="60" spans="1:2" x14ac:dyDescent="0.25">
      <c r="A60" s="7" t="s">
        <v>124</v>
      </c>
      <c r="B60" s="7">
        <v>65</v>
      </c>
    </row>
    <row r="61" spans="1:2" x14ac:dyDescent="0.25">
      <c r="A61" s="7" t="s">
        <v>125</v>
      </c>
      <c r="B61" s="7">
        <v>6</v>
      </c>
    </row>
    <row r="62" spans="1:2" x14ac:dyDescent="0.25">
      <c r="A62" s="7" t="s">
        <v>126</v>
      </c>
      <c r="B62" s="7">
        <v>16</v>
      </c>
    </row>
    <row r="63" spans="1:2" x14ac:dyDescent="0.25">
      <c r="A63" s="7" t="s">
        <v>127</v>
      </c>
      <c r="B63" s="7">
        <v>12</v>
      </c>
    </row>
    <row r="64" spans="1:2" x14ac:dyDescent="0.25">
      <c r="A64" s="7" t="s">
        <v>133</v>
      </c>
      <c r="B64" s="7">
        <v>79</v>
      </c>
    </row>
    <row r="65" spans="1:2" x14ac:dyDescent="0.25">
      <c r="A65" s="7" t="s">
        <v>134</v>
      </c>
      <c r="B65" s="7">
        <v>72</v>
      </c>
    </row>
    <row r="66" spans="1:2" x14ac:dyDescent="0.25">
      <c r="A66" s="7" t="s">
        <v>135</v>
      </c>
      <c r="B66" s="7">
        <v>53</v>
      </c>
    </row>
    <row r="67" spans="1:2" x14ac:dyDescent="0.25">
      <c r="A67" s="7" t="s">
        <v>160</v>
      </c>
      <c r="B67" s="7">
        <v>15140</v>
      </c>
    </row>
    <row r="68" spans="1:2" x14ac:dyDescent="0.25">
      <c r="A68" s="7" t="s">
        <v>161</v>
      </c>
      <c r="B68" s="7">
        <v>285</v>
      </c>
    </row>
    <row r="69" spans="1:2" x14ac:dyDescent="0.25">
      <c r="A69" s="7" t="s">
        <v>457</v>
      </c>
      <c r="B69" s="7">
        <v>3436</v>
      </c>
    </row>
    <row r="70" spans="1:2" x14ac:dyDescent="0.25">
      <c r="A70" s="7" t="s">
        <v>162</v>
      </c>
      <c r="B70" s="7">
        <v>96</v>
      </c>
    </row>
    <row r="71" spans="1:2" x14ac:dyDescent="0.25">
      <c r="A71" s="7" t="s">
        <v>163</v>
      </c>
      <c r="B71" s="7">
        <v>17</v>
      </c>
    </row>
    <row r="72" spans="1:2" x14ac:dyDescent="0.25">
      <c r="A72" s="7" t="s">
        <v>164</v>
      </c>
      <c r="B72" s="7">
        <v>108</v>
      </c>
    </row>
    <row r="73" spans="1:2" x14ac:dyDescent="0.25">
      <c r="A73" s="7" t="s">
        <v>147</v>
      </c>
      <c r="B73" s="7">
        <v>1691</v>
      </c>
    </row>
    <row r="74" spans="1:2" x14ac:dyDescent="0.25">
      <c r="A74" s="7" t="s">
        <v>165</v>
      </c>
      <c r="B74" s="7">
        <v>54</v>
      </c>
    </row>
    <row r="75" spans="1:2" x14ac:dyDescent="0.25">
      <c r="A75" s="7" t="s">
        <v>145</v>
      </c>
      <c r="B75" s="7">
        <v>19</v>
      </c>
    </row>
    <row r="76" spans="1:2" x14ac:dyDescent="0.25">
      <c r="A76" s="7" t="s">
        <v>166</v>
      </c>
      <c r="B76" s="7">
        <v>3479</v>
      </c>
    </row>
    <row r="77" spans="1:2" x14ac:dyDescent="0.25">
      <c r="A77" s="7" t="s">
        <v>167</v>
      </c>
      <c r="B77" s="7">
        <v>4594</v>
      </c>
    </row>
    <row r="78" spans="1:2" x14ac:dyDescent="0.25">
      <c r="A78" s="7" t="s">
        <v>168</v>
      </c>
      <c r="B78" s="7">
        <v>159</v>
      </c>
    </row>
    <row r="79" spans="1:2" x14ac:dyDescent="0.25">
      <c r="A79" s="7" t="s">
        <v>195</v>
      </c>
      <c r="B79" s="7">
        <v>32</v>
      </c>
    </row>
    <row r="80" spans="1:2" x14ac:dyDescent="0.25">
      <c r="A80" s="7" t="s">
        <v>196</v>
      </c>
      <c r="B80" s="7">
        <v>10</v>
      </c>
    </row>
    <row r="81" spans="1:2" x14ac:dyDescent="0.25">
      <c r="A81" s="7" t="s">
        <v>197</v>
      </c>
      <c r="B81" s="7">
        <v>58</v>
      </c>
    </row>
    <row r="82" spans="1:2" x14ac:dyDescent="0.25">
      <c r="A82" s="7" t="s">
        <v>205</v>
      </c>
      <c r="B82" s="7">
        <v>543</v>
      </c>
    </row>
    <row r="83" spans="1:2" x14ac:dyDescent="0.25">
      <c r="A83" s="7" t="s">
        <v>206</v>
      </c>
      <c r="B83" s="7">
        <v>5</v>
      </c>
    </row>
    <row r="84" spans="1:2" x14ac:dyDescent="0.25">
      <c r="A84" s="7" t="s">
        <v>207</v>
      </c>
      <c r="B84" s="7">
        <v>51</v>
      </c>
    </row>
    <row r="85" spans="1:2" x14ac:dyDescent="0.25">
      <c r="A85" s="7" t="s">
        <v>211</v>
      </c>
      <c r="B85" s="7">
        <v>43</v>
      </c>
    </row>
    <row r="86" spans="1:2" x14ac:dyDescent="0.25">
      <c r="A86" s="7" t="s">
        <v>212</v>
      </c>
      <c r="B86" s="7">
        <v>82</v>
      </c>
    </row>
    <row r="87" spans="1:2" x14ac:dyDescent="0.25">
      <c r="A87" s="7" t="s">
        <v>213</v>
      </c>
      <c r="B87" s="7">
        <v>31</v>
      </c>
    </row>
    <row r="88" spans="1:2" x14ac:dyDescent="0.25">
      <c r="A88" s="7" t="s">
        <v>214</v>
      </c>
      <c r="B88" s="7">
        <v>2698</v>
      </c>
    </row>
    <row r="89" spans="1:2" x14ac:dyDescent="0.25">
      <c r="A89" s="7" t="s">
        <v>215</v>
      </c>
      <c r="B89" s="7">
        <v>44</v>
      </c>
    </row>
    <row r="90" spans="1:2" x14ac:dyDescent="0.25">
      <c r="A90" s="7" t="s">
        <v>216</v>
      </c>
      <c r="B90" s="7">
        <v>802</v>
      </c>
    </row>
    <row r="91" spans="1:2" x14ac:dyDescent="0.25">
      <c r="A91" s="7" t="s">
        <v>217</v>
      </c>
      <c r="B91" s="7">
        <v>2473</v>
      </c>
    </row>
    <row r="92" spans="1:2" x14ac:dyDescent="0.25">
      <c r="A92" s="7" t="s">
        <v>218</v>
      </c>
      <c r="B92" s="7">
        <v>140</v>
      </c>
    </row>
    <row r="93" spans="1:2" x14ac:dyDescent="0.25">
      <c r="A93" s="7" t="s">
        <v>219</v>
      </c>
      <c r="B93" s="7">
        <v>1272</v>
      </c>
    </row>
    <row r="94" spans="1:2" x14ac:dyDescent="0.25">
      <c r="A94" s="7" t="s">
        <v>225</v>
      </c>
      <c r="B94" s="7">
        <v>40</v>
      </c>
    </row>
    <row r="95" spans="1:2" x14ac:dyDescent="0.25">
      <c r="A95" s="7" t="s">
        <v>226</v>
      </c>
      <c r="B95" s="7">
        <v>69</v>
      </c>
    </row>
    <row r="96" spans="1:2" x14ac:dyDescent="0.25">
      <c r="A96" s="7" t="s">
        <v>227</v>
      </c>
      <c r="B96" s="7">
        <v>13</v>
      </c>
    </row>
    <row r="97" spans="1:2" x14ac:dyDescent="0.25">
      <c r="A97" s="7" t="s">
        <v>228</v>
      </c>
      <c r="B97" s="7">
        <v>505</v>
      </c>
    </row>
    <row r="98" spans="1:2" x14ac:dyDescent="0.25">
      <c r="A98" s="7" t="s">
        <v>229</v>
      </c>
      <c r="B98" s="7">
        <v>10</v>
      </c>
    </row>
    <row r="99" spans="1:2" x14ac:dyDescent="0.25">
      <c r="A99" s="7" t="s">
        <v>230</v>
      </c>
      <c r="B99" s="7">
        <v>155</v>
      </c>
    </row>
    <row r="100" spans="1:2" x14ac:dyDescent="0.25">
      <c r="A100" s="7" t="s">
        <v>239</v>
      </c>
      <c r="B100" s="7">
        <v>511</v>
      </c>
    </row>
    <row r="101" spans="1:2" x14ac:dyDescent="0.25">
      <c r="A101" s="7" t="s">
        <v>240</v>
      </c>
      <c r="B101" s="7">
        <v>369</v>
      </c>
    </row>
    <row r="102" spans="1:2" x14ac:dyDescent="0.25">
      <c r="A102" s="7" t="s">
        <v>241</v>
      </c>
      <c r="B102" s="7">
        <v>46</v>
      </c>
    </row>
    <row r="103" spans="1:2" x14ac:dyDescent="0.25">
      <c r="A103" s="7" t="s">
        <v>242</v>
      </c>
      <c r="B103" s="7">
        <v>1253</v>
      </c>
    </row>
    <row r="104" spans="1:2" x14ac:dyDescent="0.25">
      <c r="A104" s="7" t="s">
        <v>243</v>
      </c>
      <c r="B104" s="7">
        <v>666</v>
      </c>
    </row>
    <row r="105" spans="1:2" x14ac:dyDescent="0.25">
      <c r="A105" s="7" t="s">
        <v>244</v>
      </c>
      <c r="B105" s="7">
        <v>14</v>
      </c>
    </row>
    <row r="106" spans="1:2" x14ac:dyDescent="0.25">
      <c r="A106" s="7" t="s">
        <v>252</v>
      </c>
      <c r="B106" s="7">
        <v>444</v>
      </c>
    </row>
    <row r="107" spans="1:2" x14ac:dyDescent="0.25">
      <c r="A107" s="7" t="s">
        <v>253</v>
      </c>
      <c r="B107" s="7">
        <v>475</v>
      </c>
    </row>
    <row r="108" spans="1:2" x14ac:dyDescent="0.25">
      <c r="A108" s="7" t="s">
        <v>254</v>
      </c>
      <c r="B108" s="7">
        <v>622</v>
      </c>
    </row>
    <row r="109" spans="1:2" x14ac:dyDescent="0.25">
      <c r="A109" s="7" t="s">
        <v>255</v>
      </c>
      <c r="B109" s="7">
        <v>73</v>
      </c>
    </row>
    <row r="110" spans="1:2" x14ac:dyDescent="0.25">
      <c r="A110" s="7" t="s">
        <v>256</v>
      </c>
      <c r="B110" s="7">
        <v>15</v>
      </c>
    </row>
    <row r="111" spans="1:2" x14ac:dyDescent="0.25">
      <c r="A111" s="7" t="s">
        <v>257</v>
      </c>
      <c r="B111" s="7">
        <v>2</v>
      </c>
    </row>
    <row r="112" spans="1:2" x14ac:dyDescent="0.25">
      <c r="A112" s="7" t="s">
        <v>269</v>
      </c>
      <c r="B112" s="7">
        <v>0</v>
      </c>
    </row>
    <row r="113" spans="1:2" x14ac:dyDescent="0.25">
      <c r="A113" s="7" t="s">
        <v>270</v>
      </c>
      <c r="B113" s="7">
        <v>0</v>
      </c>
    </row>
    <row r="114" spans="1:2" x14ac:dyDescent="0.25">
      <c r="A114" s="7" t="s">
        <v>271</v>
      </c>
      <c r="B114" s="7">
        <v>63</v>
      </c>
    </row>
    <row r="115" spans="1:2" x14ac:dyDescent="0.25">
      <c r="A115" s="7" t="s">
        <v>46</v>
      </c>
      <c r="B115" s="7">
        <v>4537</v>
      </c>
    </row>
    <row r="116" spans="1:2" x14ac:dyDescent="0.25">
      <c r="A116" s="7" t="s">
        <v>47</v>
      </c>
      <c r="B116" s="7">
        <v>4573</v>
      </c>
    </row>
    <row r="117" spans="1:2" x14ac:dyDescent="0.25">
      <c r="A117" s="7" t="s">
        <v>48</v>
      </c>
      <c r="B117" s="7">
        <v>410</v>
      </c>
    </row>
    <row r="118" spans="1:2" x14ac:dyDescent="0.25">
      <c r="A118" s="7" t="s">
        <v>69</v>
      </c>
      <c r="B118" s="7">
        <v>2254</v>
      </c>
    </row>
    <row r="119" spans="1:2" x14ac:dyDescent="0.25">
      <c r="A119" s="7" t="s">
        <v>70</v>
      </c>
      <c r="B119" s="7">
        <v>27</v>
      </c>
    </row>
    <row r="120" spans="1:2" x14ac:dyDescent="0.25">
      <c r="A120" s="7" t="s">
        <v>71</v>
      </c>
      <c r="B120" s="7">
        <v>183</v>
      </c>
    </row>
    <row r="121" spans="1:2" x14ac:dyDescent="0.25">
      <c r="A121" s="7" t="s">
        <v>142</v>
      </c>
      <c r="B121" s="7">
        <v>101</v>
      </c>
    </row>
    <row r="122" spans="1:2" x14ac:dyDescent="0.25">
      <c r="A122" s="7" t="s">
        <v>143</v>
      </c>
      <c r="B122" s="7">
        <v>265</v>
      </c>
    </row>
    <row r="123" spans="1:2" x14ac:dyDescent="0.25">
      <c r="A123" s="7" t="s">
        <v>144</v>
      </c>
      <c r="B123" s="7">
        <v>197</v>
      </c>
    </row>
    <row r="124" spans="1:2" x14ac:dyDescent="0.25">
      <c r="A124" s="7" t="s">
        <v>175</v>
      </c>
      <c r="B124" s="7">
        <v>361</v>
      </c>
    </row>
    <row r="125" spans="1:2" x14ac:dyDescent="0.25">
      <c r="A125" s="7" t="s">
        <v>176</v>
      </c>
      <c r="B125" s="7">
        <v>94</v>
      </c>
    </row>
    <row r="126" spans="1:2" x14ac:dyDescent="0.25">
      <c r="A126" s="7" t="s">
        <v>177</v>
      </c>
      <c r="B126" s="7">
        <v>132</v>
      </c>
    </row>
    <row r="127" spans="1:2" x14ac:dyDescent="0.25">
      <c r="A127" s="7" t="s">
        <v>192</v>
      </c>
      <c r="B127" s="7">
        <v>208</v>
      </c>
    </row>
    <row r="128" spans="1:2" x14ac:dyDescent="0.25">
      <c r="A128" s="7" t="s">
        <v>193</v>
      </c>
      <c r="B128" s="7">
        <v>2101</v>
      </c>
    </row>
    <row r="129" spans="1:2" x14ac:dyDescent="0.25">
      <c r="A129" s="7" t="s">
        <v>194</v>
      </c>
      <c r="B129" s="7">
        <v>1537</v>
      </c>
    </row>
    <row r="130" spans="1:2" x14ac:dyDescent="0.25">
      <c r="A130" s="7" t="s">
        <v>193</v>
      </c>
      <c r="B130" s="7">
        <v>2101</v>
      </c>
    </row>
    <row r="131" spans="1:2" x14ac:dyDescent="0.25">
      <c r="A131" s="7" t="s">
        <v>192</v>
      </c>
      <c r="B131" s="7">
        <v>208</v>
      </c>
    </row>
    <row r="132" spans="1:2" x14ac:dyDescent="0.25">
      <c r="A132" s="7" t="s">
        <v>201</v>
      </c>
      <c r="B132" s="7">
        <v>454</v>
      </c>
    </row>
    <row r="133" spans="1:2" x14ac:dyDescent="0.25">
      <c r="A133" s="7" t="s">
        <v>233</v>
      </c>
      <c r="B133" s="7">
        <v>25</v>
      </c>
    </row>
    <row r="134" spans="1:2" x14ac:dyDescent="0.25">
      <c r="A134" s="7" t="s">
        <v>234</v>
      </c>
      <c r="B134" s="7">
        <v>128</v>
      </c>
    </row>
    <row r="135" spans="1:2" x14ac:dyDescent="0.25">
      <c r="A135" s="7" t="s">
        <v>235</v>
      </c>
      <c r="B135" s="7">
        <v>195</v>
      </c>
    </row>
    <row r="136" spans="1:2" x14ac:dyDescent="0.25">
      <c r="A136" s="7" t="s">
        <v>263</v>
      </c>
      <c r="B136" s="7">
        <v>0</v>
      </c>
    </row>
    <row r="137" spans="1:2" x14ac:dyDescent="0.25">
      <c r="A137" s="7" t="s">
        <v>264</v>
      </c>
      <c r="B137" s="7">
        <v>161</v>
      </c>
    </row>
    <row r="138" spans="1:2" x14ac:dyDescent="0.25">
      <c r="A138" s="7" t="s">
        <v>265</v>
      </c>
      <c r="B138" s="7">
        <v>435</v>
      </c>
    </row>
    <row r="139" spans="1:2" x14ac:dyDescent="0.25">
      <c r="A139" s="7" t="s">
        <v>272</v>
      </c>
      <c r="B139" s="7">
        <v>6</v>
      </c>
    </row>
    <row r="140" spans="1:2" x14ac:dyDescent="0.25">
      <c r="A140" s="7" t="s">
        <v>273</v>
      </c>
      <c r="B140" s="7">
        <v>113</v>
      </c>
    </row>
    <row r="141" spans="1:2" x14ac:dyDescent="0.25">
      <c r="A141" s="7" t="s">
        <v>274</v>
      </c>
      <c r="B141" s="7">
        <v>190</v>
      </c>
    </row>
    <row r="142" spans="1:2" x14ac:dyDescent="0.25">
      <c r="A142" s="7" t="s">
        <v>78</v>
      </c>
      <c r="B142" s="7">
        <v>14071</v>
      </c>
    </row>
    <row r="143" spans="1:2" x14ac:dyDescent="0.25">
      <c r="A143" s="7" t="s">
        <v>79</v>
      </c>
      <c r="B143" s="7">
        <v>226</v>
      </c>
    </row>
    <row r="144" spans="1:2" x14ac:dyDescent="0.25">
      <c r="A144" s="7" t="s">
        <v>80</v>
      </c>
      <c r="B144" s="7">
        <v>519</v>
      </c>
    </row>
    <row r="145" spans="1:2" x14ac:dyDescent="0.25">
      <c r="A145" s="7" t="s">
        <v>105</v>
      </c>
      <c r="B145" s="7">
        <v>6</v>
      </c>
    </row>
    <row r="146" spans="1:2" x14ac:dyDescent="0.25">
      <c r="A146" s="7" t="s">
        <v>106</v>
      </c>
      <c r="B146" s="7">
        <v>126</v>
      </c>
    </row>
    <row r="147" spans="1:2" x14ac:dyDescent="0.25">
      <c r="A147" s="7" t="s">
        <v>107</v>
      </c>
      <c r="B147" s="7">
        <v>15</v>
      </c>
    </row>
    <row r="148" spans="1:2" x14ac:dyDescent="0.25">
      <c r="A148" s="7" t="s">
        <v>145</v>
      </c>
      <c r="B148" s="7">
        <v>19</v>
      </c>
    </row>
    <row r="149" spans="1:2" x14ac:dyDescent="0.25">
      <c r="A149" s="7" t="s">
        <v>146</v>
      </c>
      <c r="B149" s="7">
        <v>2938</v>
      </c>
    </row>
    <row r="150" spans="1:2" x14ac:dyDescent="0.25">
      <c r="A150" s="7" t="s">
        <v>147</v>
      </c>
      <c r="B150" s="7">
        <v>1691</v>
      </c>
    </row>
    <row r="151" spans="1:2" x14ac:dyDescent="0.25">
      <c r="A151" s="7" t="s">
        <v>180</v>
      </c>
      <c r="B151" s="7">
        <v>846</v>
      </c>
    </row>
    <row r="152" spans="1:2" x14ac:dyDescent="0.25">
      <c r="A152" s="7" t="s">
        <v>181</v>
      </c>
      <c r="B152" s="7">
        <v>1836</v>
      </c>
    </row>
    <row r="153" spans="1:2" x14ac:dyDescent="0.25">
      <c r="A153" s="7" t="s">
        <v>182</v>
      </c>
      <c r="B153" s="7">
        <v>337</v>
      </c>
    </row>
    <row r="154" spans="1:2" x14ac:dyDescent="0.25">
      <c r="A154" s="7" t="s">
        <v>186</v>
      </c>
      <c r="B154" s="7">
        <v>56</v>
      </c>
    </row>
    <row r="155" spans="1:2" x14ac:dyDescent="0.25">
      <c r="A155" s="7" t="s">
        <v>187</v>
      </c>
      <c r="B155" s="7">
        <v>144</v>
      </c>
    </row>
    <row r="156" spans="1:2" x14ac:dyDescent="0.25">
      <c r="A156" s="7" t="s">
        <v>188</v>
      </c>
      <c r="B156" s="7">
        <v>582</v>
      </c>
    </row>
    <row r="157" spans="1:2" x14ac:dyDescent="0.25">
      <c r="A157" s="7" t="s">
        <v>208</v>
      </c>
      <c r="B157" s="7">
        <v>199</v>
      </c>
    </row>
    <row r="158" spans="1:2" x14ac:dyDescent="0.25">
      <c r="A158" s="7" t="s">
        <v>209</v>
      </c>
      <c r="B158" s="7">
        <v>1294</v>
      </c>
    </row>
    <row r="159" spans="1:2" x14ac:dyDescent="0.25">
      <c r="A159" s="7" t="s">
        <v>210</v>
      </c>
      <c r="B159" s="7">
        <v>615</v>
      </c>
    </row>
    <row r="160" spans="1:2" x14ac:dyDescent="0.25">
      <c r="A160" s="7" t="s">
        <v>249</v>
      </c>
      <c r="B160" s="7">
        <v>282</v>
      </c>
    </row>
    <row r="161" spans="1:2" x14ac:dyDescent="0.25">
      <c r="A161" s="7" t="s">
        <v>250</v>
      </c>
      <c r="B161" s="7">
        <v>1094</v>
      </c>
    </row>
    <row r="162" spans="1:2" x14ac:dyDescent="0.25">
      <c r="A162" s="7" t="s">
        <v>251</v>
      </c>
      <c r="B162" s="7">
        <v>370</v>
      </c>
    </row>
    <row r="163" spans="1:2" x14ac:dyDescent="0.25">
      <c r="A163" s="7" t="s">
        <v>32</v>
      </c>
      <c r="B163" s="7">
        <v>36</v>
      </c>
    </row>
    <row r="164" spans="1:2" x14ac:dyDescent="0.25">
      <c r="A164" s="7" t="s">
        <v>33</v>
      </c>
      <c r="B164" s="7">
        <v>566</v>
      </c>
    </row>
    <row r="165" spans="1:2" x14ac:dyDescent="0.25">
      <c r="A165" s="7" t="s">
        <v>34</v>
      </c>
      <c r="B165" s="7">
        <v>386</v>
      </c>
    </row>
    <row r="166" spans="1:2" x14ac:dyDescent="0.25">
      <c r="A166" s="7" t="s">
        <v>189</v>
      </c>
      <c r="B166" s="7">
        <v>719</v>
      </c>
    </row>
    <row r="167" spans="1:2" x14ac:dyDescent="0.25">
      <c r="A167" s="7" t="s">
        <v>190</v>
      </c>
      <c r="B167" s="7">
        <v>1709</v>
      </c>
    </row>
    <row r="168" spans="1:2" x14ac:dyDescent="0.25">
      <c r="A168" s="7" t="s">
        <v>191</v>
      </c>
      <c r="B168" s="7">
        <v>6608</v>
      </c>
    </row>
    <row r="169" spans="1:2" x14ac:dyDescent="0.25">
      <c r="A169" s="7" t="s">
        <v>198</v>
      </c>
      <c r="B169" s="7">
        <v>77</v>
      </c>
    </row>
    <row r="170" spans="1:2" x14ac:dyDescent="0.25">
      <c r="A170" s="7" t="s">
        <v>199</v>
      </c>
      <c r="B170" s="7">
        <v>569</v>
      </c>
    </row>
    <row r="171" spans="1:2" x14ac:dyDescent="0.25">
      <c r="A171" s="7" t="s">
        <v>200</v>
      </c>
      <c r="B171" s="7">
        <v>1119</v>
      </c>
    </row>
    <row r="172" spans="1:2" x14ac:dyDescent="0.25">
      <c r="A172" s="7" t="s">
        <v>154</v>
      </c>
      <c r="B172" s="7">
        <v>131</v>
      </c>
    </row>
    <row r="173" spans="1:2" x14ac:dyDescent="0.25">
      <c r="A173" s="7" t="s">
        <v>155</v>
      </c>
      <c r="B173" s="7">
        <v>277</v>
      </c>
    </row>
    <row r="174" spans="1:2" x14ac:dyDescent="0.25">
      <c r="A174" s="7" t="s">
        <v>156</v>
      </c>
      <c r="B174" s="7">
        <v>8754</v>
      </c>
    </row>
    <row r="175" spans="1:2" x14ac:dyDescent="0.25">
      <c r="A175" s="7" t="s">
        <v>157</v>
      </c>
      <c r="B175" s="7">
        <v>28039</v>
      </c>
    </row>
    <row r="176" spans="1:2" x14ac:dyDescent="0.25">
      <c r="A176" s="7" t="s">
        <v>158</v>
      </c>
      <c r="B176" s="7">
        <v>281</v>
      </c>
    </row>
    <row r="177" spans="1:2" x14ac:dyDescent="0.25">
      <c r="A177" s="7" t="s">
        <v>159</v>
      </c>
      <c r="B177" s="7">
        <v>927</v>
      </c>
    </row>
    <row r="178" spans="1:2" x14ac:dyDescent="0.25">
      <c r="A178" s="7" t="s">
        <v>172</v>
      </c>
      <c r="B178" s="7">
        <v>275</v>
      </c>
    </row>
    <row r="179" spans="1:2" x14ac:dyDescent="0.25">
      <c r="A179" s="7" t="s">
        <v>173</v>
      </c>
      <c r="B179" s="7">
        <v>529</v>
      </c>
    </row>
    <row r="180" spans="1:2" x14ac:dyDescent="0.25">
      <c r="A180" s="7" t="s">
        <v>174</v>
      </c>
      <c r="B180" s="7">
        <v>220</v>
      </c>
    </row>
    <row r="181" spans="1:2" x14ac:dyDescent="0.25">
      <c r="A181" s="7" t="s">
        <v>183</v>
      </c>
      <c r="B181" s="7">
        <v>46</v>
      </c>
    </row>
    <row r="182" spans="1:2" x14ac:dyDescent="0.25">
      <c r="A182" s="7" t="s">
        <v>184</v>
      </c>
      <c r="B182" s="7">
        <v>1353</v>
      </c>
    </row>
    <row r="183" spans="1:2" x14ac:dyDescent="0.25">
      <c r="A183" s="7" t="s">
        <v>185</v>
      </c>
      <c r="B183" s="7">
        <v>1297</v>
      </c>
    </row>
    <row r="184" spans="1:2" x14ac:dyDescent="0.25">
      <c r="A184" s="7" t="s">
        <v>63</v>
      </c>
      <c r="B184" s="7">
        <v>3</v>
      </c>
    </row>
    <row r="185" spans="1:2" x14ac:dyDescent="0.25">
      <c r="A185" s="7" t="s">
        <v>64</v>
      </c>
      <c r="B185" s="7">
        <v>150</v>
      </c>
    </row>
    <row r="186" spans="1:2" x14ac:dyDescent="0.25">
      <c r="A186" s="7" t="s">
        <v>65</v>
      </c>
      <c r="B186" s="7">
        <v>1765</v>
      </c>
    </row>
    <row r="187" spans="1:2" x14ac:dyDescent="0.25">
      <c r="A187" s="7" t="s">
        <v>49</v>
      </c>
      <c r="B187" s="7">
        <v>530</v>
      </c>
    </row>
    <row r="188" spans="1:2" x14ac:dyDescent="0.25">
      <c r="A188" s="7" t="s">
        <v>50</v>
      </c>
      <c r="B188" s="7">
        <v>50</v>
      </c>
    </row>
    <row r="189" spans="1:2" x14ac:dyDescent="0.25">
      <c r="A189" s="7" t="s">
        <v>51</v>
      </c>
      <c r="B189" s="7">
        <v>294</v>
      </c>
    </row>
    <row r="190" spans="1:2" x14ac:dyDescent="0.25">
      <c r="A190" s="7" t="s">
        <v>136</v>
      </c>
      <c r="B190" s="7">
        <v>4557</v>
      </c>
    </row>
    <row r="191" spans="1:2" x14ac:dyDescent="0.25">
      <c r="A191" s="7" t="s">
        <v>137</v>
      </c>
      <c r="B191" s="7">
        <v>655</v>
      </c>
    </row>
    <row r="192" spans="1:2" x14ac:dyDescent="0.25">
      <c r="A192" s="7" t="s">
        <v>138</v>
      </c>
      <c r="B192" s="7">
        <v>300</v>
      </c>
    </row>
    <row r="193" spans="1:2" x14ac:dyDescent="0.25">
      <c r="A193" s="7" t="s">
        <v>202</v>
      </c>
      <c r="B193" s="7">
        <v>283</v>
      </c>
    </row>
    <row r="194" spans="1:2" x14ac:dyDescent="0.25">
      <c r="A194" s="7" t="s">
        <v>203</v>
      </c>
      <c r="B194" s="7">
        <v>523</v>
      </c>
    </row>
    <row r="195" spans="1:2" x14ac:dyDescent="0.25">
      <c r="A195" s="7" t="s">
        <v>204</v>
      </c>
      <c r="B195" s="7">
        <v>584</v>
      </c>
    </row>
    <row r="196" spans="1:2" x14ac:dyDescent="0.25">
      <c r="A196" s="7" t="s">
        <v>95</v>
      </c>
      <c r="B196" s="7">
        <v>343</v>
      </c>
    </row>
    <row r="197" spans="1:2" x14ac:dyDescent="0.25">
      <c r="A197" s="7" t="s">
        <v>96</v>
      </c>
      <c r="B197" s="7">
        <v>109189</v>
      </c>
    </row>
    <row r="198" spans="1:2" x14ac:dyDescent="0.25">
      <c r="A198" s="7" t="s">
        <v>93</v>
      </c>
      <c r="B198" s="7">
        <v>499</v>
      </c>
    </row>
    <row r="199" spans="1:2" x14ac:dyDescent="0.25">
      <c r="A199" s="7" t="s">
        <v>245</v>
      </c>
      <c r="B199" s="7">
        <v>766</v>
      </c>
    </row>
    <row r="200" spans="1:2" x14ac:dyDescent="0.25">
      <c r="A200" s="7" t="s">
        <v>238</v>
      </c>
      <c r="B200" s="7">
        <v>4821</v>
      </c>
    </row>
    <row r="201" spans="1:2" x14ac:dyDescent="0.25">
      <c r="A201" s="7" t="s">
        <v>246</v>
      </c>
      <c r="B201" s="7">
        <v>1126</v>
      </c>
    </row>
    <row r="202" spans="1:2" x14ac:dyDescent="0.25">
      <c r="A202" s="7" t="s">
        <v>139</v>
      </c>
      <c r="B202" s="7">
        <v>141</v>
      </c>
    </row>
    <row r="203" spans="1:2" x14ac:dyDescent="0.25">
      <c r="A203" s="7" t="s">
        <v>140</v>
      </c>
      <c r="B203" s="7">
        <v>12816</v>
      </c>
    </row>
    <row r="204" spans="1:2" x14ac:dyDescent="0.25">
      <c r="A204" s="7" t="s">
        <v>141</v>
      </c>
      <c r="B204" s="7">
        <v>3756</v>
      </c>
    </row>
    <row r="205" spans="1:2" x14ac:dyDescent="0.25">
      <c r="A205" s="7" t="s">
        <v>39</v>
      </c>
      <c r="B205" s="7">
        <v>603</v>
      </c>
    </row>
    <row r="206" spans="1:2" x14ac:dyDescent="0.25">
      <c r="A206" s="7" t="s">
        <v>38</v>
      </c>
      <c r="B206" s="7">
        <v>5</v>
      </c>
    </row>
    <row r="207" spans="1:2" x14ac:dyDescent="0.25">
      <c r="A207" s="7" t="s">
        <v>40</v>
      </c>
      <c r="B207" s="7">
        <v>333</v>
      </c>
    </row>
    <row r="208" spans="1:2" x14ac:dyDescent="0.25">
      <c r="A208" s="7" t="s">
        <v>169</v>
      </c>
      <c r="B208" s="7">
        <v>902</v>
      </c>
    </row>
    <row r="209" spans="1:2" x14ac:dyDescent="0.25">
      <c r="A209" s="7" t="s">
        <v>170</v>
      </c>
      <c r="B209" s="7">
        <v>273</v>
      </c>
    </row>
    <row r="210" spans="1:2" x14ac:dyDescent="0.25">
      <c r="A210" s="7" t="s">
        <v>171</v>
      </c>
      <c r="B210" s="7">
        <v>527</v>
      </c>
    </row>
    <row r="211" spans="1:2" x14ac:dyDescent="0.25">
      <c r="A211" s="7" t="s">
        <v>258</v>
      </c>
      <c r="B211" s="7">
        <v>3141</v>
      </c>
    </row>
    <row r="212" spans="1:2" x14ac:dyDescent="0.25">
      <c r="A212" s="7" t="s">
        <v>259</v>
      </c>
      <c r="B212" s="7">
        <v>2763</v>
      </c>
    </row>
    <row r="213" spans="1:2" x14ac:dyDescent="0.25">
      <c r="A213" s="7" t="s">
        <v>260</v>
      </c>
      <c r="B213" s="7">
        <v>860</v>
      </c>
    </row>
    <row r="214" spans="1:2" x14ac:dyDescent="0.25">
      <c r="A214" s="7" t="s">
        <v>29</v>
      </c>
      <c r="B214" s="7">
        <v>1153</v>
      </c>
    </row>
    <row r="215" spans="1:2" x14ac:dyDescent="0.25">
      <c r="A215" s="7" t="s">
        <v>30</v>
      </c>
      <c r="B215" s="7">
        <v>1455</v>
      </c>
    </row>
    <row r="216" spans="1:2" x14ac:dyDescent="0.25">
      <c r="A216" s="7" t="s">
        <v>31</v>
      </c>
      <c r="B216" s="7">
        <v>533</v>
      </c>
    </row>
    <row r="217" spans="1:2" x14ac:dyDescent="0.25">
      <c r="A217" s="7" t="s">
        <v>148</v>
      </c>
      <c r="B217" s="7">
        <v>478</v>
      </c>
    </row>
    <row r="218" spans="1:2" x14ac:dyDescent="0.25">
      <c r="A218" s="7" t="s">
        <v>149</v>
      </c>
      <c r="B218" s="7">
        <v>144</v>
      </c>
    </row>
    <row r="219" spans="1:2" x14ac:dyDescent="0.25">
      <c r="A219" s="7" t="s">
        <v>150</v>
      </c>
      <c r="B219" s="7">
        <v>3838</v>
      </c>
    </row>
    <row r="220" spans="1:2" x14ac:dyDescent="0.25">
      <c r="A220" s="7" t="s">
        <v>222</v>
      </c>
      <c r="B220" s="7">
        <v>58</v>
      </c>
    </row>
    <row r="221" spans="1:2" x14ac:dyDescent="0.25">
      <c r="A221" s="7" t="s">
        <v>223</v>
      </c>
      <c r="B221" s="7">
        <v>988</v>
      </c>
    </row>
    <row r="222" spans="1:2" x14ac:dyDescent="0.25">
      <c r="A222" s="7" t="s">
        <v>224</v>
      </c>
      <c r="B222" s="7">
        <v>1412</v>
      </c>
    </row>
    <row r="223" spans="1:2" x14ac:dyDescent="0.25">
      <c r="A223" s="7" t="s">
        <v>220</v>
      </c>
      <c r="B223" s="7">
        <v>5157</v>
      </c>
    </row>
    <row r="224" spans="1:2" x14ac:dyDescent="0.25">
      <c r="A224" s="7" t="s">
        <v>221</v>
      </c>
      <c r="B224" s="7">
        <v>4248</v>
      </c>
    </row>
    <row r="225" spans="1:2" x14ac:dyDescent="0.25">
      <c r="A225" s="7" t="s">
        <v>436</v>
      </c>
      <c r="B225" s="7">
        <v>8196</v>
      </c>
    </row>
    <row r="226" spans="1:2" x14ac:dyDescent="0.25">
      <c r="A226" s="7" t="s">
        <v>26</v>
      </c>
      <c r="B226" s="7">
        <v>387</v>
      </c>
    </row>
    <row r="227" spans="1:2" x14ac:dyDescent="0.25">
      <c r="A227" s="7" t="s">
        <v>27</v>
      </c>
      <c r="B227" s="7">
        <v>946</v>
      </c>
    </row>
    <row r="228" spans="1:2" x14ac:dyDescent="0.25">
      <c r="A228" s="7" t="s">
        <v>28</v>
      </c>
      <c r="B228" s="7">
        <v>19088</v>
      </c>
    </row>
    <row r="229" spans="1:2" x14ac:dyDescent="0.25">
      <c r="A229" s="7" t="s">
        <v>275</v>
      </c>
      <c r="B229" s="7">
        <v>244</v>
      </c>
    </row>
    <row r="230" spans="1:2" x14ac:dyDescent="0.25">
      <c r="A230" s="7" t="s">
        <v>276</v>
      </c>
      <c r="B230" s="7">
        <v>27173</v>
      </c>
    </row>
    <row r="231" spans="1:2" x14ac:dyDescent="0.25">
      <c r="A231" s="7" t="s">
        <v>277</v>
      </c>
      <c r="B231" s="7">
        <v>7443</v>
      </c>
    </row>
    <row r="232" spans="1:2" x14ac:dyDescent="0.25">
      <c r="A232" s="7" t="s">
        <v>44</v>
      </c>
      <c r="B232" s="7">
        <v>710</v>
      </c>
    </row>
    <row r="233" spans="1:2" x14ac:dyDescent="0.25">
      <c r="A233" s="7" t="s">
        <v>45</v>
      </c>
      <c r="B233" s="7">
        <v>476</v>
      </c>
    </row>
    <row r="234" spans="1:2" x14ac:dyDescent="0.25">
      <c r="A234" s="7" t="s">
        <v>58</v>
      </c>
      <c r="B234" s="7">
        <v>10</v>
      </c>
    </row>
    <row r="235" spans="1:2" x14ac:dyDescent="0.25">
      <c r="A235" s="7" t="s">
        <v>59</v>
      </c>
      <c r="B235" s="7">
        <v>76</v>
      </c>
    </row>
    <row r="236" spans="1:2" x14ac:dyDescent="0.25">
      <c r="A236" s="7" t="s">
        <v>451</v>
      </c>
      <c r="B236" s="7">
        <v>31</v>
      </c>
    </row>
    <row r="237" spans="1:2" x14ac:dyDescent="0.25">
      <c r="A237" s="7" t="s">
        <v>452</v>
      </c>
      <c r="B237" s="7">
        <v>214</v>
      </c>
    </row>
    <row r="238" spans="1:2" x14ac:dyDescent="0.25">
      <c r="A238" s="7" t="s">
        <v>453</v>
      </c>
      <c r="B238" s="7">
        <v>64</v>
      </c>
    </row>
    <row r="239" spans="1:2" x14ac:dyDescent="0.25">
      <c r="A239" s="7" t="s">
        <v>93</v>
      </c>
      <c r="B239" s="7">
        <v>499</v>
      </c>
    </row>
    <row r="240" spans="1:2" x14ac:dyDescent="0.25">
      <c r="A240" s="7" t="s">
        <v>94</v>
      </c>
      <c r="B240" s="7">
        <v>244</v>
      </c>
    </row>
    <row r="241" spans="1:2" x14ac:dyDescent="0.25">
      <c r="A241" s="7" t="s">
        <v>97</v>
      </c>
      <c r="B241" s="7">
        <v>1</v>
      </c>
    </row>
    <row r="242" spans="1:2" x14ac:dyDescent="0.25">
      <c r="A242" s="7" t="s">
        <v>98</v>
      </c>
      <c r="B242" s="7">
        <v>55</v>
      </c>
    </row>
    <row r="243" spans="1:2" x14ac:dyDescent="0.25">
      <c r="A243" s="7" t="s">
        <v>108</v>
      </c>
      <c r="B243" s="7">
        <v>136</v>
      </c>
    </row>
    <row r="244" spans="1:2" x14ac:dyDescent="0.25">
      <c r="A244" s="7" t="s">
        <v>109</v>
      </c>
      <c r="B244" s="7">
        <v>49</v>
      </c>
    </row>
    <row r="245" spans="1:2" x14ac:dyDescent="0.25">
      <c r="A245" s="7" t="s">
        <v>119</v>
      </c>
      <c r="B245" s="7">
        <v>123</v>
      </c>
    </row>
    <row r="246" spans="1:2" x14ac:dyDescent="0.25">
      <c r="A246" s="7" t="s">
        <v>120</v>
      </c>
      <c r="B246" s="7">
        <v>34</v>
      </c>
    </row>
    <row r="247" spans="1:2" x14ac:dyDescent="0.25">
      <c r="A247" s="7" t="s">
        <v>128</v>
      </c>
      <c r="B247" s="7">
        <v>52</v>
      </c>
    </row>
    <row r="248" spans="1:2" x14ac:dyDescent="0.25">
      <c r="A248" s="7" t="s">
        <v>129</v>
      </c>
      <c r="B248" s="7">
        <v>143</v>
      </c>
    </row>
    <row r="249" spans="1:2" x14ac:dyDescent="0.25">
      <c r="A249" s="7" t="s">
        <v>99</v>
      </c>
      <c r="B249" s="7">
        <v>166</v>
      </c>
    </row>
    <row r="250" spans="1:2" x14ac:dyDescent="0.25">
      <c r="A250" s="7" t="s">
        <v>454</v>
      </c>
      <c r="B250" s="7">
        <v>0</v>
      </c>
    </row>
    <row r="251" spans="1:2" x14ac:dyDescent="0.25">
      <c r="A251" s="7" t="s">
        <v>121</v>
      </c>
      <c r="B251" s="7">
        <v>31</v>
      </c>
    </row>
    <row r="252" spans="1:2" x14ac:dyDescent="0.25">
      <c r="A252" s="7" t="s">
        <v>455</v>
      </c>
      <c r="B252" s="7">
        <v>79</v>
      </c>
    </row>
    <row r="253" spans="1:2" x14ac:dyDescent="0.25">
      <c r="A253" s="7" t="s">
        <v>151</v>
      </c>
      <c r="B253" s="7">
        <v>748</v>
      </c>
    </row>
    <row r="254" spans="1:2" x14ac:dyDescent="0.25">
      <c r="A254" s="7" t="s">
        <v>152</v>
      </c>
      <c r="B254" s="7">
        <v>5652</v>
      </c>
    </row>
    <row r="255" spans="1:2" x14ac:dyDescent="0.25">
      <c r="A255" s="7" t="s">
        <v>456</v>
      </c>
      <c r="B255" s="7">
        <v>511</v>
      </c>
    </row>
    <row r="256" spans="1:2" x14ac:dyDescent="0.25">
      <c r="A256" s="7" t="s">
        <v>153</v>
      </c>
      <c r="B256" s="7">
        <v>14692</v>
      </c>
    </row>
    <row r="257" spans="1:2" x14ac:dyDescent="0.25">
      <c r="A257" s="7" t="s">
        <v>178</v>
      </c>
      <c r="B257" s="7">
        <v>1282</v>
      </c>
    </row>
    <row r="258" spans="1:2" x14ac:dyDescent="0.25">
      <c r="A258" s="7" t="s">
        <v>179</v>
      </c>
      <c r="B258" s="7">
        <v>4</v>
      </c>
    </row>
    <row r="259" spans="1:2" x14ac:dyDescent="0.25">
      <c r="A259" s="7" t="s">
        <v>231</v>
      </c>
      <c r="B259" s="7">
        <v>529</v>
      </c>
    </row>
    <row r="260" spans="1:2" x14ac:dyDescent="0.25">
      <c r="A260" s="7" t="s">
        <v>232</v>
      </c>
      <c r="B260" s="7">
        <v>564</v>
      </c>
    </row>
    <row r="261" spans="1:2" x14ac:dyDescent="0.25">
      <c r="A261" s="7" t="s">
        <v>236</v>
      </c>
      <c r="B261" s="7">
        <v>67</v>
      </c>
    </row>
    <row r="262" spans="1:2" x14ac:dyDescent="0.25">
      <c r="A262" s="7" t="s">
        <v>237</v>
      </c>
      <c r="B262" s="7">
        <v>2072</v>
      </c>
    </row>
    <row r="263" spans="1:2" x14ac:dyDescent="0.25">
      <c r="A263" s="7" t="s">
        <v>247</v>
      </c>
      <c r="B263" s="7">
        <v>1685</v>
      </c>
    </row>
    <row r="264" spans="1:2" x14ac:dyDescent="0.25">
      <c r="A264" s="7" t="s">
        <v>248</v>
      </c>
      <c r="B264" s="7">
        <v>200</v>
      </c>
    </row>
    <row r="265" spans="1:2" x14ac:dyDescent="0.25">
      <c r="A265" s="7" t="s">
        <v>261</v>
      </c>
      <c r="B265" s="7">
        <v>1</v>
      </c>
    </row>
    <row r="266" spans="1:2" x14ac:dyDescent="0.25">
      <c r="A266" s="7" t="s">
        <v>262</v>
      </c>
      <c r="B266" s="7">
        <v>29</v>
      </c>
    </row>
    <row r="267" spans="1:2" x14ac:dyDescent="0.25">
      <c r="A267" s="7" t="s">
        <v>458</v>
      </c>
      <c r="B267" s="7">
        <v>315</v>
      </c>
    </row>
    <row r="268" spans="1:2" x14ac:dyDescent="0.25">
      <c r="A268" s="7" t="s">
        <v>459</v>
      </c>
      <c r="B268" s="7">
        <v>550</v>
      </c>
    </row>
    <row r="269" spans="1:2" x14ac:dyDescent="0.25">
      <c r="A269" s="7" t="s">
        <v>460</v>
      </c>
      <c r="B269" s="7">
        <v>1519</v>
      </c>
    </row>
    <row r="270" spans="1:2" x14ac:dyDescent="0.25">
      <c r="A270" s="7" t="s">
        <v>461</v>
      </c>
      <c r="B270" s="7">
        <v>82</v>
      </c>
    </row>
    <row r="271" spans="1:2" x14ac:dyDescent="0.25">
      <c r="A271" s="7" t="s">
        <v>463</v>
      </c>
      <c r="B271" s="7">
        <v>163</v>
      </c>
    </row>
    <row r="272" spans="1:2" x14ac:dyDescent="0.25">
      <c r="A272" s="7" t="s">
        <v>462</v>
      </c>
      <c r="B272" s="7">
        <v>218</v>
      </c>
    </row>
    <row r="273" spans="1:2" x14ac:dyDescent="0.25">
      <c r="A273" s="7" t="s">
        <v>464</v>
      </c>
      <c r="B273" s="7">
        <v>474</v>
      </c>
    </row>
    <row r="274" spans="1:2" x14ac:dyDescent="0.25">
      <c r="A274" s="7" t="s">
        <v>465</v>
      </c>
      <c r="B274" s="7">
        <v>925</v>
      </c>
    </row>
    <row r="275" spans="1:2" x14ac:dyDescent="0.25">
      <c r="A275" s="7" t="s">
        <v>467</v>
      </c>
      <c r="B275" s="7">
        <v>97</v>
      </c>
    </row>
    <row r="276" spans="1:2" x14ac:dyDescent="0.25">
      <c r="A276" s="7" t="s">
        <v>466</v>
      </c>
      <c r="B276" s="7">
        <v>380</v>
      </c>
    </row>
    <row r="277" spans="1:2" x14ac:dyDescent="0.25">
      <c r="A277" s="7" t="s">
        <v>468</v>
      </c>
      <c r="B277" s="7">
        <v>155</v>
      </c>
    </row>
    <row r="278" spans="1:2" x14ac:dyDescent="0.25">
      <c r="A278" s="7" t="s">
        <v>469</v>
      </c>
      <c r="B278" s="7">
        <v>176</v>
      </c>
    </row>
    <row r="279" spans="1:2" x14ac:dyDescent="0.25">
      <c r="A279" s="10" t="s">
        <v>470</v>
      </c>
      <c r="B279" s="10">
        <v>1663</v>
      </c>
    </row>
    <row r="280" spans="1:2" x14ac:dyDescent="0.25">
      <c r="A280" s="10" t="s">
        <v>471</v>
      </c>
      <c r="B280" s="10">
        <v>341</v>
      </c>
    </row>
    <row r="281" spans="1:2" x14ac:dyDescent="0.25">
      <c r="A281" s="10" t="s">
        <v>453</v>
      </c>
      <c r="B281" s="10">
        <v>64</v>
      </c>
    </row>
    <row r="282" spans="1:2" x14ac:dyDescent="0.25">
      <c r="A282" s="10" t="s">
        <v>472</v>
      </c>
      <c r="B282" s="10">
        <v>1327</v>
      </c>
    </row>
    <row r="283" spans="1:2" x14ac:dyDescent="0.25">
      <c r="A283" s="10" t="s">
        <v>473</v>
      </c>
      <c r="B283" s="10">
        <v>168</v>
      </c>
    </row>
    <row r="284" spans="1:2" x14ac:dyDescent="0.25">
      <c r="A284" s="10" t="s">
        <v>474</v>
      </c>
      <c r="B284" s="10">
        <v>429</v>
      </c>
    </row>
    <row r="285" spans="1:2" x14ac:dyDescent="0.25">
      <c r="A285" s="10" t="s">
        <v>475</v>
      </c>
      <c r="B285" s="10">
        <v>663</v>
      </c>
    </row>
    <row r="286" spans="1:2" x14ac:dyDescent="0.25">
      <c r="A286" s="10" t="s">
        <v>476</v>
      </c>
      <c r="B286" s="10">
        <v>710</v>
      </c>
    </row>
    <row r="287" spans="1:2" x14ac:dyDescent="0.25">
      <c r="A287" s="10" t="s">
        <v>477</v>
      </c>
      <c r="B287" s="10">
        <v>178</v>
      </c>
    </row>
    <row r="288" spans="1:2" x14ac:dyDescent="0.25">
      <c r="A288" s="10" t="s">
        <v>478</v>
      </c>
      <c r="B288" s="10">
        <v>374</v>
      </c>
    </row>
    <row r="289" spans="1:2" x14ac:dyDescent="0.25">
      <c r="A289" s="10" t="s">
        <v>479</v>
      </c>
      <c r="B289" s="10">
        <v>438</v>
      </c>
    </row>
    <row r="290" spans="1:2" x14ac:dyDescent="0.25">
      <c r="A290" s="10" t="s">
        <v>480</v>
      </c>
      <c r="B290" s="10">
        <v>7760</v>
      </c>
    </row>
    <row r="291" spans="1:2" x14ac:dyDescent="0.25">
      <c r="A291" s="10" t="s">
        <v>481</v>
      </c>
      <c r="B291" s="10">
        <v>660</v>
      </c>
    </row>
    <row r="292" spans="1:2" x14ac:dyDescent="0.25">
      <c r="A292" s="10" t="s">
        <v>482</v>
      </c>
      <c r="B292" s="10">
        <v>819</v>
      </c>
    </row>
    <row r="293" spans="1:2" x14ac:dyDescent="0.25">
      <c r="A293" s="10" t="s">
        <v>483</v>
      </c>
      <c r="B293" s="10">
        <v>338</v>
      </c>
    </row>
    <row r="294" spans="1:2" x14ac:dyDescent="0.25">
      <c r="A294" s="10" t="s">
        <v>484</v>
      </c>
      <c r="B294" s="10">
        <v>1505</v>
      </c>
    </row>
    <row r="295" spans="1:2" x14ac:dyDescent="0.25">
      <c r="A295" s="10" t="s">
        <v>485</v>
      </c>
      <c r="B295" s="10">
        <v>159</v>
      </c>
    </row>
    <row r="296" spans="1:2" x14ac:dyDescent="0.25">
      <c r="A296" s="10" t="s">
        <v>486</v>
      </c>
      <c r="B296" s="10">
        <v>919</v>
      </c>
    </row>
    <row r="297" spans="1:2" x14ac:dyDescent="0.25">
      <c r="A297" s="10" t="s">
        <v>487</v>
      </c>
      <c r="B297" s="10">
        <v>37293</v>
      </c>
    </row>
    <row r="298" spans="1:2" x14ac:dyDescent="0.25">
      <c r="A298" s="10" t="s">
        <v>488</v>
      </c>
      <c r="B298" s="10">
        <v>62</v>
      </c>
    </row>
    <row r="299" spans="1:2" x14ac:dyDescent="0.25">
      <c r="A299" s="10" t="s">
        <v>489</v>
      </c>
      <c r="B299" s="10">
        <v>2893</v>
      </c>
    </row>
    <row r="300" spans="1:2" x14ac:dyDescent="0.25">
      <c r="A300" s="10" t="s">
        <v>490</v>
      </c>
      <c r="B300" s="10">
        <v>688</v>
      </c>
    </row>
    <row r="301" spans="1:2" x14ac:dyDescent="0.25">
      <c r="A301" s="10" t="s">
        <v>491</v>
      </c>
      <c r="B301" s="10">
        <v>764</v>
      </c>
    </row>
    <row r="302" spans="1:2" x14ac:dyDescent="0.25">
      <c r="A302" s="10" t="s">
        <v>492</v>
      </c>
      <c r="B302" s="10">
        <v>513</v>
      </c>
    </row>
    <row r="303" spans="1:2" x14ac:dyDescent="0.25">
      <c r="A303" s="10" t="s">
        <v>493</v>
      </c>
      <c r="B303" s="10">
        <v>97</v>
      </c>
    </row>
    <row r="304" spans="1:2" x14ac:dyDescent="0.25">
      <c r="A304" s="10" t="s">
        <v>495</v>
      </c>
      <c r="B304" s="10">
        <v>328</v>
      </c>
    </row>
    <row r="305" spans="1:2" x14ac:dyDescent="0.25">
      <c r="A305" s="10" t="s">
        <v>494</v>
      </c>
      <c r="B305" s="10">
        <v>3143</v>
      </c>
    </row>
    <row r="306" spans="1:2" x14ac:dyDescent="0.25">
      <c r="A306" s="10" t="s">
        <v>496</v>
      </c>
      <c r="B306" s="10">
        <v>107</v>
      </c>
    </row>
    <row r="307" spans="1:2" x14ac:dyDescent="0.25">
      <c r="A307" s="10" t="s">
        <v>497</v>
      </c>
      <c r="B307" s="10">
        <v>1718</v>
      </c>
    </row>
    <row r="308" spans="1:2" x14ac:dyDescent="0.25">
      <c r="A308" t="s">
        <v>498</v>
      </c>
      <c r="B308" s="10">
        <v>546</v>
      </c>
    </row>
    <row r="309" spans="1:2" x14ac:dyDescent="0.25">
      <c r="A309" s="10" t="s">
        <v>499</v>
      </c>
      <c r="B309" s="10">
        <v>210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96"/>
  <sheetViews>
    <sheetView topLeftCell="A6" zoomScale="130" zoomScaleNormal="130" workbookViewId="0">
      <selection activeCell="B23" sqref="B23:B26"/>
    </sheetView>
  </sheetViews>
  <sheetFormatPr defaultColWidth="8.88671875" defaultRowHeight="14.4" x14ac:dyDescent="0.3"/>
  <cols>
    <col min="1" max="1" width="11.6640625" style="1" customWidth="1"/>
    <col min="2" max="2" width="8.88671875" style="1"/>
    <col min="3" max="3" width="18.88671875" style="1" customWidth="1"/>
    <col min="4" max="4" width="12.109375" style="1" customWidth="1"/>
    <col min="5" max="6" width="8.88671875" style="1"/>
    <col min="7" max="7" width="10.33203125" style="2" bestFit="1" customWidth="1"/>
    <col min="8" max="8" width="15.109375" style="1" bestFit="1" customWidth="1"/>
    <col min="9" max="9" width="60.88671875" style="1" bestFit="1" customWidth="1"/>
    <col min="10" max="16384" width="8.88671875" style="1"/>
  </cols>
  <sheetData>
    <row r="1" spans="1:9" x14ac:dyDescent="0.3">
      <c r="A1" s="3" t="s">
        <v>278</v>
      </c>
      <c r="B1" s="3" t="s">
        <v>279</v>
      </c>
      <c r="C1" s="3" t="s">
        <v>280</v>
      </c>
      <c r="D1" s="3" t="s">
        <v>16</v>
      </c>
      <c r="E1" s="3"/>
      <c r="F1" s="3" t="s">
        <v>278</v>
      </c>
      <c r="G1" s="3" t="s">
        <v>281</v>
      </c>
    </row>
    <row r="2" spans="1:9" ht="15" x14ac:dyDescent="0.35">
      <c r="A2" s="4" t="s">
        <v>282</v>
      </c>
      <c r="B2" s="1" t="s">
        <v>283</v>
      </c>
      <c r="C2" s="5"/>
      <c r="F2" s="1" t="s">
        <v>284</v>
      </c>
      <c r="G2" s="1" t="s">
        <v>285</v>
      </c>
    </row>
    <row r="3" spans="1:9" x14ac:dyDescent="0.3">
      <c r="A3" s="2" t="s">
        <v>288</v>
      </c>
      <c r="B3" s="1" t="s">
        <v>289</v>
      </c>
      <c r="C3" s="5"/>
      <c r="F3" s="1" t="s">
        <v>286</v>
      </c>
      <c r="G3" s="1" t="s">
        <v>287</v>
      </c>
    </row>
    <row r="4" spans="1:9" x14ac:dyDescent="0.3">
      <c r="A4" s="2" t="s">
        <v>304</v>
      </c>
      <c r="B4" s="1" t="s">
        <v>305</v>
      </c>
      <c r="C4" s="5"/>
      <c r="F4" s="1" t="s">
        <v>290</v>
      </c>
      <c r="G4" s="1" t="s">
        <v>291</v>
      </c>
    </row>
    <row r="5" spans="1:9" x14ac:dyDescent="0.3">
      <c r="A5" s="2" t="s">
        <v>308</v>
      </c>
      <c r="B5" s="1" t="s">
        <v>309</v>
      </c>
      <c r="C5" s="5"/>
      <c r="F5" s="1" t="s">
        <v>292</v>
      </c>
      <c r="G5" s="1" t="s">
        <v>293</v>
      </c>
    </row>
    <row r="6" spans="1:9" x14ac:dyDescent="0.3">
      <c r="A6" s="2" t="s">
        <v>312</v>
      </c>
      <c r="B6" s="1" t="s">
        <v>313</v>
      </c>
      <c r="C6" s="5"/>
      <c r="F6" s="1" t="s">
        <v>294</v>
      </c>
      <c r="G6" s="1" t="s">
        <v>295</v>
      </c>
    </row>
    <row r="7" spans="1:9" x14ac:dyDescent="0.3">
      <c r="A7" s="2" t="s">
        <v>318</v>
      </c>
      <c r="B7" s="1" t="s">
        <v>319</v>
      </c>
      <c r="C7" s="5"/>
      <c r="F7" s="1" t="s">
        <v>296</v>
      </c>
      <c r="G7" s="1" t="s">
        <v>297</v>
      </c>
    </row>
    <row r="8" spans="1:9" x14ac:dyDescent="0.3">
      <c r="A8" s="2" t="s">
        <v>324</v>
      </c>
      <c r="B8" s="1" t="s">
        <v>325</v>
      </c>
      <c r="C8" s="5"/>
      <c r="F8" s="1" t="s">
        <v>298</v>
      </c>
      <c r="G8" s="1" t="s">
        <v>299</v>
      </c>
    </row>
    <row r="9" spans="1:9" x14ac:dyDescent="0.3">
      <c r="A9" s="2" t="s">
        <v>332</v>
      </c>
      <c r="B9" s="1" t="s">
        <v>333</v>
      </c>
      <c r="C9" s="5"/>
      <c r="D9" s="5"/>
      <c r="F9" s="1" t="s">
        <v>300</v>
      </c>
      <c r="G9" s="1" t="s">
        <v>301</v>
      </c>
    </row>
    <row r="10" spans="1:9" x14ac:dyDescent="0.3">
      <c r="A10" s="2" t="s">
        <v>342</v>
      </c>
      <c r="B10" s="1" t="s">
        <v>343</v>
      </c>
      <c r="C10" s="5"/>
      <c r="F10" s="1" t="s">
        <v>302</v>
      </c>
      <c r="G10" s="1" t="s">
        <v>303</v>
      </c>
    </row>
    <row r="11" spans="1:9" x14ac:dyDescent="0.3">
      <c r="A11" s="2" t="s">
        <v>346</v>
      </c>
      <c r="B11" s="1" t="s">
        <v>347</v>
      </c>
      <c r="C11" s="5"/>
      <c r="D11" s="5"/>
      <c r="F11" s="1" t="s">
        <v>306</v>
      </c>
      <c r="G11" s="1" t="s">
        <v>307</v>
      </c>
    </row>
    <row r="12" spans="1:9" x14ac:dyDescent="0.3">
      <c r="A12" s="2" t="s">
        <v>350</v>
      </c>
      <c r="B12" s="1" t="s">
        <v>351</v>
      </c>
      <c r="C12" s="5"/>
      <c r="F12" s="1" t="s">
        <v>310</v>
      </c>
      <c r="G12" s="1" t="s">
        <v>311</v>
      </c>
      <c r="I12" s="6" t="s">
        <v>442</v>
      </c>
    </row>
    <row r="13" spans="1:9" x14ac:dyDescent="0.3">
      <c r="A13" s="2" t="s">
        <v>354</v>
      </c>
      <c r="B13" s="1" t="s">
        <v>355</v>
      </c>
      <c r="C13" s="5"/>
      <c r="F13" s="1" t="s">
        <v>314</v>
      </c>
      <c r="G13" s="1" t="s">
        <v>315</v>
      </c>
      <c r="I13" s="6" t="s">
        <v>443</v>
      </c>
    </row>
    <row r="14" spans="1:9" x14ac:dyDescent="0.3">
      <c r="A14" s="2" t="s">
        <v>358</v>
      </c>
      <c r="B14" s="1" t="s">
        <v>359</v>
      </c>
      <c r="C14" s="5"/>
      <c r="F14" s="1" t="s">
        <v>316</v>
      </c>
      <c r="G14" s="1" t="s">
        <v>317</v>
      </c>
    </row>
    <row r="15" spans="1:9" x14ac:dyDescent="0.3">
      <c r="A15" s="2" t="s">
        <v>362</v>
      </c>
      <c r="B15" s="1" t="s">
        <v>363</v>
      </c>
      <c r="C15" s="5"/>
      <c r="F15" s="1" t="s">
        <v>320</v>
      </c>
      <c r="G15" s="1" t="s">
        <v>321</v>
      </c>
    </row>
    <row r="16" spans="1:9" x14ac:dyDescent="0.3">
      <c r="A16" s="2" t="s">
        <v>368</v>
      </c>
      <c r="B16" s="1" t="s">
        <v>369</v>
      </c>
      <c r="C16" s="5"/>
      <c r="F16" s="1" t="s">
        <v>507</v>
      </c>
      <c r="G16" s="9" t="s">
        <v>506</v>
      </c>
      <c r="H16" s="6" t="s">
        <v>441</v>
      </c>
    </row>
    <row r="17" spans="1:7" x14ac:dyDescent="0.3">
      <c r="A17" s="2" t="s">
        <v>372</v>
      </c>
      <c r="B17" s="1" t="s">
        <v>373</v>
      </c>
      <c r="C17" s="5"/>
      <c r="F17" s="1" t="s">
        <v>322</v>
      </c>
      <c r="G17" s="1" t="s">
        <v>323</v>
      </c>
    </row>
    <row r="18" spans="1:7" x14ac:dyDescent="0.3">
      <c r="A18" s="2" t="s">
        <v>376</v>
      </c>
      <c r="B18" s="1" t="s">
        <v>377</v>
      </c>
      <c r="C18" s="5"/>
      <c r="F18" s="1" t="s">
        <v>326</v>
      </c>
      <c r="G18" s="1" t="s">
        <v>327</v>
      </c>
    </row>
    <row r="19" spans="1:7" x14ac:dyDescent="0.3">
      <c r="A19" s="2" t="s">
        <v>380</v>
      </c>
      <c r="B19" s="1" t="s">
        <v>381</v>
      </c>
      <c r="C19" s="5"/>
      <c r="F19" s="1" t="s">
        <v>328</v>
      </c>
      <c r="G19" s="1" t="s">
        <v>329</v>
      </c>
    </row>
    <row r="20" spans="1:7" x14ac:dyDescent="0.3">
      <c r="A20" s="2" t="s">
        <v>384</v>
      </c>
      <c r="B20" s="1" t="s">
        <v>385</v>
      </c>
      <c r="C20" s="5"/>
      <c r="F20" s="1" t="s">
        <v>330</v>
      </c>
      <c r="G20" s="1" t="s">
        <v>331</v>
      </c>
    </row>
    <row r="21" spans="1:7" x14ac:dyDescent="0.3">
      <c r="A21" s="2" t="s">
        <v>388</v>
      </c>
      <c r="B21" s="8" t="s">
        <v>389</v>
      </c>
      <c r="C21" s="5"/>
      <c r="F21" s="1" t="s">
        <v>334</v>
      </c>
      <c r="G21" s="1" t="s">
        <v>335</v>
      </c>
    </row>
    <row r="22" spans="1:7" x14ac:dyDescent="0.3">
      <c r="A22" s="2" t="s">
        <v>392</v>
      </c>
      <c r="B22" s="9" t="s">
        <v>393</v>
      </c>
      <c r="C22" s="5"/>
      <c r="F22" s="1" t="s">
        <v>336</v>
      </c>
      <c r="G22" s="1" t="s">
        <v>337</v>
      </c>
    </row>
    <row r="23" spans="1:7" x14ac:dyDescent="0.3">
      <c r="A23" s="2" t="s">
        <v>394</v>
      </c>
      <c r="B23" s="9" t="s">
        <v>395</v>
      </c>
      <c r="C23" s="5"/>
      <c r="F23" s="1" t="s">
        <v>338</v>
      </c>
      <c r="G23" s="1" t="s">
        <v>339</v>
      </c>
    </row>
    <row r="24" spans="1:7" x14ac:dyDescent="0.3">
      <c r="A24" s="2" t="s">
        <v>511</v>
      </c>
      <c r="B24" s="9" t="s">
        <v>505</v>
      </c>
      <c r="C24" s="5"/>
      <c r="D24" s="5"/>
      <c r="F24" s="1" t="s">
        <v>340</v>
      </c>
      <c r="G24" s="1" t="s">
        <v>341</v>
      </c>
    </row>
    <row r="25" spans="1:7" x14ac:dyDescent="0.3">
      <c r="A25" s="2" t="s">
        <v>396</v>
      </c>
      <c r="B25" s="9" t="s">
        <v>397</v>
      </c>
      <c r="C25" s="5"/>
      <c r="F25" s="1" t="s">
        <v>344</v>
      </c>
      <c r="G25" s="1" t="s">
        <v>345</v>
      </c>
    </row>
    <row r="26" spans="1:7" x14ac:dyDescent="0.3">
      <c r="A26" s="2" t="s">
        <v>398</v>
      </c>
      <c r="B26" s="9" t="s">
        <v>399</v>
      </c>
      <c r="C26" s="5"/>
      <c r="F26" s="1" t="s">
        <v>348</v>
      </c>
      <c r="G26" s="1" t="s">
        <v>349</v>
      </c>
    </row>
    <row r="27" spans="1:7" x14ac:dyDescent="0.3">
      <c r="A27" s="2" t="s">
        <v>400</v>
      </c>
      <c r="B27" s="9" t="s">
        <v>401</v>
      </c>
      <c r="C27" s="5"/>
      <c r="F27" s="1" t="s">
        <v>352</v>
      </c>
      <c r="G27" s="1" t="s">
        <v>353</v>
      </c>
    </row>
    <row r="28" spans="1:7" x14ac:dyDescent="0.3">
      <c r="A28" s="1" t="s">
        <v>512</v>
      </c>
      <c r="B28" s="9" t="s">
        <v>500</v>
      </c>
      <c r="C28" s="5"/>
      <c r="F28" s="1" t="s">
        <v>356</v>
      </c>
      <c r="G28" s="1" t="s">
        <v>357</v>
      </c>
    </row>
    <row r="29" spans="1:7" x14ac:dyDescent="0.3">
      <c r="A29" s="1" t="s">
        <v>513</v>
      </c>
      <c r="B29" s="9" t="s">
        <v>501</v>
      </c>
      <c r="C29" s="5"/>
      <c r="F29" s="1" t="s">
        <v>360</v>
      </c>
      <c r="G29" s="1" t="s">
        <v>361</v>
      </c>
    </row>
    <row r="30" spans="1:7" x14ac:dyDescent="0.3">
      <c r="A30" s="1" t="s">
        <v>514</v>
      </c>
      <c r="B30" s="9" t="s">
        <v>502</v>
      </c>
      <c r="C30" s="5"/>
      <c r="F30" s="1" t="s">
        <v>364</v>
      </c>
      <c r="G30" s="1" t="s">
        <v>365</v>
      </c>
    </row>
    <row r="31" spans="1:7" x14ac:dyDescent="0.3">
      <c r="A31" s="1" t="s">
        <v>515</v>
      </c>
      <c r="B31" s="9" t="s">
        <v>503</v>
      </c>
      <c r="C31" s="5"/>
      <c r="F31" s="1" t="s">
        <v>366</v>
      </c>
      <c r="G31" s="1" t="s">
        <v>367</v>
      </c>
    </row>
    <row r="32" spans="1:7" x14ac:dyDescent="0.3">
      <c r="A32" s="1" t="s">
        <v>516</v>
      </c>
      <c r="B32" s="9" t="s">
        <v>504</v>
      </c>
      <c r="C32" s="5"/>
      <c r="F32" s="1" t="s">
        <v>370</v>
      </c>
      <c r="G32" s="1" t="s">
        <v>371</v>
      </c>
    </row>
    <row r="33" spans="1:7" x14ac:dyDescent="0.3">
      <c r="A33" s="1" t="s">
        <v>517</v>
      </c>
      <c r="B33" s="9" t="s">
        <v>508</v>
      </c>
      <c r="C33" s="5"/>
      <c r="D33" s="5"/>
      <c r="F33" s="1" t="s">
        <v>374</v>
      </c>
      <c r="G33" s="1" t="s">
        <v>375</v>
      </c>
    </row>
    <row r="34" spans="1:7" ht="13.8" x14ac:dyDescent="0.25">
      <c r="A34" s="1" t="s">
        <v>518</v>
      </c>
      <c r="B34" s="9" t="s">
        <v>509</v>
      </c>
      <c r="F34" s="1" t="s">
        <v>378</v>
      </c>
      <c r="G34" s="1" t="s">
        <v>379</v>
      </c>
    </row>
    <row r="35" spans="1:7" ht="13.8" x14ac:dyDescent="0.25">
      <c r="A35" s="1" t="s">
        <v>519</v>
      </c>
      <c r="B35" s="9" t="s">
        <v>510</v>
      </c>
      <c r="F35" s="1" t="s">
        <v>382</v>
      </c>
      <c r="G35" s="1" t="s">
        <v>383</v>
      </c>
    </row>
    <row r="36" spans="1:7" ht="13.8" x14ac:dyDescent="0.25">
      <c r="A36" s="1" t="s">
        <v>522</v>
      </c>
      <c r="B36" s="9" t="s">
        <v>520</v>
      </c>
      <c r="F36" s="1" t="s">
        <v>386</v>
      </c>
      <c r="G36" s="1" t="s">
        <v>387</v>
      </c>
    </row>
    <row r="37" spans="1:7" ht="13.8" x14ac:dyDescent="0.25">
      <c r="A37" s="1" t="s">
        <v>523</v>
      </c>
      <c r="B37" s="9" t="s">
        <v>521</v>
      </c>
      <c r="F37" s="1" t="s">
        <v>390</v>
      </c>
      <c r="G37" s="1" t="s">
        <v>391</v>
      </c>
    </row>
    <row r="290" spans="5:7" x14ac:dyDescent="0.3">
      <c r="E290" s="2"/>
      <c r="G290" s="1"/>
    </row>
    <row r="291" spans="5:7" x14ac:dyDescent="0.3">
      <c r="E291" s="2"/>
      <c r="G291" s="1"/>
    </row>
    <row r="292" spans="5:7" x14ac:dyDescent="0.3">
      <c r="E292" s="2"/>
      <c r="G292" s="1"/>
    </row>
    <row r="293" spans="5:7" x14ac:dyDescent="0.3">
      <c r="E293" s="2"/>
      <c r="G293" s="1"/>
    </row>
    <row r="294" spans="5:7" x14ac:dyDescent="0.3">
      <c r="E294" s="2"/>
      <c r="G294" s="1"/>
    </row>
    <row r="295" spans="5:7" x14ac:dyDescent="0.3">
      <c r="E295" s="2"/>
      <c r="G295" s="1"/>
    </row>
    <row r="296" spans="5:7" x14ac:dyDescent="0.3">
      <c r="E296" s="2"/>
      <c r="G296" s="1"/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3"/>
  <sheetViews>
    <sheetView workbookViewId="0">
      <selection activeCell="D44" sqref="D44"/>
    </sheetView>
  </sheetViews>
  <sheetFormatPr defaultRowHeight="13.2" x14ac:dyDescent="0.25"/>
  <sheetData>
    <row r="1" spans="1:1" x14ac:dyDescent="0.25">
      <c r="A1" t="s">
        <v>403</v>
      </c>
    </row>
    <row r="2" spans="1:1" x14ac:dyDescent="0.25">
      <c r="A2" t="s">
        <v>404</v>
      </c>
    </row>
    <row r="3" spans="1:1" x14ac:dyDescent="0.25">
      <c r="A3" t="s">
        <v>405</v>
      </c>
    </row>
    <row r="4" spans="1:1" x14ac:dyDescent="0.25">
      <c r="A4" t="s">
        <v>406</v>
      </c>
    </row>
    <row r="5" spans="1:1" x14ac:dyDescent="0.25">
      <c r="A5" t="s">
        <v>407</v>
      </c>
    </row>
    <row r="6" spans="1:1" x14ac:dyDescent="0.25">
      <c r="A6" t="s">
        <v>408</v>
      </c>
    </row>
    <row r="7" spans="1:1" x14ac:dyDescent="0.25">
      <c r="A7" t="s">
        <v>409</v>
      </c>
    </row>
    <row r="8" spans="1:1" x14ac:dyDescent="0.25">
      <c r="A8" t="s">
        <v>410</v>
      </c>
    </row>
    <row r="9" spans="1:1" x14ac:dyDescent="0.25">
      <c r="A9" t="s">
        <v>411</v>
      </c>
    </row>
    <row r="10" spans="1:1" x14ac:dyDescent="0.25">
      <c r="A10" t="s">
        <v>412</v>
      </c>
    </row>
    <row r="11" spans="1:1" x14ac:dyDescent="0.25">
      <c r="A11" t="s">
        <v>413</v>
      </c>
    </row>
    <row r="12" spans="1:1" x14ac:dyDescent="0.25">
      <c r="A12" t="s">
        <v>414</v>
      </c>
    </row>
    <row r="13" spans="1:1" x14ac:dyDescent="0.25">
      <c r="A13" t="s">
        <v>415</v>
      </c>
    </row>
    <row r="14" spans="1:1" x14ac:dyDescent="0.25">
      <c r="A14" t="s">
        <v>416</v>
      </c>
    </row>
    <row r="15" spans="1:1" x14ac:dyDescent="0.25">
      <c r="A15" t="s">
        <v>417</v>
      </c>
    </row>
    <row r="16" spans="1:1" x14ac:dyDescent="0.25">
      <c r="A16" t="s">
        <v>418</v>
      </c>
    </row>
    <row r="17" spans="1:1" x14ac:dyDescent="0.25">
      <c r="A17" t="s">
        <v>419</v>
      </c>
    </row>
    <row r="18" spans="1:1" x14ac:dyDescent="0.25">
      <c r="A18" t="s">
        <v>420</v>
      </c>
    </row>
    <row r="19" spans="1:1" x14ac:dyDescent="0.25">
      <c r="A19" t="s">
        <v>421</v>
      </c>
    </row>
    <row r="20" spans="1:1" x14ac:dyDescent="0.25">
      <c r="A20" t="s">
        <v>422</v>
      </c>
    </row>
    <row r="21" spans="1:1" x14ac:dyDescent="0.25">
      <c r="A21" t="s">
        <v>423</v>
      </c>
    </row>
    <row r="22" spans="1:1" x14ac:dyDescent="0.25">
      <c r="A22" t="s">
        <v>424</v>
      </c>
    </row>
    <row r="23" spans="1:1" x14ac:dyDescent="0.25">
      <c r="A23" t="s">
        <v>425</v>
      </c>
    </row>
    <row r="24" spans="1:1" x14ac:dyDescent="0.25">
      <c r="A24" t="s">
        <v>426</v>
      </c>
    </row>
    <row r="25" spans="1:1" x14ac:dyDescent="0.25">
      <c r="A25" t="s">
        <v>427</v>
      </c>
    </row>
    <row r="26" spans="1:1" x14ac:dyDescent="0.25">
      <c r="A26" t="s">
        <v>428</v>
      </c>
    </row>
    <row r="27" spans="1:1" x14ac:dyDescent="0.25">
      <c r="A27" t="s">
        <v>429</v>
      </c>
    </row>
    <row r="28" spans="1:1" x14ac:dyDescent="0.25">
      <c r="A28" t="s">
        <v>430</v>
      </c>
    </row>
    <row r="29" spans="1:1" x14ac:dyDescent="0.25">
      <c r="A29" t="s">
        <v>431</v>
      </c>
    </row>
    <row r="30" spans="1:1" x14ac:dyDescent="0.25">
      <c r="A30" t="s">
        <v>432</v>
      </c>
    </row>
    <row r="31" spans="1:1" x14ac:dyDescent="0.25">
      <c r="A31" t="s">
        <v>433</v>
      </c>
    </row>
    <row r="32" spans="1:1" x14ac:dyDescent="0.25">
      <c r="A32" t="s">
        <v>434</v>
      </c>
    </row>
    <row r="33" spans="1:1" x14ac:dyDescent="0.25">
      <c r="A33" t="s">
        <v>435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z2-z3</vt:lpstr>
      <vt:lpstr>Adaptation</vt:lpstr>
      <vt:lpstr>Sheet1</vt:lpstr>
      <vt:lpstr>localizer</vt:lpstr>
      <vt:lpstr>catch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</dc:creator>
  <cp:lastModifiedBy>Roni</cp:lastModifiedBy>
  <dcterms:created xsi:type="dcterms:W3CDTF">2015-01-13T15:27:38Z</dcterms:created>
  <dcterms:modified xsi:type="dcterms:W3CDTF">2015-01-20T10:09:58Z</dcterms:modified>
</cp:coreProperties>
</file>